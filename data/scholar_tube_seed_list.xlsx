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1b0cbecdf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dd26477b2a645a6"/>
    <x:sheet xmlns:r="http://schemas.openxmlformats.org/officeDocument/2006/relationships" name="Resources" sheetId="2" r:id="R589eeb31acf84546"/>
    <x:sheet xmlns:r="http://schemas.openxmlformats.org/officeDocument/2006/relationships" name="Priority Areas" sheetId="3" r:id="R61b83328da804423"/>
    <x:sheet xmlns:r="http://schemas.openxmlformats.org/officeDocument/2006/relationships" name="Domain Index" sheetId="4" r:id="Rb326eaf590974fe6"/>
    <x:sheet xmlns:r="http://schemas.openxmlformats.org/officeDocument/2006/relationships" name="Field Guide" sheetId="5" r:id="R53a8e3324f3f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yyyy-mm-dd"/>
    <x:numFmt numFmtId="203" formatCode="0.##"/>
    <x:numFmt numFmtId="204" formatCode="0.0%"/>
  </x:numFmts>
  <x:fonts count="18">
    <x:font>
      <x:sz val="11"/>
      <x:name val="Carlito"/>
    </x:font>
    <x:font>
      <x:sz val="10"/>
      <x:color rgb="FF102A43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sz val="10"/>
      <x:color rgb="FF334E68"/>
      <x:name val="Aptos"/>
    </x:font>
    <x:font>
      <x:b/>
      <x:sz val="10"/>
      <x:color rgb="FFFFFFFF"/>
      <x:name val="Aptos"/>
    </x:font>
    <x:font>
      <x:sz val="10"/>
      <x:color rgb="FFB45309"/>
      <x:name val="Aptos"/>
    </x:font>
    <x:font>
      <x:b/>
      <x:sz val="22"/>
      <x:color rgb="FFFFFFFF"/>
      <x:name val="Aptos Display"/>
    </x:font>
    <x:font>
      <x:b/>
      <x:sz val="10"/>
      <x:color rgb="FF2563EB"/>
      <x:name val="Aptos"/>
    </x:font>
    <x:font>
      <x:b/>
      <x:sz val="20"/>
      <x:color rgb="FF102A43"/>
      <x:name val="Aptos Display"/>
    </x:font>
    <x:font>
      <x:b/>
      <x:sz val="10"/>
      <x:color rgb="FF6D28D9"/>
      <x:name val="Aptos"/>
    </x:font>
    <x:font>
      <x:b/>
      <x:sz val="10"/>
      <x:color rgb="FFB45309"/>
      <x:name val="Aptos"/>
    </x:font>
    <x:font>
      <x:b/>
      <x:sz val="10"/>
      <x:color rgb="FF0F766E"/>
      <x:name val="Aptos"/>
    </x:font>
    <x:font>
      <x:i/>
      <x:sz val="10"/>
      <x:color rgb="FF64748B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sz val="10"/>
      <x:color rgb="FF17324D"/>
      <x:name val="Aptos"/>
    </x:font>
    <x:font>
      <x:sz val="10"/>
      <x:color rgb="FF17324D"/>
      <x:name val="Carlito"/>
    </x:font>
  </x:fonts>
  <x:fills count="9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CEAF7"/>
      </x:patternFill>
    </x:fill>
    <x:fill>
      <x:patternFill patternType="solid">
        <x:fgColor rgb="FF0F766E"/>
      </x:patternFill>
    </x:fill>
    <x:fill>
      <x:patternFill patternType="solid">
        <x:fgColor rgb="FFE6FFFA"/>
      </x:patternFill>
    </x:fill>
    <x:fill>
      <x:patternFill patternType="solid">
        <x:fgColor rgb="FFF3E8FF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6D28D9"/>
      </x:patternFill>
    </x:fill>
    <x:fill>
      <x:patternFill patternType="solid">
        <x:fgColor rgb="FFB45309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102A43"/>
      </x:patternFill>
    </x:fill>
    <x:fill>
      <x:patternFill patternType="solid">
        <x:fgColor rgb="FFD9E8F5"/>
      </x:patternFill>
    </x:fill>
    <x:fill>
      <x:patternFill patternType="solid">
        <x:fgColor rgb="FF168579"/>
      </x:patternFill>
    </x:fill>
    <x:fill>
      <x:patternFill patternType="solid">
        <x:fgColor rgb="FFFFF5DE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102A43"/>
      </x:patternFill>
    </x:fill>
    <x:fill>
      <x:patternFill patternType="solid">
        <x:fgColor rgb="FFD9E8F5"/>
      </x:patternFill>
    </x:fill>
    <x:fill>
      <x:patternFill patternType="solid">
        <x:fgColor rgb="FF168579"/>
      </x:patternFill>
    </x:fill>
    <x:fill>
      <x:patternFill patternType="solid">
        <x:fgColor rgb="FFFFF5DE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102A43"/>
      </x:patternFill>
    </x:fill>
    <x:fill>
      <x:patternFill patternType="solid">
        <x:fgColor rgb="FFD9E8F5"/>
      </x:patternFill>
    </x:fill>
    <x:fill>
      <x:patternFill patternType="solid">
        <x:fgColor rgb="FF168579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FFF5DE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102A43"/>
      </x:patternFill>
    </x:fill>
    <x:fill>
      <x:patternFill patternType="solid">
        <x:fgColor rgb="FFD9E8F5"/>
      </x:patternFill>
    </x:fill>
    <x:fill>
      <x:patternFill patternType="solid">
        <x:fgColor rgb="FF168579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FFF5DE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102A43"/>
      </x:patternFill>
    </x:fill>
    <x:fill>
      <x:patternFill patternType="solid">
        <x:fgColor rgb="FFD9E8F5"/>
      </x:patternFill>
    </x:fill>
    <x:fill>
      <x:patternFill patternType="solid">
        <x:fgColor rgb="FF168579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FFF5DE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102A43"/>
      </x:patternFill>
    </x:fill>
    <x:fill>
      <x:patternFill patternType="solid">
        <x:fgColor rgb="FFD9E8F5"/>
      </x:patternFill>
    </x:fill>
    <x:fill>
      <x:patternFill patternType="solid">
        <x:fgColor rgb="FF168579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FFF5DE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102A43"/>
      </x:patternFill>
    </x:fill>
    <x:fill>
      <x:patternFill patternType="solid">
        <x:fgColor rgb="FFD9E8F5"/>
      </x:patternFill>
    </x:fill>
    <x:fill>
      <x:patternFill patternType="solid">
        <x:fgColor rgb="FF168579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FFF5DE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102A43"/>
      </x:patternFill>
    </x:fill>
    <x:fill>
      <x:patternFill patternType="solid">
        <x:fgColor rgb="FFD9E8F5"/>
      </x:patternFill>
    </x:fill>
    <x:fill>
      <x:patternFill patternType="solid">
        <x:fgColor rgb="FF168579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FFF5DE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102A43"/>
      </x:patternFill>
    </x:fill>
    <x:fill>
      <x:patternFill patternType="solid">
        <x:fgColor rgb="FFD9E8F5"/>
      </x:patternFill>
    </x:fill>
    <x:fill>
      <x:patternFill patternType="solid">
        <x:fgColor rgb="FF168579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FFF5DE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</x:fills>
  <x:borders count="15">
    <x:border/>
    <x:border>
      <x:right style="thin">
        <x:color rgb="FF274C77"/>
      </x:right>
    </x:border>
    <x:border>
      <x:left style="thin">
        <x:color rgb="FF274C77"/>
      </x:left>
      <x:right style="thin">
        <x:color rgb="FF274C77"/>
      </x:right>
    </x:border>
    <x:border>
      <x:left style="thin">
        <x:color rgb="FF274C77"/>
      </x:left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0" fontId="1" fillId="0" borderId="8" xfId="0" applyNumberFormat="1" applyFont="1" applyFill="1" applyBorder="1" applyAlignment="1">
      <x:alignment horizontal="center" vertical="center"/>
    </x:xf>
    <x:xf numFmtId="200" fontId="1" fillId="0" borderId="9" xfId="0" applyNumberFormat="1" applyFont="1" applyFill="1" applyBorder="1" applyAlignment="1">
      <x:alignment horizontal="center" vertical="center"/>
    </x:xf>
    <x:xf numFmtId="200" fontId="1" fillId="0" borderId="11" xfId="0" applyNumberFormat="1" applyFont="1" applyFill="1" applyBorder="1" applyAlignment="1">
      <x:alignment horizontal="center" vertical="center"/>
    </x:xf>
    <x:xf numFmtId="200" fontId="1" fillId="0" borderId="12" xfId="0" applyNumberFormat="1" applyFont="1" applyFill="1" applyBorder="1" applyAlignment="1">
      <x:alignment horizontal="center" vertical="center"/>
    </x:xf>
    <x:xf numFmtId="0" fontId="1" fillId="5" borderId="4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/>
    </x:xf>
    <x:xf numFmtId="0" fontId="1" fillId="8" borderId="7" xfId="0" applyNumberFormat="1" applyFont="1" applyFill="1" applyBorder="1" applyAlignment="1">
      <x:alignment vertical="center"/>
    </x:xf>
    <x:xf numFmtId="0" fontId="1" fillId="9" borderId="1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 applyAlignment="1">
      <x:alignment horizontal="center"/>
    </x:xf>
    <x:xf numFmtId="0" fontId="1" fillId="0" borderId="11" xfId="0" applyNumberFormat="1" applyFont="1" applyFill="1" applyBorder="1" applyAlignment="1">
      <x:alignment horizontal="center"/>
    </x:xf>
    <x:xf numFmtId="0" fontId="1" fillId="0" borderId="12" xfId="0" applyNumberFormat="1" applyFont="1" applyFill="1" applyBorder="1" applyAlignment="1">
      <x:alignment horizontal="center"/>
    </x:xf>
    <x:xf numFmtId="200" fontId="1" fillId="0" borderId="5" xfId="0" applyNumberFormat="1" applyFont="1" applyFill="1" applyBorder="1" applyAlignment="1">
      <x:alignment horizontal="center"/>
    </x:xf>
    <x:xf numFmtId="200" fontId="1" fillId="0" borderId="6" xfId="0" applyNumberFormat="1" applyFont="1" applyFill="1" applyBorder="1" applyAlignment="1">
      <x:alignment horizontal="center"/>
    </x:xf>
    <x:xf numFmtId="200" fontId="1" fillId="0" borderId="8" xfId="0" applyNumberFormat="1" applyFont="1" applyFill="1" applyBorder="1" applyAlignment="1">
      <x:alignment horizontal="center"/>
    </x:xf>
    <x:xf numFmtId="200" fontId="1" fillId="0" borderId="9" xfId="0" applyNumberFormat="1" applyFont="1" applyFill="1" applyBorder="1" applyAlignment="1">
      <x:alignment horizontal="center"/>
    </x:xf>
    <x:xf numFmtId="200" fontId="1" fillId="0" borderId="11" xfId="0" applyNumberFormat="1" applyFont="1" applyFill="1" applyBorder="1" applyAlignment="1">
      <x:alignment horizontal="center"/>
    </x:xf>
    <x:xf numFmtId="200" fontId="1" fillId="0" borderId="12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3" xfId="0" applyNumberFormat="1" applyFont="1" applyFill="1" applyBorder="1"/>
    <x:xf numFmtId="0" fontId="9" fillId="10" borderId="14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1" fillId="8" borderId="0" xfId="0" applyNumberFormat="1" applyFont="1" applyFill="1" applyBorder="1"/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200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4" fontId="1" fillId="0" borderId="0" xfId="0" applyNumberFormat="1" applyFont="1" applyFill="1" applyBorder="1" applyAlignment="1">
      <x:alignment horizontal="center"/>
    </x:xf>
    <x:xf numFmtId="204" fontId="1" fillId="0" borderId="6" xfId="0" applyNumberFormat="1" applyFont="1" applyFill="1" applyBorder="1" applyAlignment="1">
      <x:alignment horizontal="center"/>
    </x:xf>
    <x:xf numFmtId="204" fontId="1" fillId="0" borderId="9" xfId="0" applyNumberFormat="1" applyFont="1" applyFill="1" applyBorder="1" applyAlignment="1">
      <x:alignment horizontal="center"/>
    </x:xf>
    <x:xf numFmtId="204" fontId="1" fillId="0" borderId="12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14" fillId="2" borderId="0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14" borderId="4" xfId="0" applyNumberFormat="1" applyFont="1" applyFill="1" applyBorder="1"/>
    <x:xf numFmtId="200" fontId="1" fillId="14" borderId="5" xfId="0" applyNumberFormat="1" applyFont="1" applyFill="1" applyBorder="1" applyAlignment="1">
      <x:alignment horizontal="center"/>
    </x:xf>
    <x:xf numFmtId="200" fontId="1" fillId="14" borderId="6" xfId="0" applyNumberFormat="1" applyFont="1" applyFill="1" applyBorder="1" applyAlignment="1">
      <x:alignment horizontal="center"/>
    </x:xf>
    <x:xf numFmtId="0" fontId="16" fillId="14" borderId="4" xfId="0" applyNumberFormat="1" applyFont="1" applyFill="1" applyBorder="1"/>
    <x:xf numFmtId="200" fontId="16" fillId="14" borderId="5" xfId="0" applyNumberFormat="1" applyFont="1" applyFill="1" applyBorder="1" applyAlignment="1">
      <x:alignment horizontal="center"/>
    </x:xf>
    <x:xf numFmtId="200" fontId="16" fillId="14" borderId="6" xfId="0" applyNumberFormat="1" applyFont="1" applyFill="1" applyBorder="1" applyAlignment="1">
      <x:alignment horizontal="center"/>
    </x:xf>
    <x:xf numFmtId="0" fontId="16" fillId="14" borderId="4" xfId="0" applyNumberFormat="1" applyFont="1" applyFill="1" applyBorder="1" applyAlignment="1">
      <x:alignment horizontal="left"/>
    </x:xf>
    <x:xf numFmtId="0" fontId="1" fillId="15" borderId="7" xfId="0" applyNumberFormat="1" applyFont="1" applyFill="1" applyBorder="1"/>
    <x:xf numFmtId="200" fontId="1" fillId="15" borderId="8" xfId="0" applyNumberFormat="1" applyFont="1" applyFill="1" applyBorder="1" applyAlignment="1">
      <x:alignment horizontal="center"/>
    </x:xf>
    <x:xf numFmtId="200" fontId="1" fillId="15" borderId="9" xfId="0" applyNumberFormat="1" applyFont="1" applyFill="1" applyBorder="1" applyAlignment="1">
      <x:alignment horizontal="center"/>
    </x:xf>
    <x:xf numFmtId="0" fontId="16" fillId="15" borderId="7" xfId="0" applyNumberFormat="1" applyFont="1" applyFill="1" applyBorder="1"/>
    <x:xf numFmtId="200" fontId="16" fillId="15" borderId="8" xfId="0" applyNumberFormat="1" applyFont="1" applyFill="1" applyBorder="1" applyAlignment="1">
      <x:alignment horizontal="center"/>
    </x:xf>
    <x:xf numFmtId="200" fontId="16" fillId="15" borderId="9" xfId="0" applyNumberFormat="1" applyFont="1" applyFill="1" applyBorder="1" applyAlignment="1">
      <x:alignment horizontal="center"/>
    </x:xf>
    <x:xf numFmtId="0" fontId="16" fillId="15" borderId="7" xfId="0" applyNumberFormat="1" applyFont="1" applyFill="1" applyBorder="1" applyAlignment="1">
      <x:alignment horizontal="left"/>
    </x:xf>
    <x:xf numFmtId="0" fontId="1" fillId="14" borderId="7" xfId="0" applyNumberFormat="1" applyFont="1" applyFill="1" applyBorder="1"/>
    <x:xf numFmtId="200" fontId="1" fillId="14" borderId="8" xfId="0" applyNumberFormat="1" applyFont="1" applyFill="1" applyBorder="1" applyAlignment="1">
      <x:alignment horizontal="center"/>
    </x:xf>
    <x:xf numFmtId="200" fontId="1" fillId="14" borderId="9" xfId="0" applyNumberFormat="1" applyFont="1" applyFill="1" applyBorder="1" applyAlignment="1">
      <x:alignment horizontal="center"/>
    </x:xf>
    <x:xf numFmtId="0" fontId="16" fillId="14" borderId="7" xfId="0" applyNumberFormat="1" applyFont="1" applyFill="1" applyBorder="1"/>
    <x:xf numFmtId="200" fontId="16" fillId="14" borderId="8" xfId="0" applyNumberFormat="1" applyFont="1" applyFill="1" applyBorder="1" applyAlignment="1">
      <x:alignment horizontal="center"/>
    </x:xf>
    <x:xf numFmtId="200" fontId="16" fillId="14" borderId="9" xfId="0" applyNumberFormat="1" applyFont="1" applyFill="1" applyBorder="1" applyAlignment="1">
      <x:alignment horizontal="center"/>
    </x:xf>
    <x:xf numFmtId="0" fontId="16" fillId="14" borderId="7" xfId="0" applyNumberFormat="1" applyFont="1" applyFill="1" applyBorder="1" applyAlignment="1">
      <x:alignment horizontal="left"/>
    </x:xf>
    <x:xf numFmtId="0" fontId="1" fillId="15" borderId="10" xfId="0" applyNumberFormat="1" applyFont="1" applyFill="1" applyBorder="1"/>
    <x:xf numFmtId="200" fontId="1" fillId="15" borderId="11" xfId="0" applyNumberFormat="1" applyFont="1" applyFill="1" applyBorder="1" applyAlignment="1">
      <x:alignment horizontal="center"/>
    </x:xf>
    <x:xf numFmtId="200" fontId="1" fillId="15" borderId="12" xfId="0" applyNumberFormat="1" applyFont="1" applyFill="1" applyBorder="1" applyAlignment="1">
      <x:alignment horizontal="center"/>
    </x:xf>
    <x:xf numFmtId="0" fontId="16" fillId="15" borderId="10" xfId="0" applyNumberFormat="1" applyFont="1" applyFill="1" applyBorder="1"/>
    <x:xf numFmtId="200" fontId="16" fillId="15" borderId="11" xfId="0" applyNumberFormat="1" applyFont="1" applyFill="1" applyBorder="1" applyAlignment="1">
      <x:alignment horizontal="center"/>
    </x:xf>
    <x:xf numFmtId="200" fontId="16" fillId="15" borderId="12" xfId="0" applyNumberFormat="1" applyFont="1" applyFill="1" applyBorder="1" applyAlignment="1">
      <x:alignment horizontal="center"/>
    </x:xf>
    <x:xf numFmtId="0" fontId="16" fillId="15" borderId="10" xfId="0" applyNumberFormat="1" applyFont="1" applyFill="1" applyBorder="1" applyAlignment="1">
      <x:alignment horizontal="left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left"/>
    </x:xf>
    <x:xf numFmtId="0" fontId="17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horizontal="left"/>
    </x:xf>
    <x:xf numFmtId="0" fontId="17" fillId="15" borderId="0" xfId="0" applyNumberFormat="1" applyFont="1" applyFill="1" applyBorder="1" applyAlignment="1">
      <x:alignment horizontal="center"/>
    </x:xf>
    <x:xf numFmtId="0" fontId="16" fillId="16" borderId="4" xfId="0" applyNumberFormat="1" applyFont="1" applyFill="1" applyBorder="1" applyAlignment="1">
      <x:alignment horizontal="left"/>
    </x:xf>
    <x:xf numFmtId="200" fontId="16" fillId="16" borderId="5" xfId="0" applyNumberFormat="1" applyFont="1" applyFill="1" applyBorder="1" applyAlignment="1">
      <x:alignment horizontal="center"/>
    </x:xf>
    <x:xf numFmtId="200" fontId="16" fillId="16" borderId="6" xfId="0" applyNumberFormat="1" applyFont="1" applyFill="1" applyBorder="1" applyAlignment="1">
      <x:alignment horizontal="center"/>
    </x:xf>
    <x:xf numFmtId="0" fontId="16" fillId="17" borderId="7" xfId="0" applyNumberFormat="1" applyFont="1" applyFill="1" applyBorder="1" applyAlignment="1">
      <x:alignment horizontal="left"/>
    </x:xf>
    <x:xf numFmtId="200" fontId="16" fillId="17" borderId="8" xfId="0" applyNumberFormat="1" applyFont="1" applyFill="1" applyBorder="1" applyAlignment="1">
      <x:alignment horizontal="center"/>
    </x:xf>
    <x:xf numFmtId="200" fontId="16" fillId="17" borderId="9" xfId="0" applyNumberFormat="1" applyFont="1" applyFill="1" applyBorder="1" applyAlignment="1">
      <x:alignment horizontal="center"/>
    </x:xf>
    <x:xf numFmtId="0" fontId="16" fillId="16" borderId="7" xfId="0" applyNumberFormat="1" applyFont="1" applyFill="1" applyBorder="1" applyAlignment="1">
      <x:alignment horizontal="left"/>
    </x:xf>
    <x:xf numFmtId="200" fontId="16" fillId="16" borderId="8" xfId="0" applyNumberFormat="1" applyFont="1" applyFill="1" applyBorder="1" applyAlignment="1">
      <x:alignment horizontal="center"/>
    </x:xf>
    <x:xf numFmtId="200" fontId="16" fillId="16" borderId="9" xfId="0" applyNumberFormat="1" applyFont="1" applyFill="1" applyBorder="1" applyAlignment="1">
      <x:alignment horizontal="center"/>
    </x:xf>
    <x:xf numFmtId="0" fontId="16" fillId="17" borderId="10" xfId="0" applyNumberFormat="1" applyFont="1" applyFill="1" applyBorder="1" applyAlignment="1">
      <x:alignment horizontal="left"/>
    </x:xf>
    <x:xf numFmtId="200" fontId="16" fillId="17" borderId="11" xfId="0" applyNumberFormat="1" applyFont="1" applyFill="1" applyBorder="1" applyAlignment="1">
      <x:alignment horizontal="center"/>
    </x:xf>
    <x:xf numFmtId="200" fontId="16" fillId="17" borderId="12" xfId="0" applyNumberFormat="1" applyFont="1" applyFill="1" applyBorder="1" applyAlignment="1">
      <x:alignment horizontal="center"/>
    </x:xf>
    <x:xf numFmtId="0" fontId="17" fillId="16" borderId="0" xfId="0" applyNumberFormat="1" applyFont="1" applyFill="1" applyBorder="1" applyAlignment="1">
      <x:alignment horizontal="left"/>
    </x:xf>
    <x:xf numFmtId="0" fontId="17" fillId="16" borderId="0" xfId="0" applyNumberFormat="1" applyFont="1" applyFill="1" applyBorder="1" applyAlignment="1">
      <x:alignment horizontal="center"/>
    </x:xf>
    <x:xf numFmtId="0" fontId="17" fillId="17" borderId="0" xfId="0" applyNumberFormat="1" applyFont="1" applyFill="1" applyBorder="1" applyAlignment="1">
      <x:alignment horizontal="left"/>
    </x:xf>
    <x:xf numFmtId="0" fontId="17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20" borderId="0" xfId="0" applyNumberFormat="1" applyFont="1" applyFill="1" applyBorder="1"/>
    <x:xf numFmtId="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15" fillId="22" borderId="0" xfId="0" applyNumberFormat="1" applyFont="1" applyFill="1" applyBorder="1"/>
    <x:xf numFmtId="0" fontId="15" fillId="2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 applyAlignment="1">
      <x:alignment horizontal="center"/>
    </x:xf>
    <x:xf numFmtId="0" fontId="6" fillId="23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6" fillId="24" borderId="4" xfId="0" applyNumberFormat="1" applyFont="1" applyFill="1" applyBorder="1" applyAlignment="1">
      <x:alignment horizontal="left"/>
    </x:xf>
    <x:xf numFmtId="200" fontId="16" fillId="24" borderId="5" xfId="0" applyNumberFormat="1" applyFont="1" applyFill="1" applyBorder="1" applyAlignment="1">
      <x:alignment horizontal="center"/>
    </x:xf>
    <x:xf numFmtId="200" fontId="16" fillId="24" borderId="6" xfId="0" applyNumberFormat="1" applyFont="1" applyFill="1" applyBorder="1" applyAlignment="1">
      <x:alignment horizontal="center"/>
    </x:xf>
    <x:xf numFmtId="0" fontId="16" fillId="25" borderId="7" xfId="0" applyNumberFormat="1" applyFont="1" applyFill="1" applyBorder="1" applyAlignment="1">
      <x:alignment horizontal="left"/>
    </x:xf>
    <x:xf numFmtId="200" fontId="16" fillId="25" borderId="8" xfId="0" applyNumberFormat="1" applyFont="1" applyFill="1" applyBorder="1" applyAlignment="1">
      <x:alignment horizontal="center"/>
    </x:xf>
    <x:xf numFmtId="200" fontId="16" fillId="25" borderId="9" xfId="0" applyNumberFormat="1" applyFont="1" applyFill="1" applyBorder="1" applyAlignment="1">
      <x:alignment horizontal="center"/>
    </x:xf>
    <x:xf numFmtId="0" fontId="16" fillId="24" borderId="7" xfId="0" applyNumberFormat="1" applyFont="1" applyFill="1" applyBorder="1" applyAlignment="1">
      <x:alignment horizontal="left"/>
    </x:xf>
    <x:xf numFmtId="200" fontId="16" fillId="24" borderId="8" xfId="0" applyNumberFormat="1" applyFont="1" applyFill="1" applyBorder="1" applyAlignment="1">
      <x:alignment horizontal="center"/>
    </x:xf>
    <x:xf numFmtId="200" fontId="16" fillId="24" borderId="9" xfId="0" applyNumberFormat="1" applyFont="1" applyFill="1" applyBorder="1" applyAlignment="1">
      <x:alignment horizontal="center"/>
    </x:xf>
    <x:xf numFmtId="0" fontId="16" fillId="25" borderId="10" xfId="0" applyNumberFormat="1" applyFont="1" applyFill="1" applyBorder="1" applyAlignment="1">
      <x:alignment horizontal="left"/>
    </x:xf>
    <x:xf numFmtId="200" fontId="16" fillId="25" borderId="11" xfId="0" applyNumberFormat="1" applyFont="1" applyFill="1" applyBorder="1" applyAlignment="1">
      <x:alignment horizontal="center"/>
    </x:xf>
    <x:xf numFmtId="200" fontId="16" fillId="25" borderId="12" xfId="0" applyNumberFormat="1" applyFont="1" applyFill="1" applyBorder="1" applyAlignment="1">
      <x:alignment horizontal="center"/>
    </x:xf>
    <x:xf numFmtId="0" fontId="17" fillId="24" borderId="0" xfId="0" applyNumberFormat="1" applyFont="1" applyFill="1" applyBorder="1" applyAlignment="1">
      <x:alignment horizontal="left"/>
    </x:xf>
    <x:xf numFmtId="0" fontId="17" fillId="24" borderId="0" xfId="0" applyNumberFormat="1" applyFont="1" applyFill="1" applyBorder="1" applyAlignment="1">
      <x:alignment horizontal="center"/>
    </x:xf>
    <x:xf numFmtId="0" fontId="17" fillId="25" borderId="0" xfId="0" applyNumberFormat="1" applyFont="1" applyFill="1" applyBorder="1" applyAlignment="1">
      <x:alignment horizontal="left"/>
    </x:xf>
    <x:xf numFmtId="0" fontId="17" fillId="25" borderId="0" xfId="0" applyNumberFormat="1" applyFont="1" applyFill="1" applyBorder="1" applyAlignment="1">
      <x:alignment horizontal="center"/>
    </x:xf>
    <x:xf numFmtId="0" fontId="0" fillId="24" borderId="0" xfId="0" applyNumberFormat="1" applyFont="1" applyFill="1" applyBorder="1"/>
    <x:xf numFmtId="0" fontId="17" fillId="24" borderId="0" xfId="0" applyNumberFormat="1" applyFont="1" applyFill="1" applyBorder="1"/>
    <x:xf numFmtId="0" fontId="0" fillId="25" borderId="0" xfId="0" applyNumberFormat="1" applyFont="1" applyFill="1" applyBorder="1"/>
    <x:xf numFmtId="0" fontId="17" fillId="25" borderId="0" xfId="0" applyNumberFormat="1" applyFont="1" applyFill="1" applyBorder="1"/>
    <x:xf numFmtId="0" fontId="0" fillId="26" borderId="0" xfId="0" applyNumberFormat="1" applyFont="1" applyFill="1" applyBorder="1"/>
    <x:xf numFmtId="0" fontId="0" fillId="27" borderId="0" xfId="0" applyNumberFormat="1" applyFont="1" applyFill="1" applyBorder="1"/>
    <x:xf numFmtId="0" fontId="0" fillId="27" borderId="0" xfId="0" applyNumberFormat="1" applyFont="1" applyFill="1" applyBorder="1" applyAlignment="1">
      <x:alignment horizontal="center"/>
    </x:xf>
    <x:xf numFmtId="0" fontId="0" fillId="28" borderId="0" xfId="0" applyNumberFormat="1" applyFont="1" applyFill="1" applyBorder="1"/>
    <x:xf numFmtId="0" fontId="0" fillId="29" borderId="0" xfId="0" applyNumberFormat="1" applyFont="1" applyFill="1" applyBorder="1"/>
    <x:xf numFmtId="0" fontId="15" fillId="30" borderId="0" xfId="0" applyNumberFormat="1" applyFont="1" applyFill="1" applyBorder="1" applyAlignment="1">
      <x:alignment horizontal="center"/>
    </x:xf>
    <x:xf numFmtId="0" fontId="6" fillId="31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6" fillId="32" borderId="4" xfId="0" applyNumberFormat="1" applyFont="1" applyFill="1" applyBorder="1" applyAlignment="1">
      <x:alignment horizontal="left"/>
    </x:xf>
    <x:xf numFmtId="200" fontId="16" fillId="32" borderId="5" xfId="0" applyNumberFormat="1" applyFont="1" applyFill="1" applyBorder="1" applyAlignment="1">
      <x:alignment horizontal="center"/>
    </x:xf>
    <x:xf numFmtId="200" fontId="16" fillId="32" borderId="6" xfId="0" applyNumberFormat="1" applyFont="1" applyFill="1" applyBorder="1" applyAlignment="1">
      <x:alignment horizontal="center"/>
    </x:xf>
    <x:xf numFmtId="0" fontId="16" fillId="33" borderId="7" xfId="0" applyNumberFormat="1" applyFont="1" applyFill="1" applyBorder="1" applyAlignment="1">
      <x:alignment horizontal="left"/>
    </x:xf>
    <x:xf numFmtId="200" fontId="16" fillId="33" borderId="8" xfId="0" applyNumberFormat="1" applyFont="1" applyFill="1" applyBorder="1" applyAlignment="1">
      <x:alignment horizontal="center"/>
    </x:xf>
    <x:xf numFmtId="200" fontId="16" fillId="33" borderId="9" xfId="0" applyNumberFormat="1" applyFont="1" applyFill="1" applyBorder="1" applyAlignment="1">
      <x:alignment horizontal="center"/>
    </x:xf>
    <x:xf numFmtId="0" fontId="16" fillId="32" borderId="7" xfId="0" applyNumberFormat="1" applyFont="1" applyFill="1" applyBorder="1" applyAlignment="1">
      <x:alignment horizontal="left"/>
    </x:xf>
    <x:xf numFmtId="200" fontId="16" fillId="32" borderId="8" xfId="0" applyNumberFormat="1" applyFont="1" applyFill="1" applyBorder="1" applyAlignment="1">
      <x:alignment horizontal="center"/>
    </x:xf>
    <x:xf numFmtId="200" fontId="16" fillId="32" borderId="9" xfId="0" applyNumberFormat="1" applyFont="1" applyFill="1" applyBorder="1" applyAlignment="1">
      <x:alignment horizontal="center"/>
    </x:xf>
    <x:xf numFmtId="0" fontId="16" fillId="33" borderId="10" xfId="0" applyNumberFormat="1" applyFont="1" applyFill="1" applyBorder="1" applyAlignment="1">
      <x:alignment horizontal="left"/>
    </x:xf>
    <x:xf numFmtId="200" fontId="16" fillId="33" borderId="11" xfId="0" applyNumberFormat="1" applyFont="1" applyFill="1" applyBorder="1" applyAlignment="1">
      <x:alignment horizontal="center"/>
    </x:xf>
    <x:xf numFmtId="200" fontId="16" fillId="33" borderId="12" xfId="0" applyNumberFormat="1" applyFont="1" applyFill="1" applyBorder="1" applyAlignment="1">
      <x:alignment horizontal="center"/>
    </x:xf>
    <x:xf numFmtId="0" fontId="17" fillId="32" borderId="0" xfId="0" applyNumberFormat="1" applyFont="1" applyFill="1" applyBorder="1" applyAlignment="1">
      <x:alignment horizontal="left"/>
    </x:xf>
    <x:xf numFmtId="0" fontId="17" fillId="32" borderId="0" xfId="0" applyNumberFormat="1" applyFont="1" applyFill="1" applyBorder="1" applyAlignment="1">
      <x:alignment horizontal="center"/>
    </x:xf>
    <x:xf numFmtId="0" fontId="17" fillId="33" borderId="0" xfId="0" applyNumberFormat="1" applyFont="1" applyFill="1" applyBorder="1" applyAlignment="1">
      <x:alignment horizontal="left"/>
    </x:xf>
    <x:xf numFmtId="0" fontId="17" fillId="33" borderId="0" xfId="0" applyNumberFormat="1" applyFont="1" applyFill="1" applyBorder="1" applyAlignment="1">
      <x:alignment horizontal="center"/>
    </x:xf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0" fontId="0" fillId="35" borderId="0" xfId="0" applyNumberFormat="1" applyFont="1" applyFill="1" applyBorder="1" applyAlignment="1">
      <x:alignment horizontal="center"/>
    </x:xf>
    <x:xf numFmtId="0" fontId="0" fillId="36" borderId="0" xfId="0" applyNumberFormat="1" applyFont="1" applyFill="1" applyBorder="1"/>
    <x:xf numFmtId="0" fontId="0" fillId="37" borderId="0" xfId="0" applyNumberFormat="1" applyFont="1" applyFill="1" applyBorder="1"/>
    <x:xf numFmtId="0" fontId="15" fillId="38" borderId="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 applyAlignment="1">
      <x:alignment horizontal="center"/>
    </x:xf>
    <x:xf numFmtId="0" fontId="6" fillId="41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16" fillId="39" borderId="4" xfId="0" applyNumberFormat="1" applyFont="1" applyFill="1" applyBorder="1" applyAlignment="1">
      <x:alignment horizontal="left"/>
    </x:xf>
    <x:xf numFmtId="200" fontId="16" fillId="39" borderId="5" xfId="0" applyNumberFormat="1" applyFont="1" applyFill="1" applyBorder="1" applyAlignment="1">
      <x:alignment horizontal="center"/>
    </x:xf>
    <x:xf numFmtId="200" fontId="16" fillId="39" borderId="6" xfId="0" applyNumberFormat="1" applyFont="1" applyFill="1" applyBorder="1" applyAlignment="1">
      <x:alignment horizontal="center"/>
    </x:xf>
    <x:xf numFmtId="0" fontId="16" fillId="40" borderId="7" xfId="0" applyNumberFormat="1" applyFont="1" applyFill="1" applyBorder="1" applyAlignment="1">
      <x:alignment horizontal="left"/>
    </x:xf>
    <x:xf numFmtId="200" fontId="16" fillId="40" borderId="8" xfId="0" applyNumberFormat="1" applyFont="1" applyFill="1" applyBorder="1" applyAlignment="1">
      <x:alignment horizontal="center"/>
    </x:xf>
    <x:xf numFmtId="200" fontId="16" fillId="40" borderId="9" xfId="0" applyNumberFormat="1" applyFont="1" applyFill="1" applyBorder="1" applyAlignment="1">
      <x:alignment horizontal="center"/>
    </x:xf>
    <x:xf numFmtId="0" fontId="16" fillId="39" borderId="7" xfId="0" applyNumberFormat="1" applyFont="1" applyFill="1" applyBorder="1" applyAlignment="1">
      <x:alignment horizontal="left"/>
    </x:xf>
    <x:xf numFmtId="200" fontId="16" fillId="39" borderId="8" xfId="0" applyNumberFormat="1" applyFont="1" applyFill="1" applyBorder="1" applyAlignment="1">
      <x:alignment horizontal="center"/>
    </x:xf>
    <x:xf numFmtId="200" fontId="16" fillId="39" borderId="9" xfId="0" applyNumberFormat="1" applyFont="1" applyFill="1" applyBorder="1" applyAlignment="1">
      <x:alignment horizontal="center"/>
    </x:xf>
    <x:xf numFmtId="0" fontId="16" fillId="40" borderId="10" xfId="0" applyNumberFormat="1" applyFont="1" applyFill="1" applyBorder="1" applyAlignment="1">
      <x:alignment horizontal="left"/>
    </x:xf>
    <x:xf numFmtId="200" fontId="16" fillId="40" borderId="11" xfId="0" applyNumberFormat="1" applyFont="1" applyFill="1" applyBorder="1" applyAlignment="1">
      <x:alignment horizontal="center"/>
    </x:xf>
    <x:xf numFmtId="200" fontId="16" fillId="40" borderId="12" xfId="0" applyNumberFormat="1" applyFont="1" applyFill="1" applyBorder="1" applyAlignment="1">
      <x:alignment horizontal="center"/>
    </x:xf>
    <x:xf numFmtId="0" fontId="17" fillId="39" borderId="0" xfId="0" applyNumberFormat="1" applyFont="1" applyFill="1" applyBorder="1" applyAlignment="1">
      <x:alignment horizontal="left"/>
    </x:xf>
    <x:xf numFmtId="0" fontId="17" fillId="39" borderId="0" xfId="0" applyNumberFormat="1" applyFont="1" applyFill="1" applyBorder="1" applyAlignment="1">
      <x:alignment horizontal="center"/>
    </x:xf>
    <x:xf numFmtId="0" fontId="17" fillId="40" borderId="0" xfId="0" applyNumberFormat="1" applyFont="1" applyFill="1" applyBorder="1" applyAlignment="1">
      <x:alignment horizontal="left"/>
    </x:xf>
    <x:xf numFmtId="0" fontId="17" fillId="40" borderId="0" xfId="0" applyNumberFormat="1" applyFont="1" applyFill="1" applyBorder="1" applyAlignment="1">
      <x:alignment horizontal="center"/>
    </x:xf>
    <x:xf numFmtId="0" fontId="0" fillId="42" borderId="0" xfId="0" applyNumberFormat="1" applyFont="1" applyFill="1" applyBorder="1"/>
    <x:xf numFmtId="0" fontId="0" fillId="43" borderId="0" xfId="0" applyNumberFormat="1" applyFont="1" applyFill="1" applyBorder="1"/>
    <x:xf numFmtId="0" fontId="0" fillId="43" borderId="0" xfId="0" applyNumberFormat="1" applyFont="1" applyFill="1" applyBorder="1" applyAlignment="1">
      <x:alignment horizontal="center"/>
    </x:xf>
    <x:xf numFmtId="0" fontId="0" fillId="44" borderId="0" xfId="0" applyNumberFormat="1" applyFont="1" applyFill="1" applyBorder="1"/>
    <x:xf numFmtId="0" fontId="0" fillId="45" borderId="0" xfId="0" applyNumberFormat="1" applyFont="1" applyFill="1" applyBorder="1"/>
    <x:xf numFmtId="0" fontId="15" fillId="46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 applyAlignment="1">
      <x:alignment horizontal="center"/>
    </x:xf>
    <x:xf numFmtId="0" fontId="0" fillId="47" borderId="0" xfId="0" applyNumberFormat="1" applyFont="1" applyFill="1" applyBorder="1" applyAlignment="1">
      <x:alignment horizontal="center"/>
    </x:xf>
    <x:xf numFmtId="0" fontId="0" fillId="48" borderId="0" xfId="0" applyNumberFormat="1" applyFont="1" applyFill="1" applyBorder="1" applyAlignment="1">
      <x:alignment horizontal="center"/>
    </x:xf>
    <x:xf numFmtId="0" fontId="6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16" fillId="47" borderId="4" xfId="0" applyNumberFormat="1" applyFont="1" applyFill="1" applyBorder="1" applyAlignment="1">
      <x:alignment horizontal="left"/>
    </x:xf>
    <x:xf numFmtId="200" fontId="16" fillId="47" borderId="5" xfId="0" applyNumberFormat="1" applyFont="1" applyFill="1" applyBorder="1" applyAlignment="1">
      <x:alignment horizontal="center"/>
    </x:xf>
    <x:xf numFmtId="200" fontId="16" fillId="47" borderId="6" xfId="0" applyNumberFormat="1" applyFont="1" applyFill="1" applyBorder="1" applyAlignment="1">
      <x:alignment horizontal="center"/>
    </x:xf>
    <x:xf numFmtId="0" fontId="16" fillId="48" borderId="7" xfId="0" applyNumberFormat="1" applyFont="1" applyFill="1" applyBorder="1" applyAlignment="1">
      <x:alignment horizontal="left"/>
    </x:xf>
    <x:xf numFmtId="200" fontId="16" fillId="48" borderId="8" xfId="0" applyNumberFormat="1" applyFont="1" applyFill="1" applyBorder="1" applyAlignment="1">
      <x:alignment horizontal="center"/>
    </x:xf>
    <x:xf numFmtId="200" fontId="16" fillId="48" borderId="9" xfId="0" applyNumberFormat="1" applyFont="1" applyFill="1" applyBorder="1" applyAlignment="1">
      <x:alignment horizontal="center"/>
    </x:xf>
    <x:xf numFmtId="0" fontId="16" fillId="47" borderId="7" xfId="0" applyNumberFormat="1" applyFont="1" applyFill="1" applyBorder="1" applyAlignment="1">
      <x:alignment horizontal="left"/>
    </x:xf>
    <x:xf numFmtId="200" fontId="16" fillId="47" borderId="8" xfId="0" applyNumberFormat="1" applyFont="1" applyFill="1" applyBorder="1" applyAlignment="1">
      <x:alignment horizontal="center"/>
    </x:xf>
    <x:xf numFmtId="200" fontId="16" fillId="47" borderId="9" xfId="0" applyNumberFormat="1" applyFont="1" applyFill="1" applyBorder="1" applyAlignment="1">
      <x:alignment horizontal="center"/>
    </x:xf>
    <x:xf numFmtId="0" fontId="16" fillId="48" borderId="10" xfId="0" applyNumberFormat="1" applyFont="1" applyFill="1" applyBorder="1" applyAlignment="1">
      <x:alignment horizontal="left"/>
    </x:xf>
    <x:xf numFmtId="200" fontId="16" fillId="48" borderId="11" xfId="0" applyNumberFormat="1" applyFont="1" applyFill="1" applyBorder="1" applyAlignment="1">
      <x:alignment horizontal="center"/>
    </x:xf>
    <x:xf numFmtId="200" fontId="16" fillId="48" borderId="12" xfId="0" applyNumberFormat="1" applyFont="1" applyFill="1" applyBorder="1" applyAlignment="1">
      <x:alignment horizontal="center"/>
    </x:xf>
    <x:xf numFmtId="0" fontId="17" fillId="47" borderId="0" xfId="0" applyNumberFormat="1" applyFont="1" applyFill="1" applyBorder="1" applyAlignment="1">
      <x:alignment horizontal="left"/>
    </x:xf>
    <x:xf numFmtId="0" fontId="17" fillId="47" borderId="0" xfId="0" applyNumberFormat="1" applyFont="1" applyFill="1" applyBorder="1" applyAlignment="1">
      <x:alignment horizontal="center"/>
    </x:xf>
    <x:xf numFmtId="0" fontId="17" fillId="48" borderId="0" xfId="0" applyNumberFormat="1" applyFont="1" applyFill="1" applyBorder="1" applyAlignment="1">
      <x:alignment horizontal="left"/>
    </x:xf>
    <x:xf numFmtId="0" fontId="17" fillId="48" borderId="0" xfId="0" applyNumberFormat="1" applyFont="1" applyFill="1" applyBorder="1" applyAlignment="1">
      <x:alignment horizontal="center"/>
    </x:xf>
    <x:xf numFmtId="0" fontId="0" fillId="50" borderId="0" xfId="0" applyNumberFormat="1" applyFont="1" applyFill="1" applyBorder="1"/>
    <x:xf numFmtId="0" fontId="0" fillId="51" borderId="0" xfId="0" applyNumberFormat="1" applyFont="1" applyFill="1" applyBorder="1"/>
    <x:xf numFmtId="0" fontId="0" fillId="51" borderId="0" xfId="0" applyNumberFormat="1" applyFont="1" applyFill="1" applyBorder="1" applyAlignment="1">
      <x:alignment horizontal="center"/>
    </x:xf>
    <x:xf numFmtId="0" fontId="0" fillId="52" borderId="0" xfId="0" applyNumberFormat="1" applyFont="1" applyFill="1" applyBorder="1"/>
    <x:xf numFmtId="0" fontId="0" fillId="53" borderId="0" xfId="0" applyNumberFormat="1" applyFont="1" applyFill="1" applyBorder="1"/>
    <x:xf numFmtId="0" fontId="15" fillId="54" borderId="0" xfId="0" applyNumberFormat="1" applyFont="1" applyFill="1" applyBorder="1" applyAlignment="1">
      <x:alignment horizontal="center"/>
    </x:xf>
    <x:xf numFmtId="0" fontId="0" fillId="55" borderId="0" xfId="0" applyNumberFormat="1" applyFont="1" applyFill="1" applyBorder="1" applyAlignment="1">
      <x:alignment horizontal="center"/>
    </x:xf>
    <x:xf numFmtId="0" fontId="0" fillId="56" borderId="0" xfId="0" applyNumberFormat="1" applyFont="1" applyFill="1" applyBorder="1" applyAlignment="1">
      <x:alignment horizontal="center"/>
    </x:xf>
    <x:xf numFmtId="0" fontId="6" fillId="57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16" fillId="55" borderId="4" xfId="0" applyNumberFormat="1" applyFont="1" applyFill="1" applyBorder="1" applyAlignment="1">
      <x:alignment horizontal="left"/>
    </x:xf>
    <x:xf numFmtId="200" fontId="16" fillId="55" borderId="5" xfId="0" applyNumberFormat="1" applyFont="1" applyFill="1" applyBorder="1" applyAlignment="1">
      <x:alignment horizontal="center"/>
    </x:xf>
    <x:xf numFmtId="200" fontId="16" fillId="55" borderId="6" xfId="0" applyNumberFormat="1" applyFont="1" applyFill="1" applyBorder="1" applyAlignment="1">
      <x:alignment horizontal="center"/>
    </x:xf>
    <x:xf numFmtId="0" fontId="16" fillId="56" borderId="7" xfId="0" applyNumberFormat="1" applyFont="1" applyFill="1" applyBorder="1" applyAlignment="1">
      <x:alignment horizontal="left"/>
    </x:xf>
    <x:xf numFmtId="200" fontId="16" fillId="56" borderId="8" xfId="0" applyNumberFormat="1" applyFont="1" applyFill="1" applyBorder="1" applyAlignment="1">
      <x:alignment horizontal="center"/>
    </x:xf>
    <x:xf numFmtId="200" fontId="16" fillId="56" borderId="9" xfId="0" applyNumberFormat="1" applyFont="1" applyFill="1" applyBorder="1" applyAlignment="1">
      <x:alignment horizontal="center"/>
    </x:xf>
    <x:xf numFmtId="0" fontId="16" fillId="55" borderId="7" xfId="0" applyNumberFormat="1" applyFont="1" applyFill="1" applyBorder="1" applyAlignment="1">
      <x:alignment horizontal="left"/>
    </x:xf>
    <x:xf numFmtId="200" fontId="16" fillId="55" borderId="8" xfId="0" applyNumberFormat="1" applyFont="1" applyFill="1" applyBorder="1" applyAlignment="1">
      <x:alignment horizontal="center"/>
    </x:xf>
    <x:xf numFmtId="200" fontId="16" fillId="55" borderId="9" xfId="0" applyNumberFormat="1" applyFont="1" applyFill="1" applyBorder="1" applyAlignment="1">
      <x:alignment horizontal="center"/>
    </x:xf>
    <x:xf numFmtId="0" fontId="16" fillId="56" borderId="10" xfId="0" applyNumberFormat="1" applyFont="1" applyFill="1" applyBorder="1" applyAlignment="1">
      <x:alignment horizontal="left"/>
    </x:xf>
    <x:xf numFmtId="200" fontId="16" fillId="56" borderId="11" xfId="0" applyNumberFormat="1" applyFont="1" applyFill="1" applyBorder="1" applyAlignment="1">
      <x:alignment horizontal="center"/>
    </x:xf>
    <x:xf numFmtId="200" fontId="16" fillId="56" borderId="12" xfId="0" applyNumberFormat="1" applyFont="1" applyFill="1" applyBorder="1" applyAlignment="1">
      <x:alignment horizontal="center"/>
    </x:xf>
    <x:xf numFmtId="0" fontId="17" fillId="55" borderId="0" xfId="0" applyNumberFormat="1" applyFont="1" applyFill="1" applyBorder="1" applyAlignment="1">
      <x:alignment horizontal="left"/>
    </x:xf>
    <x:xf numFmtId="0" fontId="17" fillId="55" borderId="0" xfId="0" applyNumberFormat="1" applyFont="1" applyFill="1" applyBorder="1" applyAlignment="1">
      <x:alignment horizontal="center"/>
    </x:xf>
    <x:xf numFmtId="0" fontId="17" fillId="56" borderId="0" xfId="0" applyNumberFormat="1" applyFont="1" applyFill="1" applyBorder="1" applyAlignment="1">
      <x:alignment horizontal="left"/>
    </x:xf>
    <x:xf numFmtId="0" fontId="17" fillId="56" borderId="0" xfId="0" applyNumberFormat="1" applyFont="1" applyFill="1" applyBorder="1" applyAlignment="1">
      <x:alignment horizontal="center"/>
    </x:xf>
    <x:xf numFmtId="0" fontId="0" fillId="58" borderId="0" xfId="0" applyNumberFormat="1" applyFont="1" applyFill="1" applyBorder="1"/>
    <x:xf numFmtId="0" fontId="0" fillId="59" borderId="0" xfId="0" applyNumberFormat="1" applyFont="1" applyFill="1" applyBorder="1"/>
    <x:xf numFmtId="0" fontId="0" fillId="59" borderId="0" xfId="0" applyNumberFormat="1" applyFont="1" applyFill="1" applyBorder="1" applyAlignment="1">
      <x:alignment horizontal="center"/>
    </x:xf>
    <x:xf numFmtId="0" fontId="0" fillId="60" borderId="0" xfId="0" applyNumberFormat="1" applyFont="1" applyFill="1" applyBorder="1"/>
    <x:xf numFmtId="0" fontId="0" fillId="61" borderId="0" xfId="0" applyNumberFormat="1" applyFont="1" applyFill="1" applyBorder="1"/>
    <x:xf numFmtId="0" fontId="15" fillId="62" borderId="0" xfId="0" applyNumberFormat="1" applyFont="1" applyFill="1" applyBorder="1" applyAlignment="1">
      <x:alignment horizontal="center"/>
    </x:xf>
    <x:xf numFmtId="0" fontId="0" fillId="63" borderId="0" xfId="0" applyNumberFormat="1" applyFont="1" applyFill="1" applyBorder="1" applyAlignment="1">
      <x:alignment horizontal="center"/>
    </x:xf>
    <x:xf numFmtId="0" fontId="0" fillId="64" borderId="0" xfId="0" applyNumberFormat="1" applyFont="1" applyFill="1" applyBorder="1" applyAlignment="1">
      <x:alignment horizontal="center"/>
    </x:xf>
    <x:xf numFmtId="0" fontId="6" fillId="65" borderId="0" xfId="0" applyNumberFormat="1" applyFont="1" applyFill="1" applyBorder="1" applyAlignment="1">
      <x:alignment vertical="center" wrapText="1"/>
    </x:xf>
    <x:xf numFmtId="0" fontId="0" fillId="65" borderId="0" xfId="0" applyNumberFormat="1" applyFont="1" applyFill="1" applyBorder="1"/>
    <x:xf numFmtId="0" fontId="16" fillId="63" borderId="4" xfId="0" applyNumberFormat="1" applyFont="1" applyFill="1" applyBorder="1" applyAlignment="1">
      <x:alignment horizontal="left"/>
    </x:xf>
    <x:xf numFmtId="200" fontId="16" fillId="63" borderId="5" xfId="0" applyNumberFormat="1" applyFont="1" applyFill="1" applyBorder="1" applyAlignment="1">
      <x:alignment horizontal="center"/>
    </x:xf>
    <x:xf numFmtId="200" fontId="16" fillId="63" borderId="6" xfId="0" applyNumberFormat="1" applyFont="1" applyFill="1" applyBorder="1" applyAlignment="1">
      <x:alignment horizontal="center"/>
    </x:xf>
    <x:xf numFmtId="0" fontId="16" fillId="64" borderId="7" xfId="0" applyNumberFormat="1" applyFont="1" applyFill="1" applyBorder="1" applyAlignment="1">
      <x:alignment horizontal="left"/>
    </x:xf>
    <x:xf numFmtId="200" fontId="16" fillId="64" borderId="8" xfId="0" applyNumberFormat="1" applyFont="1" applyFill="1" applyBorder="1" applyAlignment="1">
      <x:alignment horizontal="center"/>
    </x:xf>
    <x:xf numFmtId="200" fontId="16" fillId="64" borderId="9" xfId="0" applyNumberFormat="1" applyFont="1" applyFill="1" applyBorder="1" applyAlignment="1">
      <x:alignment horizontal="center"/>
    </x:xf>
    <x:xf numFmtId="0" fontId="16" fillId="63" borderId="7" xfId="0" applyNumberFormat="1" applyFont="1" applyFill="1" applyBorder="1" applyAlignment="1">
      <x:alignment horizontal="left"/>
    </x:xf>
    <x:xf numFmtId="200" fontId="16" fillId="63" borderId="8" xfId="0" applyNumberFormat="1" applyFont="1" applyFill="1" applyBorder="1" applyAlignment="1">
      <x:alignment horizontal="center"/>
    </x:xf>
    <x:xf numFmtId="200" fontId="16" fillId="63" borderId="9" xfId="0" applyNumberFormat="1" applyFont="1" applyFill="1" applyBorder="1" applyAlignment="1">
      <x:alignment horizontal="center"/>
    </x:xf>
    <x:xf numFmtId="0" fontId="16" fillId="64" borderId="10" xfId="0" applyNumberFormat="1" applyFont="1" applyFill="1" applyBorder="1" applyAlignment="1">
      <x:alignment horizontal="left"/>
    </x:xf>
    <x:xf numFmtId="200" fontId="16" fillId="64" borderId="11" xfId="0" applyNumberFormat="1" applyFont="1" applyFill="1" applyBorder="1" applyAlignment="1">
      <x:alignment horizontal="center"/>
    </x:xf>
    <x:xf numFmtId="200" fontId="16" fillId="64" borderId="12" xfId="0" applyNumberFormat="1" applyFont="1" applyFill="1" applyBorder="1" applyAlignment="1">
      <x:alignment horizontal="center"/>
    </x:xf>
    <x:xf numFmtId="0" fontId="17" fillId="63" borderId="0" xfId="0" applyNumberFormat="1" applyFont="1" applyFill="1" applyBorder="1" applyAlignment="1">
      <x:alignment horizontal="left"/>
    </x:xf>
    <x:xf numFmtId="0" fontId="17" fillId="63" borderId="0" xfId="0" applyNumberFormat="1" applyFont="1" applyFill="1" applyBorder="1" applyAlignment="1">
      <x:alignment horizontal="center"/>
    </x:xf>
    <x:xf numFmtId="0" fontId="17" fillId="64" borderId="0" xfId="0" applyNumberFormat="1" applyFont="1" applyFill="1" applyBorder="1" applyAlignment="1">
      <x:alignment horizontal="left"/>
    </x:xf>
    <x:xf numFmtId="0" fontId="17" fillId="64" borderId="0" xfId="0" applyNumberFormat="1" applyFont="1" applyFill="1" applyBorder="1" applyAlignment="1">
      <x:alignment horizontal="center"/>
    </x:xf>
    <x:xf numFmtId="0" fontId="0" fillId="66" borderId="0" xfId="0" applyNumberFormat="1" applyFont="1" applyFill="1" applyBorder="1"/>
    <x:xf numFmtId="0" fontId="0" fillId="67" borderId="0" xfId="0" applyNumberFormat="1" applyFont="1" applyFill="1" applyBorder="1"/>
    <x:xf numFmtId="0" fontId="0" fillId="67" borderId="0" xfId="0" applyNumberFormat="1" applyFont="1" applyFill="1" applyBorder="1" applyAlignment="1">
      <x:alignment horizontal="center"/>
    </x:xf>
    <x:xf numFmtId="0" fontId="0" fillId="68" borderId="0" xfId="0" applyNumberFormat="1" applyFont="1" applyFill="1" applyBorder="1"/>
    <x:xf numFmtId="0" fontId="0" fillId="69" borderId="0" xfId="0" applyNumberFormat="1" applyFont="1" applyFill="1" applyBorder="1"/>
    <x:xf numFmtId="0" fontId="15" fillId="70" borderId="0" xfId="0" applyNumberFormat="1" applyFont="1" applyFill="1" applyBorder="1" applyAlignment="1">
      <x:alignment horizontal="center"/>
    </x:xf>
    <x:xf numFmtId="0" fontId="0" fillId="71" borderId="0" xfId="0" applyNumberFormat="1" applyFont="1" applyFill="1" applyBorder="1" applyAlignment="1">
      <x:alignment horizontal="center"/>
    </x:xf>
    <x:xf numFmtId="0" fontId="0" fillId="72" borderId="0" xfId="0" applyNumberFormat="1" applyFont="1" applyFill="1" applyBorder="1" applyAlignment="1">
      <x:alignment horizontal="center"/>
    </x:xf>
    <x:xf numFmtId="0" fontId="6" fillId="73" borderId="0" xfId="0" applyNumberFormat="1" applyFont="1" applyFill="1" applyBorder="1" applyAlignment="1">
      <x:alignment vertical="center" wrapText="1"/>
    </x:xf>
    <x:xf numFmtId="0" fontId="0" fillId="73" borderId="0" xfId="0" applyNumberFormat="1" applyFont="1" applyFill="1" applyBorder="1"/>
    <x:xf numFmtId="0" fontId="16" fillId="71" borderId="4" xfId="0" applyNumberFormat="1" applyFont="1" applyFill="1" applyBorder="1" applyAlignment="1">
      <x:alignment horizontal="left"/>
    </x:xf>
    <x:xf numFmtId="200" fontId="16" fillId="71" borderId="5" xfId="0" applyNumberFormat="1" applyFont="1" applyFill="1" applyBorder="1" applyAlignment="1">
      <x:alignment horizontal="center"/>
    </x:xf>
    <x:xf numFmtId="200" fontId="16" fillId="71" borderId="6" xfId="0" applyNumberFormat="1" applyFont="1" applyFill="1" applyBorder="1" applyAlignment="1">
      <x:alignment horizontal="center"/>
    </x:xf>
    <x:xf numFmtId="0" fontId="16" fillId="72" borderId="7" xfId="0" applyNumberFormat="1" applyFont="1" applyFill="1" applyBorder="1" applyAlignment="1">
      <x:alignment horizontal="left"/>
    </x:xf>
    <x:xf numFmtId="200" fontId="16" fillId="72" borderId="8" xfId="0" applyNumberFormat="1" applyFont="1" applyFill="1" applyBorder="1" applyAlignment="1">
      <x:alignment horizontal="center"/>
    </x:xf>
    <x:xf numFmtId="200" fontId="16" fillId="72" borderId="9" xfId="0" applyNumberFormat="1" applyFont="1" applyFill="1" applyBorder="1" applyAlignment="1">
      <x:alignment horizontal="center"/>
    </x:xf>
    <x:xf numFmtId="0" fontId="16" fillId="71" borderId="7" xfId="0" applyNumberFormat="1" applyFont="1" applyFill="1" applyBorder="1" applyAlignment="1">
      <x:alignment horizontal="left"/>
    </x:xf>
    <x:xf numFmtId="200" fontId="16" fillId="71" borderId="8" xfId="0" applyNumberFormat="1" applyFont="1" applyFill="1" applyBorder="1" applyAlignment="1">
      <x:alignment horizontal="center"/>
    </x:xf>
    <x:xf numFmtId="200" fontId="16" fillId="71" borderId="9" xfId="0" applyNumberFormat="1" applyFont="1" applyFill="1" applyBorder="1" applyAlignment="1">
      <x:alignment horizontal="center"/>
    </x:xf>
    <x:xf numFmtId="0" fontId="16" fillId="72" borderId="10" xfId="0" applyNumberFormat="1" applyFont="1" applyFill="1" applyBorder="1" applyAlignment="1">
      <x:alignment horizontal="left"/>
    </x:xf>
    <x:xf numFmtId="200" fontId="16" fillId="72" borderId="11" xfId="0" applyNumberFormat="1" applyFont="1" applyFill="1" applyBorder="1" applyAlignment="1">
      <x:alignment horizontal="center"/>
    </x:xf>
    <x:xf numFmtId="200" fontId="16" fillId="72" borderId="12" xfId="0" applyNumberFormat="1" applyFont="1" applyFill="1" applyBorder="1" applyAlignment="1">
      <x:alignment horizontal="center"/>
    </x:xf>
    <x:xf numFmtId="0" fontId="17" fillId="71" borderId="0" xfId="0" applyNumberFormat="1" applyFont="1" applyFill="1" applyBorder="1" applyAlignment="1">
      <x:alignment horizontal="left"/>
    </x:xf>
    <x:xf numFmtId="0" fontId="17" fillId="71" borderId="0" xfId="0" applyNumberFormat="1" applyFont="1" applyFill="1" applyBorder="1" applyAlignment="1">
      <x:alignment horizontal="center"/>
    </x:xf>
    <x:xf numFmtId="0" fontId="17" fillId="72" borderId="0" xfId="0" applyNumberFormat="1" applyFont="1" applyFill="1" applyBorder="1" applyAlignment="1">
      <x:alignment horizontal="left"/>
    </x:xf>
    <x:xf numFmtId="0" fontId="17" fillId="72" borderId="0" xfId="0" applyNumberFormat="1" applyFont="1" applyFill="1" applyBorder="1" applyAlignment="1">
      <x:alignment horizontal="center"/>
    </x:xf>
    <x:xf numFmtId="0" fontId="0" fillId="71" borderId="0" xfId="0" applyNumberFormat="1" applyFont="1" applyFill="1" applyBorder="1"/>
    <x:xf numFmtId="0" fontId="17" fillId="71" borderId="0" xfId="0" applyNumberFormat="1" applyFont="1" applyFill="1" applyBorder="1"/>
    <x:xf numFmtId="0" fontId="0" fillId="72" borderId="0" xfId="0" applyNumberFormat="1" applyFont="1" applyFill="1" applyBorder="1"/>
    <x:xf numFmtId="0" fontId="17" fillId="72" borderId="0" xfId="0" applyNumberFormat="1" applyFont="1" applyFill="1" applyBorder="1"/>
    <x:xf numFmtId="0" fontId="0" fillId="74" borderId="0" xfId="0" applyNumberFormat="1" applyFont="1" applyFill="1" applyBorder="1"/>
    <x:xf numFmtId="0" fontId="0" fillId="75" borderId="0" xfId="0" applyNumberFormat="1" applyFont="1" applyFill="1" applyBorder="1"/>
    <x:xf numFmtId="0" fontId="0" fillId="75" borderId="0" xfId="0" applyNumberFormat="1" applyFont="1" applyFill="1" applyBorder="1" applyAlignment="1">
      <x:alignment horizontal="center"/>
    </x:xf>
    <x:xf numFmtId="0" fontId="0" fillId="76" borderId="0" xfId="0" applyNumberFormat="1" applyFont="1" applyFill="1" applyBorder="1"/>
    <x:xf numFmtId="0" fontId="0" fillId="77" borderId="0" xfId="0" applyNumberFormat="1" applyFont="1" applyFill="1" applyBorder="1"/>
    <x:xf numFmtId="0" fontId="15" fillId="78" borderId="0" xfId="0" applyNumberFormat="1" applyFont="1" applyFill="1" applyBorder="1" applyAlignment="1">
      <x:alignment horizontal="center"/>
    </x:xf>
    <x:xf numFmtId="0" fontId="0" fillId="79" borderId="0" xfId="0" applyNumberFormat="1" applyFont="1" applyFill="1" applyBorder="1" applyAlignment="1">
      <x:alignment horizontal="center"/>
    </x:xf>
    <x:xf numFmtId="0" fontId="0" fillId="80" borderId="0" xfId="0" applyNumberFormat="1" applyFont="1" applyFill="1" applyBorder="1" applyAlignment="1">
      <x:alignment horizontal="center"/>
    </x:xf>
    <x:xf numFmtId="0" fontId="6" fillId="81" borderId="0" xfId="0" applyNumberFormat="1" applyFont="1" applyFill="1" applyBorder="1" applyAlignment="1">
      <x:alignment vertical="center" wrapText="1"/>
    </x:xf>
    <x:xf numFmtId="0" fontId="0" fillId="81" borderId="0" xfId="0" applyNumberFormat="1" applyFont="1" applyFill="1" applyBorder="1"/>
    <x:xf numFmtId="0" fontId="16" fillId="79" borderId="4" xfId="0" applyNumberFormat="1" applyFont="1" applyFill="1" applyBorder="1" applyAlignment="1">
      <x:alignment horizontal="left"/>
    </x:xf>
    <x:xf numFmtId="200" fontId="16" fillId="79" borderId="5" xfId="0" applyNumberFormat="1" applyFont="1" applyFill="1" applyBorder="1" applyAlignment="1">
      <x:alignment horizontal="center"/>
    </x:xf>
    <x:xf numFmtId="200" fontId="16" fillId="79" borderId="6" xfId="0" applyNumberFormat="1" applyFont="1" applyFill="1" applyBorder="1" applyAlignment="1">
      <x:alignment horizontal="center"/>
    </x:xf>
    <x:xf numFmtId="0" fontId="16" fillId="80" borderId="7" xfId="0" applyNumberFormat="1" applyFont="1" applyFill="1" applyBorder="1" applyAlignment="1">
      <x:alignment horizontal="left"/>
    </x:xf>
    <x:xf numFmtId="200" fontId="16" fillId="80" borderId="8" xfId="0" applyNumberFormat="1" applyFont="1" applyFill="1" applyBorder="1" applyAlignment="1">
      <x:alignment horizontal="center"/>
    </x:xf>
    <x:xf numFmtId="200" fontId="16" fillId="80" borderId="9" xfId="0" applyNumberFormat="1" applyFont="1" applyFill="1" applyBorder="1" applyAlignment="1">
      <x:alignment horizontal="center"/>
    </x:xf>
    <x:xf numFmtId="0" fontId="16" fillId="79" borderId="7" xfId="0" applyNumberFormat="1" applyFont="1" applyFill="1" applyBorder="1" applyAlignment="1">
      <x:alignment horizontal="left"/>
    </x:xf>
    <x:xf numFmtId="200" fontId="16" fillId="79" borderId="8" xfId="0" applyNumberFormat="1" applyFont="1" applyFill="1" applyBorder="1" applyAlignment="1">
      <x:alignment horizontal="center"/>
    </x:xf>
    <x:xf numFmtId="200" fontId="16" fillId="79" borderId="9" xfId="0" applyNumberFormat="1" applyFont="1" applyFill="1" applyBorder="1" applyAlignment="1">
      <x:alignment horizontal="center"/>
    </x:xf>
    <x:xf numFmtId="0" fontId="16" fillId="80" borderId="10" xfId="0" applyNumberFormat="1" applyFont="1" applyFill="1" applyBorder="1" applyAlignment="1">
      <x:alignment horizontal="left"/>
    </x:xf>
    <x:xf numFmtId="200" fontId="16" fillId="80" borderId="11" xfId="0" applyNumberFormat="1" applyFont="1" applyFill="1" applyBorder="1" applyAlignment="1">
      <x:alignment horizontal="center"/>
    </x:xf>
    <x:xf numFmtId="200" fontId="16" fillId="80" borderId="12" xfId="0" applyNumberFormat="1" applyFont="1" applyFill="1" applyBorder="1" applyAlignment="1">
      <x:alignment horizontal="center"/>
    </x:xf>
    <x:xf numFmtId="0" fontId="17" fillId="79" borderId="0" xfId="0" applyNumberFormat="1" applyFont="1" applyFill="1" applyBorder="1" applyAlignment="1">
      <x:alignment horizontal="left"/>
    </x:xf>
    <x:xf numFmtId="0" fontId="17" fillId="79" borderId="0" xfId="0" applyNumberFormat="1" applyFont="1" applyFill="1" applyBorder="1" applyAlignment="1">
      <x:alignment horizontal="center"/>
    </x:xf>
    <x:xf numFmtId="0" fontId="17" fillId="80" borderId="0" xfId="0" applyNumberFormat="1" applyFont="1" applyFill="1" applyBorder="1" applyAlignment="1">
      <x:alignment horizontal="left"/>
    </x:xf>
    <x:xf numFmtId="0" fontId="17" fillId="80" borderId="0" xfId="0" applyNumberFormat="1" applyFont="1" applyFill="1" applyBorder="1" applyAlignment="1">
      <x:alignment horizontal="center"/>
    </x:xf>
    <x:xf numFmtId="0" fontId="0" fillId="82" borderId="0" xfId="0" applyNumberFormat="1" applyFont="1" applyFill="1" applyBorder="1"/>
    <x:xf numFmtId="0" fontId="0" fillId="83" borderId="0" xfId="0" applyNumberFormat="1" applyFont="1" applyFill="1" applyBorder="1"/>
    <x:xf numFmtId="0" fontId="0" fillId="83" borderId="0" xfId="0" applyNumberFormat="1" applyFont="1" applyFill="1" applyBorder="1" applyAlignment="1">
      <x:alignment horizontal="center"/>
    </x:xf>
    <x:xf numFmtId="0" fontId="0" fillId="84" borderId="0" xfId="0" applyNumberFormat="1" applyFont="1" applyFill="1" applyBorder="1"/>
    <x:xf numFmtId="0" fontId="0" fillId="85" borderId="0" xfId="0" applyNumberFormat="1" applyFont="1" applyFill="1" applyBorder="1"/>
    <x:xf numFmtId="0" fontId="15" fillId="86" borderId="0" xfId="0" applyNumberFormat="1" applyFont="1" applyFill="1" applyBorder="1" applyAlignment="1">
      <x:alignment horizontal="center"/>
    </x:xf>
    <x:xf numFmtId="0" fontId="0" fillId="87" borderId="0" xfId="0" applyNumberFormat="1" applyFont="1" applyFill="1" applyBorder="1" applyAlignment="1">
      <x:alignment horizontal="center"/>
    </x:xf>
    <x:xf numFmtId="0" fontId="0" fillId="88" borderId="0" xfId="0" applyNumberFormat="1" applyFont="1" applyFill="1" applyBorder="1" applyAlignment="1">
      <x:alignment horizontal="center"/>
    </x:xf>
    <x:xf numFmtId="0" fontId="6" fillId="89" borderId="0" xfId="0" applyNumberFormat="1" applyFont="1" applyFill="1" applyBorder="1" applyAlignment="1">
      <x:alignment vertical="center" wrapText="1"/>
    </x:xf>
    <x:xf numFmtId="0" fontId="0" fillId="89" borderId="0" xfId="0" applyNumberFormat="1" applyFont="1" applyFill="1" applyBorder="1"/>
    <x:xf numFmtId="0" fontId="16" fillId="87" borderId="4" xfId="0" applyNumberFormat="1" applyFont="1" applyFill="1" applyBorder="1" applyAlignment="1">
      <x:alignment horizontal="left"/>
    </x:xf>
    <x:xf numFmtId="200" fontId="16" fillId="87" borderId="5" xfId="0" applyNumberFormat="1" applyFont="1" applyFill="1" applyBorder="1" applyAlignment="1">
      <x:alignment horizontal="center"/>
    </x:xf>
    <x:xf numFmtId="200" fontId="16" fillId="87" borderId="6" xfId="0" applyNumberFormat="1" applyFont="1" applyFill="1" applyBorder="1" applyAlignment="1">
      <x:alignment horizontal="center"/>
    </x:xf>
    <x:xf numFmtId="0" fontId="16" fillId="88" borderId="7" xfId="0" applyNumberFormat="1" applyFont="1" applyFill="1" applyBorder="1" applyAlignment="1">
      <x:alignment horizontal="left"/>
    </x:xf>
    <x:xf numFmtId="200" fontId="16" fillId="88" borderId="8" xfId="0" applyNumberFormat="1" applyFont="1" applyFill="1" applyBorder="1" applyAlignment="1">
      <x:alignment horizontal="center"/>
    </x:xf>
    <x:xf numFmtId="200" fontId="16" fillId="88" borderId="9" xfId="0" applyNumberFormat="1" applyFont="1" applyFill="1" applyBorder="1" applyAlignment="1">
      <x:alignment horizontal="center"/>
    </x:xf>
    <x:xf numFmtId="0" fontId="16" fillId="87" borderId="7" xfId="0" applyNumberFormat="1" applyFont="1" applyFill="1" applyBorder="1" applyAlignment="1">
      <x:alignment horizontal="left"/>
    </x:xf>
    <x:xf numFmtId="200" fontId="16" fillId="87" borderId="8" xfId="0" applyNumberFormat="1" applyFont="1" applyFill="1" applyBorder="1" applyAlignment="1">
      <x:alignment horizontal="center"/>
    </x:xf>
    <x:xf numFmtId="200" fontId="16" fillId="87" borderId="9" xfId="0" applyNumberFormat="1" applyFont="1" applyFill="1" applyBorder="1" applyAlignment="1">
      <x:alignment horizontal="center"/>
    </x:xf>
    <x:xf numFmtId="0" fontId="16" fillId="88" borderId="10" xfId="0" applyNumberFormat="1" applyFont="1" applyFill="1" applyBorder="1" applyAlignment="1">
      <x:alignment horizontal="left"/>
    </x:xf>
    <x:xf numFmtId="200" fontId="16" fillId="88" borderId="11" xfId="0" applyNumberFormat="1" applyFont="1" applyFill="1" applyBorder="1" applyAlignment="1">
      <x:alignment horizontal="center"/>
    </x:xf>
    <x:xf numFmtId="200" fontId="16" fillId="88" borderId="12" xfId="0" applyNumberFormat="1" applyFont="1" applyFill="1" applyBorder="1" applyAlignment="1">
      <x:alignment horizontal="center"/>
    </x:xf>
    <x:xf numFmtId="0" fontId="17" fillId="87" borderId="0" xfId="0" applyNumberFormat="1" applyFont="1" applyFill="1" applyBorder="1" applyAlignment="1">
      <x:alignment horizontal="left"/>
    </x:xf>
    <x:xf numFmtId="0" fontId="17" fillId="87" borderId="0" xfId="0" applyNumberFormat="1" applyFont="1" applyFill="1" applyBorder="1" applyAlignment="1">
      <x:alignment horizontal="center"/>
    </x:xf>
    <x:xf numFmtId="0" fontId="17" fillId="88" borderId="0" xfId="0" applyNumberFormat="1" applyFont="1" applyFill="1" applyBorder="1" applyAlignment="1">
      <x:alignment horizontal="left"/>
    </x:xf>
    <x:xf numFmtId="0" fontId="17" fillId="88" borderId="0" xfId="0" applyNumberFormat="1" applyFont="1" applyFill="1" applyBorder="1" applyAlignment="1">
      <x:alignment horizontal="center"/>
    </x:xf>
    <x:xf numFmtId="0" fontId="0" fillId="87" borderId="0" xfId="0" applyNumberFormat="1" applyFont="1" applyFill="1" applyBorder="1"/>
    <x:xf numFmtId="0" fontId="17" fillId="87" borderId="0" xfId="0" applyNumberFormat="1" applyFont="1" applyFill="1" applyBorder="1"/>
    <x:xf numFmtId="0" fontId="16" fillId="90" borderId="4" xfId="0" applyNumberFormat="1" applyFont="1" applyFill="1" applyBorder="1" applyAlignment="1">
      <x:alignment horizontal="left"/>
    </x:xf>
    <x:xf numFmtId="200" fontId="16" fillId="90" borderId="5" xfId="0" applyNumberFormat="1" applyFont="1" applyFill="1" applyBorder="1" applyAlignment="1">
      <x:alignment horizontal="center"/>
    </x:xf>
    <x:xf numFmtId="200" fontId="16" fillId="90" borderId="6" xfId="0" applyNumberFormat="1" applyFont="1" applyFill="1" applyBorder="1" applyAlignment="1">
      <x:alignment horizontal="center"/>
    </x:xf>
    <x:xf numFmtId="0" fontId="16" fillId="91" borderId="7" xfId="0" applyNumberFormat="1" applyFont="1" applyFill="1" applyBorder="1" applyAlignment="1">
      <x:alignment horizontal="left"/>
    </x:xf>
    <x:xf numFmtId="200" fontId="16" fillId="91" borderId="8" xfId="0" applyNumberFormat="1" applyFont="1" applyFill="1" applyBorder="1" applyAlignment="1">
      <x:alignment horizontal="center"/>
    </x:xf>
    <x:xf numFmtId="200" fontId="16" fillId="91" borderId="9" xfId="0" applyNumberFormat="1" applyFont="1" applyFill="1" applyBorder="1" applyAlignment="1">
      <x:alignment horizontal="center"/>
    </x:xf>
    <x:xf numFmtId="0" fontId="16" fillId="90" borderId="7" xfId="0" applyNumberFormat="1" applyFont="1" applyFill="1" applyBorder="1" applyAlignment="1">
      <x:alignment horizontal="left"/>
    </x:xf>
    <x:xf numFmtId="200" fontId="16" fillId="90" borderId="8" xfId="0" applyNumberFormat="1" applyFont="1" applyFill="1" applyBorder="1" applyAlignment="1">
      <x:alignment horizontal="center"/>
    </x:xf>
    <x:xf numFmtId="200" fontId="16" fillId="90" borderId="9" xfId="0" applyNumberFormat="1" applyFont="1" applyFill="1" applyBorder="1" applyAlignment="1">
      <x:alignment horizontal="center"/>
    </x:xf>
    <x:xf numFmtId="0" fontId="16" fillId="91" borderId="10" xfId="0" applyNumberFormat="1" applyFont="1" applyFill="1" applyBorder="1" applyAlignment="1">
      <x:alignment horizontal="left"/>
    </x:xf>
    <x:xf numFmtId="200" fontId="16" fillId="91" borderId="11" xfId="0" applyNumberFormat="1" applyFont="1" applyFill="1" applyBorder="1" applyAlignment="1">
      <x:alignment horizontal="center"/>
    </x:xf>
    <x:xf numFmtId="200" fontId="16" fillId="91" borderId="12" xfId="0" applyNumberFormat="1" applyFont="1" applyFill="1" applyBorder="1" applyAlignment="1">
      <x:alignment horizontal="center"/>
    </x:xf>
    <x:xf numFmtId="0" fontId="17" fillId="90" borderId="0" xfId="0" applyNumberFormat="1" applyFont="1" applyFill="1" applyBorder="1" applyAlignment="1">
      <x:alignment horizontal="left"/>
    </x:xf>
    <x:xf numFmtId="0" fontId="17" fillId="90" borderId="0" xfId="0" applyNumberFormat="1" applyFont="1" applyFill="1" applyBorder="1" applyAlignment="1">
      <x:alignment horizontal="center"/>
    </x:xf>
    <x:xf numFmtId="0" fontId="17" fillId="91" borderId="0" xfId="0" applyNumberFormat="1" applyFont="1" applyFill="1" applyBorder="1" applyAlignment="1">
      <x:alignment horizontal="left"/>
    </x:xf>
    <x:xf numFmtId="0" fontId="17" fillId="91" borderId="0" xfId="0" applyNumberFormat="1" applyFont="1" applyFill="1" applyBorder="1" applyAlignment="1">
      <x:alignment horizontal="center"/>
    </x:xf>
    <x:xf numFmtId="0" fontId="16" fillId="92" borderId="4" xfId="0" applyNumberFormat="1" applyFont="1" applyFill="1" applyBorder="1" applyAlignment="1">
      <x:alignment horizontal="left"/>
    </x:xf>
    <x:xf numFmtId="200" fontId="16" fillId="92" borderId="5" xfId="0" applyNumberFormat="1" applyFont="1" applyFill="1" applyBorder="1" applyAlignment="1">
      <x:alignment horizontal="center"/>
    </x:xf>
    <x:xf numFmtId="200" fontId="16" fillId="92" borderId="6" xfId="0" applyNumberFormat="1" applyFont="1" applyFill="1" applyBorder="1" applyAlignment="1">
      <x:alignment horizontal="center"/>
    </x:xf>
    <x:xf numFmtId="0" fontId="16" fillId="93" borderId="7" xfId="0" applyNumberFormat="1" applyFont="1" applyFill="1" applyBorder="1" applyAlignment="1">
      <x:alignment horizontal="left"/>
    </x:xf>
    <x:xf numFmtId="200" fontId="16" fillId="93" borderId="8" xfId="0" applyNumberFormat="1" applyFont="1" applyFill="1" applyBorder="1" applyAlignment="1">
      <x:alignment horizontal="center"/>
    </x:xf>
    <x:xf numFmtId="200" fontId="16" fillId="93" borderId="9" xfId="0" applyNumberFormat="1" applyFont="1" applyFill="1" applyBorder="1" applyAlignment="1">
      <x:alignment horizontal="center"/>
    </x:xf>
    <x:xf numFmtId="0" fontId="16" fillId="92" borderId="7" xfId="0" applyNumberFormat="1" applyFont="1" applyFill="1" applyBorder="1" applyAlignment="1">
      <x:alignment horizontal="left"/>
    </x:xf>
    <x:xf numFmtId="200" fontId="16" fillId="92" borderId="8" xfId="0" applyNumberFormat="1" applyFont="1" applyFill="1" applyBorder="1" applyAlignment="1">
      <x:alignment horizontal="center"/>
    </x:xf>
    <x:xf numFmtId="200" fontId="16" fillId="92" borderId="9" xfId="0" applyNumberFormat="1" applyFont="1" applyFill="1" applyBorder="1" applyAlignment="1">
      <x:alignment horizontal="center"/>
    </x:xf>
    <x:xf numFmtId="0" fontId="16" fillId="93" borderId="10" xfId="0" applyNumberFormat="1" applyFont="1" applyFill="1" applyBorder="1" applyAlignment="1">
      <x:alignment horizontal="left"/>
    </x:xf>
    <x:xf numFmtId="200" fontId="16" fillId="93" borderId="11" xfId="0" applyNumberFormat="1" applyFont="1" applyFill="1" applyBorder="1" applyAlignment="1">
      <x:alignment horizontal="center"/>
    </x:xf>
    <x:xf numFmtId="200" fontId="16" fillId="93" borderId="12" xfId="0" applyNumberFormat="1" applyFont="1" applyFill="1" applyBorder="1" applyAlignment="1">
      <x:alignment horizontal="center"/>
    </x:xf>
    <x:xf numFmtId="0" fontId="17" fillId="92" borderId="0" xfId="0" applyNumberFormat="1" applyFont="1" applyFill="1" applyBorder="1" applyAlignment="1">
      <x:alignment horizontal="left"/>
    </x:xf>
    <x:xf numFmtId="0" fontId="17" fillId="92" borderId="0" xfId="0" applyNumberFormat="1" applyFont="1" applyFill="1" applyBorder="1" applyAlignment="1">
      <x:alignment horizontal="center"/>
    </x:xf>
    <x:xf numFmtId="0" fontId="17" fillId="93" borderId="0" xfId="0" applyNumberFormat="1" applyFont="1" applyFill="1" applyBorder="1" applyAlignment="1">
      <x:alignment horizontal="left"/>
    </x:xf>
    <x:xf numFmtId="0" fontId="17" fillId="9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ont>
        <x:b/>
        <x:color rgb="FF6D28D9"/>
      </x:font>
      <x:fill>
        <x:patternFill>
          <x:bgColor rgb="FFF3E8F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0F766E"/>
      </x:font>
      <x:fill>
        <x:patternFill>
          <x:bgColor rgb="FFE6FFFA"/>
        </x:patternFill>
      </x:fill>
    </x:dxf>
    <x:dxf>
      <x:font>
        <x:b/>
        <x:color rgb="FF6D28D9"/>
      </x:font>
      <x:fill>
        <x:patternFill>
          <x:bgColor rgb="FFF3E8F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0F766E"/>
      </x:font>
      <x:fill>
        <x:patternFill>
          <x:bgColor rgb="FFE6FFFA"/>
        </x:patternFill>
      </x:fill>
    </x:dxf>
    <x:dxf>
      <x:font>
        <x:b/>
        <x:color rgb="FF047857"/>
      </x:font>
      <x:fill>
        <x:patternFill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75d3d6ee34919" /><Relationship Type="http://schemas.openxmlformats.org/officeDocument/2006/relationships/theme" Target="/xl/theme/theme1.xml" Id="R0d445cfea13a4a7d" /><Relationship Type="http://schemas.openxmlformats.org/officeDocument/2006/relationships/sharedStrings" Target="/xl/sharedStrings.xml" Id="R63c08553a7bc4d9d" /><Relationship Type="http://schemas.openxmlformats.org/officeDocument/2006/relationships/worksheet" Target="/xl/worksheets/sheet1.xml" Id="Redd26477b2a645a6" /><Relationship Type="http://schemas.openxmlformats.org/officeDocument/2006/relationships/worksheet" Target="/xl/worksheets/sheet2.xml" Id="R589eeb31acf84546" /><Relationship Type="http://schemas.openxmlformats.org/officeDocument/2006/relationships/worksheet" Target="/xl/worksheets/sheet3.xml" Id="R61b83328da804423" /><Relationship Type="http://schemas.openxmlformats.org/officeDocument/2006/relationships/worksheet" Target="/xl/worksheets/sheet4.xml" Id="Rb326eaf590974fe6" /><Relationship Type="http://schemas.openxmlformats.org/officeDocument/2006/relationships/worksheet" Target="/xl/worksheets/sheet5.xml" Id="R53a8e3324f3f449b" /></Relationships>
</file>

<file path=xl/tables/table1.xml><?xml version="1.0" encoding="utf-8"?>
<x:table xmlns:x="http://schemas.openxmlformats.org/spreadsheetml/2006/main" id="4" name="ScholarTubeResources" displayName="ScholarTubeResources" ref="A1:W1026" headerRowCount="1" totalsRowCount="0" totalsRowShown="0">
  <x:autoFilter ref="A1:W1026"/>
  <x:tableColumns count="23">
    <x:tableColumn id="1" name="ID"/>
    <x:tableColumn id="2" name="Section"/>
    <x:tableColumn id="3" name="Research Direction"/>
    <x:tableColumn id="4" name="AI Domain"/>
    <x:tableColumn id="5" name="Topics / Keywords"/>
    <x:tableColumn id="6" name="Language"/>
    <x:tableColumn id="7" name="Title"/>
    <x:tableColumn id="8" name="Speaker / Guest / Instructor"/>
    <x:tableColumn id="9" name="Publisher / Channel"/>
    <x:tableColumn id="10" name="Format"/>
    <x:tableColumn id="11" name="Duration (min)"/>
    <x:tableColumn id="12" name="Video URL"/>
    <x:tableColumn id="13" name="Platform"/>
    <x:tableColumn id="14" name="Views (at collection)"/>
    <x:tableColumn id="15" name="Source Tier"/>
    <x:tableColumn id="16" name="Recommendation"/>
    <x:tableColumn id="17" name="Link Status"/>
    <x:tableColumn id="18" name="Collected On"/>
    <x:tableColumn id="19" name="Notes"/>
    <x:tableColumn id="20" name="Video ID"/>
    <x:tableColumn id="21" name="Series"/>
    <x:tableColumn id="22" name="Series Order"/>
    <x:tableColumn id="23" name="Series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olarTubePriorityAreas" displayName="ScholarTubePriorityAreas" ref="A4:H9" headerRowCount="1" totalsRowCount="0" totalsRowShown="0">
  <x:tableColumns count="8">
    <x:tableColumn id="1" name="Priority Area"/>
    <x:tableColumn id="2" name="Total"/>
    <x:tableColumn id="3" name="Interview"/>
    <x:tableColumn id="4" name="Course"/>
    <x:tableColumn id="5" name="Talk"/>
    <x:tableColumn id="6" name="YouTube"/>
    <x:tableColumn id="7" name="Bilibili"/>
    <x:tableColumn id="8" name="Xiaohongshu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cholarTubeDomains" displayName="ScholarTubeDomains" ref="A1:E47" headerRowCount="1" totalsRowCount="0" totalsRowShown="0">
  <x:tableColumns count="5">
    <x:tableColumn id="1" name="AI Domain"/>
    <x:tableColumn id="2" name="Total"/>
    <x:tableColumn id="3" name="Interview"/>
    <x:tableColumn id="4" name="Course"/>
    <x:tableColumn id="5" name="Talk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f804ce98e642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171df451a248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53a746c68548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7.5" hidden="0" customWidth="1"/>
    <x:col min="4" max="4" width="21.25" hidden="0" customWidth="1"/>
    <x:col min="5" max="5" width="37.5" hidden="0" customWidth="1"/>
    <x:col min="6" max="6" width="11.25" hidden="0" customWidth="1"/>
    <x:col min="7" max="7" width="21.25" hidden="0" customWidth="1"/>
    <x:col min="8" max="8" width="37.5" hidden="0" customWidth="1"/>
    <x:col min="9" max="9" width="11.25" hidden="0" customWidth="1"/>
    <x:col min="10" max="10" width="21.25" hidden="0" customWidth="1"/>
    <x:col min="11" max="11" width="11.25" hidden="0" customWidth="1"/>
    <x:col min="12" max="12" width="3.75" hidden="0" customWidth="1"/>
  </x:cols>
  <x:sheetData>
    <x:row r="1" ht="54" customHeight="1">
      <x:c r="A1" s="90" t="str">
        <x:v>ScholarTube | Curated AI Video Knowledge Resources</x:v>
      </x:c>
      <x:c r="B1" s="90" t="str">
        <x:v>ScholarTube | Curated AI Video Knowledge Resources</x:v>
      </x:c>
      <x:c r="C1" s="90" t="str">
        <x:v>ScholarTube | Curated AI Video Knowledge Resources</x:v>
      </x:c>
      <x:c r="D1" s="90" t="str">
        <x:v>ScholarTube | Curated AI Video Knowledge Resources</x:v>
      </x:c>
      <x:c r="E1" s="90" t="str">
        <x:v>ScholarTube | Curated AI Video Knowledge Resources</x:v>
      </x:c>
      <x:c r="F1" s="90" t="str">
        <x:v>ScholarTube | Curated AI Video Knowledge Resources</x:v>
      </x:c>
      <x:c r="G1" s="90" t="str">
        <x:v>ScholarTube | Curated AI Video Knowledge Resources</x:v>
      </x:c>
      <x:c r="H1" s="90" t="str">
        <x:v>ScholarTube | Curated AI Video Knowledge Resources</x:v>
      </x:c>
      <x:c r="I1" s="90" t="str">
        <x:v>ScholarTube | Curated AI Video Knowledge Resources</x:v>
      </x:c>
      <x:c r="J1" s="90" t="str">
        <x:v>ScholarTube | Curated AI Video Knowledge Resources</x:v>
      </x:c>
      <x:c r="K1" s="90" t="str">
        <x:v>ScholarTube | Curated AI Video Knowledge Resources</x:v>
      </x:c>
      <x:c r="L1" s="90" t="str">
        <x:v>ScholarTube | Curated AI Video Knowledge Resources</x:v>
      </x:c>
    </x:row>
    <x:row r="2" ht="28" customHeight="1">
      <x:c r="A2" s="32" t="str">
        <x:v>1025 direct videos · 647 focused-direction resources · 57 explicit series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4" ht="25" customHeight="1">
      <x:c r="A4" s="92" t="str">
        <x:v>Total Resources</x:v>
      </x:c>
      <x:c r="B4" s="92" t="str">
        <x:v>Total Resources</x:v>
      </x:c>
      <x:c r="D4" s="98" t="str">
        <x:v>Interview</x:v>
      </x:c>
      <x:c r="E4" s="98" t="str">
        <x:v>Interview</x:v>
      </x:c>
      <x:c r="G4" s="92" t="str">
        <x:v>Course</x:v>
      </x:c>
      <x:c r="H4" s="92" t="str">
        <x:v>Course</x:v>
      </x:c>
      <x:c r="J4" s="99" t="str">
        <x:v>Talk</x:v>
      </x:c>
      <x:c r="K4" s="99" t="str">
        <x:v>Talk</x:v>
      </x:c>
    </x:row>
    <x:row r="5" ht="38" customHeight="1">
      <x:c r="A5" s="95" t="n">
        <x:f>COUNTA('Resources'!$A$2:$A$1026)</x:f>
        <x:v>1025</x:v>
      </x:c>
      <x:c r="B5" s="96"/>
      <x:c r="D5" s="95" t="n">
        <x:f>COUNTIF('Resources'!$B$2:$B$1026,D4)</x:f>
        <x:v>189</x:v>
      </x:c>
      <x:c r="E5" s="96"/>
      <x:c r="G5" s="95" t="n">
        <x:f>COUNTIF('Resources'!$B$2:$B$1026,G4)</x:f>
        <x:v>483</x:v>
      </x:c>
      <x:c r="H5" s="96"/>
      <x:c r="J5" s="95" t="n">
        <x:f>COUNTIF('Resources'!$B$2:$B$1026,J4)</x:f>
        <x:v>353</x:v>
      </x:c>
      <x:c r="K5" s="96"/>
    </x:row>
    <x:row r="7" ht="25" customHeight="1">
      <x:c r="A7" s="101" t="str">
        <x:v>Tier A Sources</x:v>
      </x:c>
      <x:c r="B7" s="101" t="str">
        <x:v>Tier A Sources</x:v>
      </x:c>
      <x:c r="D7" s="101" t="str">
        <x:v>Focused Directions</x:v>
      </x:c>
      <x:c r="E7" s="101"/>
      <x:c r="G7" s="98" t="str">
        <x:v>Chinese Resources</x:v>
      </x:c>
      <x:c r="H7" s="98" t="str">
        <x:v>Chinese Resources</x:v>
      </x:c>
      <x:c r="J7" s="101" t="str">
        <x:v>Verified Links</x:v>
      </x:c>
      <x:c r="K7" s="101" t="str">
        <x:v>Verified Links</x:v>
      </x:c>
    </x:row>
    <x:row r="8" ht="38" customHeight="1">
      <x:c r="A8" s="95" t="n">
        <x:f>COUNTIF('Resources'!$O$2:$O$1026,"A | Official / Original Creator / Organizer")</x:f>
        <x:v>771</x:v>
      </x:c>
      <x:c r="B8" s="96"/>
      <x:c r="D8" s="95" t="n">
        <x:f>COUNTIF('Resources'!$C$2:$C$1026,"&lt;&gt;Other")</x:f>
        <x:v>647</x:v>
      </x:c>
      <x:c r="E8" s="96"/>
      <x:c r="G8" s="95" t="n">
        <x:f>COUNTIF('Resources'!$F$2:$F$1026,"Chinese")</x:f>
        <x:v>199</x:v>
      </x:c>
      <x:c r="H8" s="96"/>
      <x:c r="J8" s="95" t="n">
        <x:f>COUNTIF('Resources'!$Q$2:$Q$1026,"Verified")</x:f>
        <x:v>1025</x:v>
      </x:c>
      <x:c r="K8" s="96"/>
    </x:row>
    <x:row r="10" ht="30" customHeight="1">
      <x:c r="A10" s="103" t="str">
        <x:v>Filtering recommendation: enter through six research directions. Use Broader AI for cross-cutting field knowledge and How to Research for the craft of problem finding, evidence, writing, review, and communication.</x:v>
      </x:c>
      <x:c r="B10" s="103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</x:row>
    <x:row r="12" ht="28" customHeight="1">
      <x:c r="A12" s="35" t="str">
        <x:v>Top 12 Domains</x:v>
      </x:c>
      <x:c r="B12" s="35" t="str">
        <x:v>Count</x:v>
      </x:c>
      <x:c r="C12" s="35" t="str">
        <x:v>Share</x:v>
      </x:c>
      <x:c r="E12" s="113" t="str">
        <x:v>Top 12 Channels</x:v>
      </x:c>
      <x:c r="F12" s="113" t="str">
        <x:v>Count</x:v>
      </x:c>
      <x:c r="H12" s="117" t="str">
        <x:v>Source Tier</x:v>
      </x:c>
      <x:c r="I12" s="117" t="str">
        <x:v>Count</x:v>
      </x:c>
      <x:c r="J12" s="120" t="str">
        <x:v>Platform</x:v>
      </x:c>
      <x:c r="K12" s="120" t="str">
        <x:v>Count</x:v>
      </x:c>
    </x:row>
    <x:row r="13" ht="26" customHeight="1">
      <x:c r="A13" s="122" t="str">
        <x:v>Agents / Tool Use / Reasoning</x:v>
      </x:c>
      <x:c r="B13" s="83" t="n">
        <x:f>COUNTIF('Resources'!$D$2:$D$1026,A13)</x:f>
        <x:v>144</x:v>
      </x:c>
      <x:c r="C13" s="108" t="n">
        <x:f>B13/$A$5</x:f>
        <x:v>0.1404878048780488</x:v>
      </x:c>
      <x:c r="E13" s="36" t="str">
        <x:v>Stanford Online</x:v>
      </x:c>
      <x:c r="F13" s="78" t="n">
        <x:f>COUNTIF('Resources'!$I$2:$I$1026,E13)</x:f>
        <x:v>184</x:v>
      </x:c>
      <x:c r="H13" s="36" t="str">
        <x:v>A | Official / Original Creator / Organizer</x:v>
      </x:c>
      <x:c r="I13" s="78" t="n">
        <x:f>COUNTIF('Resources'!$O$2:$O$1026,"A | Official / Original Creator / Organizer")</x:f>
        <x:v>771</x:v>
      </x:c>
      <x:c r="J13" s="36" t="str">
        <x:v>YouTube</x:v>
      </x:c>
      <x:c r="K13" s="78" t="n">
        <x:f>COUNTIF('Resources'!$M$2:$M$1026,J13)</x:f>
        <x:v>733</x:v>
      </x:c>
    </x:row>
    <x:row r="14" ht="26" customHeight="1">
      <x:c r="A14" s="125" t="str">
        <x:v>Robotics / Embodied AI</x:v>
      </x:c>
      <x:c r="B14" s="85" t="n">
        <x:f>COUNTIF('Resources'!$D$2:$D$1026,A14)</x:f>
        <x:v>106</x:v>
      </x:c>
      <x:c r="C14" s="109" t="n">
        <x:f>B14/$A$5</x:f>
        <x:v>0.10341463414634146</x:v>
      </x:c>
      <x:c r="E14" s="39" t="str">
        <x:v>MIT OpenCourseWare</x:v>
      </x:c>
      <x:c r="F14" s="80" t="n">
        <x:f>COUNTIF('Resources'!$I$2:$I$1026,E14)</x:f>
        <x:v>37</x:v>
      </x:c>
      <x:c r="H14" s="39" t="str">
        <x:v>B | University / Conference / Institution</x:v>
      </x:c>
      <x:c r="I14" s="80" t="n">
        <x:f>COUNTIF('Resources'!$O$2:$O$1026,"B | University / Conference / Institution")</x:f>
        <x:v>179</x:v>
      </x:c>
      <x:c r="J14" s="39" t="str">
        <x:v>Bilibili</x:v>
      </x:c>
      <x:c r="K14" s="80" t="n">
        <x:f>COUNTIF('Resources'!$M$2:$M$1026,J14)</x:f>
        <x:v>195</x:v>
      </x:c>
    </x:row>
    <x:row r="15" ht="26" customHeight="1">
      <x:c r="A15" s="125" t="str">
        <x:v>Robotics</x:v>
      </x:c>
      <x:c r="B15" s="85" t="n">
        <x:f>COUNTIF('Resources'!$D$2:$D$1026,A15)</x:f>
        <x:v>91</x:v>
      </x:c>
      <x:c r="C15" s="109" t="n">
        <x:f>B15/$A$5</x:f>
        <x:v>0.08878048780487804</x:v>
      </x:c>
      <x:c r="E15" s="39" t="str">
        <x:v>NeurIPS</x:v>
      </x:c>
      <x:c r="F15" s="80" t="n">
        <x:f>COUNTIF('Resources'!$I$2:$I$1026,E15)</x:f>
        <x:v>35</x:v>
      </x:c>
      <x:c r="H15" s="42" t="str">
        <x:v>C | Community Selection</x:v>
      </x:c>
      <x:c r="I15" s="82" t="n">
        <x:f>COUNTIF('Resources'!$O$2:$O$1026,"C | Community Selection")</x:f>
        <x:v>75</x:v>
      </x:c>
      <x:c r="J15" s="42" t="str">
        <x:v>Conference Site</x:v>
      </x:c>
      <x:c r="K15" s="82" t="n">
        <x:f>COUNTIF('Resources'!$M$2:$M$1026,J15)</x:f>
        <x:v>84</x:v>
      </x:c>
    </x:row>
    <x:row r="16" ht="26" customHeight="1">
      <x:c r="A16" s="125" t="str">
        <x:v>Computer Vision / 3D Vision</x:v>
      </x:c>
      <x:c r="B16" s="85" t="n">
        <x:f>COUNTIF('Resources'!$D$2:$D$1026,A16)</x:f>
        <x:v>51</x:v>
      </x:c>
      <x:c r="C16" s="109" t="n">
        <x:f>B16/$A$5</x:f>
        <x:v>0.04975609756097561</x:v>
      </x:c>
      <x:c r="E16" s="39" t="str">
        <x:v>张小珺商业访谈录</x:v>
      </x:c>
      <x:c r="F16" s="80" t="n">
        <x:f>COUNTIF('Resources'!$I$2:$I$1026,E16)</x:f>
        <x:v>34</x:v>
      </x:c>
      <x:c r="J16" t="str">
        <x:v>Official Site</x:v>
      </x:c>
      <x:c r="K16" t="n">
        <x:f>COUNTIF('Resources'!$M$2:$M$1026,J16)</x:f>
        <x:v>13</x:v>
      </x:c>
    </x:row>
    <x:row r="17" ht="26" customHeight="1">
      <x:c r="A17" s="125" t="str">
        <x:v>Deep Learning Foundations</x:v>
      </x:c>
      <x:c r="B17" s="85" t="n">
        <x:f>COUNTIF('Resources'!$D$2:$D$1026,A17)</x:f>
        <x:v>43</x:v>
      </x:c>
      <x:c r="C17" s="109" t="n">
        <x:f>B17/$A$5</x:f>
        <x:v>0.041951219512195125</x:v>
      </x:c>
      <x:c r="E17" s="39" t="str">
        <x:v>underactuated</x:v>
      </x:c>
      <x:c r="F17" s="80" t="n">
        <x:f>COUNTIF('Resources'!$I$2:$I$1026,E17)</x:f>
        <x:v>25</x:v>
      </x:c>
    </x:row>
    <x:row r="18" ht="26" customHeight="1">
      <x:c r="A18" s="125" t="str">
        <x:v>World Models / Predictive Intelligence</x:v>
      </x:c>
      <x:c r="B18" s="85" t="n">
        <x:f>COUNTIF('Resources'!$D$2:$D$1026,A18)</x:f>
        <x:v>41</x:v>
      </x:c>
      <x:c r="C18" s="109" t="n">
        <x:f>B18/$A$5</x:f>
        <x:v>0.04</x:v>
      </x:c>
      <x:c r="E18" s="39" t="str">
        <x:v>Berkeley RDI</x:v>
      </x:c>
      <x:c r="F18" s="80" t="n">
        <x:f>COUNTIF('Resources'!$I$2:$I$1026,E18)</x:f>
        <x:v>24</x:v>
      </x:c>
      <x:c r="H18" s="73" t="str">
        <x:v>57 unique series · 452 grouped videos → 630 library entries</x:v>
      </x:c>
      <x:c r="I18" s="73"/>
      <x:c r="J18" s="73"/>
      <x:c r="K18" s="73"/>
      <x:c r="L18" s="73"/>
    </x:row>
    <x:row r="19" ht="26" customHeight="1">
      <x:c r="A19" s="125" t="str">
        <x:v>Vision</x:v>
      </x:c>
      <x:c r="B19" s="85" t="n">
        <x:f>COUNTIF('Resources'!$D$2:$D$1026,A19)</x:f>
        <x:v>39</x:v>
      </x:c>
      <x:c r="C19" s="109" t="n">
        <x:f>B19/$A$5</x:f>
        <x:v>0.03804878048780488</x:v>
      </x:c>
      <x:c r="E19" s="39" t="str">
        <x:v>Google DeepMind</x:v>
      </x:c>
      <x:c r="F19" s="80" t="n">
        <x:f>COUNTIF('Resources'!$I$2:$I$1026,E19)</x:f>
        <x:v>18</x:v>
      </x:c>
    </x:row>
    <x:row r="20" ht="26" customHeight="1">
      <x:c r="A20" s="125" t="str">
        <x:v>Agents</x:v>
      </x:c>
      <x:c r="B20" s="85" t="n">
        <x:f>COUNTIF('Resources'!$D$2:$D$1026,A20)</x:f>
        <x:v>38</x:v>
      </x:c>
      <x:c r="C20" s="109" t="n">
        <x:f>B20/$A$5</x:f>
        <x:v>0.037073170731707315</x:v>
      </x:c>
      <x:c r="E20" s="39" t="str">
        <x:v>CMU Robotics Institute</x:v>
      </x:c>
      <x:c r="F20" s="80" t="n">
        <x:f>COUNTIF('Resources'!$I$2:$I$1026,E20)</x:f>
        <x:v>15</x:v>
      </x:c>
    </x:row>
    <x:row r="21" ht="26" customHeight="1">
      <x:c r="A21" s="125" t="str">
        <x:v>Mathematical Foundations for AI / Matrix Methods</x:v>
      </x:c>
      <x:c r="B21" s="85" t="n">
        <x:f>COUNTIF('Resources'!$D$2:$D$1026,A21)</x:f>
        <x:v>34</x:v>
      </x:c>
      <x:c r="C21" s="109" t="n">
        <x:f>B21/$A$5</x:f>
        <x:v>0.033170731707317075</x:v>
      </x:c>
      <x:c r="E21" s="39" t="str">
        <x:v>ICLR</x:v>
      </x:c>
      <x:c r="F21" s="80" t="n">
        <x:f>COUNTIF('Resources'!$I$2:$I$1026,E21)</x:f>
        <x:v>14</x:v>
      </x:c>
    </x:row>
    <x:row r="22" ht="26" customHeight="1">
      <x:c r="A22" s="125" t="str">
        <x:v>World Models</x:v>
      </x:c>
      <x:c r="B22" s="85" t="n">
        <x:f>COUNTIF('Resources'!$D$2:$D$1026,A22)</x:f>
        <x:v>28</x:v>
      </x:c>
      <x:c r="C22" s="109" t="n">
        <x:f>B22/$A$5</x:f>
        <x:v>0.027317073170731707</x:v>
      </x:c>
      <x:c r="E22" s="39" t="str">
        <x:v>ICML</x:v>
      </x:c>
      <x:c r="F22" s="80" t="n">
        <x:f>COUNTIF('Resources'!$I$2:$I$1026,E22)</x:f>
        <x:v>14</x:v>
      </x:c>
    </x:row>
    <x:row r="23" ht="26" customHeight="1">
      <x:c r="A23" s="125" t="str">
        <x:v>Machine Learning Foundations</x:v>
      </x:c>
      <x:c r="B23" s="85" t="n">
        <x:f>COUNTIF('Resources'!$D$2:$D$1026,A23)</x:f>
        <x:v>25</x:v>
      </x:c>
      <x:c r="C23" s="109" t="n">
        <x:f>B23/$A$5</x:f>
        <x:v>0.024390243902439025</x:v>
      </x:c>
      <x:c r="E23" s="39" t="str">
        <x:v>Nathan Lambert</x:v>
      </x:c>
      <x:c r="F23" s="80" t="n">
        <x:f>COUNTIF('Resources'!$I$2:$I$1026,E23)</x:f>
        <x:v>14</x:v>
      </x:c>
    </x:row>
    <x:row r="24" ht="26" customHeight="1">
      <x:c r="A24" s="128" t="str">
        <x:v>Computer Vision</x:v>
      </x:c>
      <x:c r="B24" s="87" t="n">
        <x:f>COUNTIF('Resources'!$D$2:$D$1026,A24)</x:f>
        <x:v>22</x:v>
      </x:c>
      <x:c r="C24" s="110" t="n">
        <x:f>B24/$A$5</x:f>
        <x:v>0.021463414634146343</x:v>
      </x:c>
      <x:c r="E24" s="42" t="str">
        <x:v>Lex Fridman</x:v>
      </x:c>
      <x:c r="F24" s="82" t="n">
        <x:f>COUNTIF('Resources'!$I$2:$I$1026,E24)</x:f>
        <x:v>13</x:v>
      </x:c>
    </x:row>
  </x:sheetData>
  <x:mergeCells>
    <x:mergeCell ref="A1:L1"/>
    <x:mergeCell ref="A2:L2"/>
    <x:mergeCell ref="A4:B4"/>
    <x:mergeCell ref="A5:B5"/>
    <x:mergeCell ref="D4:E4"/>
    <x:mergeCell ref="D5:E5"/>
    <x:mergeCell ref="G4:H4"/>
    <x:mergeCell ref="G5:H5"/>
    <x:mergeCell ref="J4:K4"/>
    <x:mergeCell ref="J5:K5"/>
    <x:mergeCell ref="A7:B7"/>
    <x:mergeCell ref="A8:B8"/>
    <x:mergeCell ref="D7:E7"/>
    <x:mergeCell ref="D8:E8"/>
    <x:mergeCell ref="G7:H7"/>
    <x:mergeCell ref="G8:H8"/>
    <x:mergeCell ref="J7:K7"/>
    <x:mergeCell ref="J8:K8"/>
    <x:mergeCell ref="A10:L10"/>
    <x:mergeCell ref="H18:L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1.25" hidden="0" customWidth="1"/>
    <x:col min="3" max="3" width="20" hidden="0" customWidth="1"/>
    <x:col min="4" max="4" width="23.1299991607666" hidden="0" customWidth="1"/>
    <x:col min="5" max="5" width="28.75" hidden="0" customWidth="1"/>
    <x:col min="6" max="6" width="10" hidden="0" customWidth="1"/>
    <x:col min="7" max="7" width="55" hidden="0" customWidth="1"/>
    <x:col min="8" max="8" width="28.75" hidden="0" customWidth="1"/>
    <x:col min="9" max="9" width="28.75" hidden="0" customWidth="1"/>
    <x:col min="10" max="10" width="16.25" hidden="0" customWidth="1"/>
    <x:col min="11" max="11" width="11.25" hidden="0" customWidth="1"/>
    <x:col min="12" max="12" width="41.25" hidden="0" customWidth="1"/>
    <x:col min="13" max="13" width="11.25" hidden="0" customWidth="1"/>
    <x:col min="14" max="14" width="15" hidden="0" customWidth="1"/>
    <x:col min="15" max="15" width="33.75" hidden="0" customWidth="1"/>
    <x:col min="16" max="16" width="13.75" hidden="0" customWidth="1"/>
    <x:col min="17" max="17" width="13.75" hidden="0" customWidth="1"/>
    <x:col min="18" max="18" width="12.5" hidden="0" customWidth="1"/>
    <x:col min="19" max="19" width="41.25" hidden="0" customWidth="1"/>
    <x:col min="20" max="20" width="13.130000114440918" hidden="0" customWidth="1"/>
    <x:col min="21" max="21" width="41.25" hidden="0" customWidth="1"/>
    <x:col min="22" max="22" width="11.25" hidden="0" customWidth="1"/>
    <x:col min="23" max="23" width="31.25" hidden="0" customWidth="1"/>
  </x:cols>
  <x:sheetData>
    <x:row r="1" ht="34" customHeight="1">
      <x:c r="A1" s="13" t="str">
        <x:v>ID</x:v>
      </x:c>
      <x:c r="B1" s="14" t="str">
        <x:v>Section</x:v>
      </x:c>
      <x:c r="C1" s="14" t="str">
        <x:v>Research Direction</x:v>
      </x:c>
      <x:c r="D1" s="14" t="str">
        <x:v>AI Domain</x:v>
      </x:c>
      <x:c r="E1" s="14" t="str">
        <x:v>Topics / Keywords</x:v>
      </x:c>
      <x:c r="F1" s="14" t="str">
        <x:v>Language</x:v>
      </x:c>
      <x:c r="G1" s="14" t="str">
        <x:v>Title</x:v>
      </x:c>
      <x:c r="H1" s="14" t="str">
        <x:v>Speaker / Guest / Instructor</x:v>
      </x:c>
      <x:c r="I1" s="14" t="str">
        <x:v>Publisher / Channel</x:v>
      </x:c>
      <x:c r="J1" s="14" t="str">
        <x:v>Format</x:v>
      </x:c>
      <x:c r="K1" s="14" t="str">
        <x:v>Duration (min)</x:v>
      </x:c>
      <x:c r="L1" s="14" t="str">
        <x:v>Video URL</x:v>
      </x:c>
      <x:c r="M1" s="14" t="str">
        <x:v>Platform</x:v>
      </x:c>
      <x:c r="N1" s="14" t="str">
        <x:v>Views (at collection)</x:v>
      </x:c>
      <x:c r="O1" s="14" t="str">
        <x:v>Source Tier</x:v>
      </x:c>
      <x:c r="P1" s="14" t="str">
        <x:v>Recommendation</x:v>
      </x:c>
      <x:c r="Q1" s="14" t="str">
        <x:v>Link Status</x:v>
      </x:c>
      <x:c r="R1" s="14" t="str">
        <x:v>Collected On</x:v>
      </x:c>
      <x:c r="S1" s="14" t="str">
        <x:v>Notes</x:v>
      </x:c>
      <x:c r="T1" s="14" t="str">
        <x:v>Video ID</x:v>
      </x:c>
      <x:c r="U1" s="14" t="str">
        <x:v>Series</x:v>
      </x:c>
      <x:c r="V1" s="14" t="str">
        <x:v>Series Order</x:v>
      </x:c>
      <x:c r="W1" s="15" t="str">
        <x:v>Series ID</x:v>
      </x:c>
    </x:row>
    <x:row r="2" ht="42" customHeight="1">
      <x:c r="A2" s="22" t="str">
        <x:v>ST-001</x:v>
      </x:c>
      <x:c r="B2" s="22" t="str">
        <x:v>Interview</x:v>
      </x:c>
      <x:c r="C2" s="22" t="str">
        <x:v>Robotics</x:v>
      </x:c>
      <x:c r="D2" s="17" t="str">
        <x:v>General AI / People</x:v>
      </x:c>
      <x:c r="E2" s="17" t="str">
        <x:v>Robotics / Embodied AI</x:v>
      </x:c>
      <x:c r="F2" s="23" t="str">
        <x:v>English</x:v>
      </x:c>
      <x:c r="G2" s="17" t="str">
        <x:v>Andrej Karpathy: Tesla AI, Self-Driving, Optimus, Aliens, and AGI | Lex Fridman Podcast #333</x:v>
      </x:c>
      <x:c r="H2" s="17" t="str">
        <x:v>Andrej Karpathy</x:v>
      </x:c>
      <x:c r="I2" s="17" t="str">
        <x:v>Lex Fridman</x:v>
      </x:c>
      <x:c r="J2" s="23" t="str">
        <x:v>Podcast Interview</x:v>
      </x:c>
      <x:c r="K2" s="24" t="n">
        <x:v>209</x:v>
      </x:c>
      <x:c r="L2" s="16" t="str">
        <x:v>https://www.youtube.com/watch?v=cdiD-9MMpb0</x:v>
      </x:c>
      <x:c r="M2" s="22" t="str">
        <x:v>YouTube</x:v>
      </x:c>
      <x:c r="N2" s="25" t="n">
        <x:v>3936987</x:v>
      </x:c>
      <x:c r="O2" s="23" t="str">
        <x:v>A | Official / Original Creator / Organizer</x:v>
      </x:c>
      <x:c r="P2" s="23" t="str">
        <x:v>Core</x:v>
      </x:c>
      <x:c r="Q2" s="23" t="str">
        <x:v>Verified</x:v>
      </x:c>
      <x:c r="R2" s="26" t="n">
        <x:v>46244</x:v>
      </x:c>
      <x:c r="S2" s="17" t="str">
        <x:v>Matched to the target official channel; public metadata accessible.</x:v>
      </x:c>
      <x:c r="T2" s="16" t="str">
        <x:v>cdiD-9MMpb0</x:v>
      </x:c>
      <x:c r="U2" s="17" t="str">
        <x:v>Lex Fridman Podcast</x:v>
      </x:c>
      <x:c r="V2" s="151" t="n">
        <x:v>20221029</x:v>
      </x:c>
      <x:c r="W2" s="17" t="str">
        <x:v>lex-fridman-podcast</x:v>
      </x:c>
    </x:row>
    <x:row r="3" ht="42" customHeight="1">
      <x:c r="A3" s="22" t="str">
        <x:v>ST-002</x:v>
      </x:c>
      <x:c r="B3" s="22" t="str">
        <x:v>Interview</x:v>
      </x:c>
      <x:c r="C3" s="22" t="str">
        <x:v>Other</x:v>
      </x:c>
      <x:c r="D3" s="17" t="str">
        <x:v>General AI / People</x:v>
      </x:c>
      <x:c r="E3" s="17" t="str">
        <x:v>General AI</x:v>
      </x:c>
      <x:c r="F3" s="23" t="str">
        <x:v>English</x:v>
      </x:c>
      <x:c r="G3" s="17" t="str">
        <x:v>Roman Yampolskiy: Dangers of Superintelligent AI | Lex Fridman Podcast #431</x:v>
      </x:c>
      <x:c r="H3" s="17" t="str">
        <x:v>Roman Yampolskiy</x:v>
      </x:c>
      <x:c r="I3" s="17" t="str">
        <x:v>Lex Fridman</x:v>
      </x:c>
      <x:c r="J3" s="23" t="str">
        <x:v>Podcast Interview</x:v>
      </x:c>
      <x:c r="K3" s="24" t="n">
        <x:v>136</x:v>
      </x:c>
      <x:c r="L3" s="16" t="str">
        <x:v>https://www.youtube.com/watch?v=NNr6gPelJ3E</x:v>
      </x:c>
      <x:c r="M3" s="22" t="str">
        <x:v>YouTube</x:v>
      </x:c>
      <x:c r="N3" s="25" t="n">
        <x:v>967734</x:v>
      </x:c>
      <x:c r="O3" s="23" t="str">
        <x:v>A | Official / Original Creator / Organizer</x:v>
      </x:c>
      <x:c r="P3" s="23" t="str">
        <x:v>Core</x:v>
      </x:c>
      <x:c r="Q3" s="23" t="str">
        <x:v>Verified</x:v>
      </x:c>
      <x:c r="R3" s="26" t="n">
        <x:v>46244</x:v>
      </x:c>
      <x:c r="S3" s="17" t="str">
        <x:v>Matched to the target official channel; public metadata accessible.</x:v>
      </x:c>
      <x:c r="T3" s="16" t="str">
        <x:v>NNr6gPelJ3E</x:v>
      </x:c>
      <x:c r="U3" s="17" t="str">
        <x:v>Lex Fridman Podcast</x:v>
      </x:c>
      <x:c r="V3" s="151" t="n">
        <x:v>20240602</x:v>
      </x:c>
      <x:c r="W3" s="17" t="str">
        <x:v>lex-fridman-podcast</x:v>
      </x:c>
    </x:row>
    <x:row r="4" ht="42" customHeight="1">
      <x:c r="A4" s="22" t="str">
        <x:v>ST-003</x:v>
      </x:c>
      <x:c r="B4" s="22" t="str">
        <x:v>Interview</x:v>
      </x:c>
      <x:c r="C4" s="22" t="str">
        <x:v>Other</x:v>
      </x:c>
      <x:c r="D4" s="17" t="str">
        <x:v>General AI / People</x:v>
      </x:c>
      <x:c r="E4" s="17" t="str">
        <x:v>General AI</x:v>
      </x:c>
      <x:c r="F4" s="23" t="str">
        <x:v>English</x:v>
      </x:c>
      <x:c r="G4" s="17" t="str">
        <x:v>Jensen Huang: NVIDIA - The $4 Trillion Company &amp; the AI Revolution | Lex Fridman Podcast #494</x:v>
      </x:c>
      <x:c r="H4" s="17" t="str">
        <x:v>Jensen Huang</x:v>
      </x:c>
      <x:c r="I4" s="17" t="str">
        <x:v>Lex Fridman</x:v>
      </x:c>
      <x:c r="J4" s="23" t="str">
        <x:v>Podcast Interview</x:v>
      </x:c>
      <x:c r="K4" s="24" t="n">
        <x:v>146</x:v>
      </x:c>
      <x:c r="L4" s="16" t="str">
        <x:v>https://www.youtube.com/watch?v=vif8NQcjVf0</x:v>
      </x:c>
      <x:c r="M4" s="22" t="str">
        <x:v>YouTube</x:v>
      </x:c>
      <x:c r="N4" s="25" t="n">
        <x:v>1297416</x:v>
      </x:c>
      <x:c r="O4" s="23" t="str">
        <x:v>A | Official / Original Creator / Organizer</x:v>
      </x:c>
      <x:c r="P4" s="23" t="str">
        <x:v>Core</x:v>
      </x:c>
      <x:c r="Q4" s="23" t="str">
        <x:v>Verified</x:v>
      </x:c>
      <x:c r="R4" s="26" t="n">
        <x:v>46244</x:v>
      </x:c>
      <x:c r="S4" s="17" t="str">
        <x:v>Matched to the target official channel; public metadata accessible.</x:v>
      </x:c>
      <x:c r="T4" s="16" t="str">
        <x:v>vif8NQcjVf0</x:v>
      </x:c>
      <x:c r="U4" s="17" t="str">
        <x:v>Lex Fridman Podcast</x:v>
      </x:c>
      <x:c r="V4" s="151" t="n">
        <x:v>20260323</x:v>
      </x:c>
      <x:c r="W4" s="17" t="str">
        <x:v>lex-fridman-podcast</x:v>
      </x:c>
    </x:row>
    <x:row r="5" ht="42" customHeight="1">
      <x:c r="A5" s="22" t="str">
        <x:v>ST-004</x:v>
      </x:c>
      <x:c r="B5" s="22" t="str">
        <x:v>Interview</x:v>
      </x:c>
      <x:c r="C5" s="22" t="str">
        <x:v>Other</x:v>
      </x:c>
      <x:c r="D5" s="17" t="str">
        <x:v>General AI / People</x:v>
      </x:c>
      <x:c r="E5" s="17" t="str">
        <x:v>General AI</x:v>
      </x:c>
      <x:c r="F5" s="23" t="str">
        <x:v>English</x:v>
      </x:c>
      <x:c r="G5" s="17" t="str">
        <x:v>Eliezer Yudkowsky: Dangers of AI and the End of Human Civilization | Lex Fridman Podcast #368</x:v>
      </x:c>
      <x:c r="H5" s="17" t="str">
        <x:v>Eliezer Yudkowsky</x:v>
      </x:c>
      <x:c r="I5" s="17" t="str">
        <x:v>Lex Fridman</x:v>
      </x:c>
      <x:c r="J5" s="23" t="str">
        <x:v>Podcast Interview</x:v>
      </x:c>
      <x:c r="K5" s="24" t="n">
        <x:v>198</x:v>
      </x:c>
      <x:c r="L5" s="16" t="str">
        <x:v>https://www.youtube.com/watch?v=AaTRHFaaPG8</x:v>
      </x:c>
      <x:c r="M5" s="22" t="str">
        <x:v>YouTube</x:v>
      </x:c>
      <x:c r="N5" s="25" t="n">
        <x:v>2155443</x:v>
      </x:c>
      <x:c r="O5" s="23" t="str">
        <x:v>A | Official / Original Creator / Organizer</x:v>
      </x:c>
      <x:c r="P5" s="23" t="str">
        <x:v>Core</x:v>
      </x:c>
      <x:c r="Q5" s="23" t="str">
        <x:v>Verified</x:v>
      </x:c>
      <x:c r="R5" s="26" t="n">
        <x:v>46244</x:v>
      </x:c>
      <x:c r="S5" s="17" t="str">
        <x:v>Matched to the target official channel; public metadata accessible.</x:v>
      </x:c>
      <x:c r="T5" s="16" t="str">
        <x:v>AaTRHFaaPG8</x:v>
      </x:c>
      <x:c r="U5" s="17" t="str">
        <x:v>Lex Fridman Podcast</x:v>
      </x:c>
      <x:c r="V5" s="151" t="n">
        <x:v>20230330</x:v>
      </x:c>
      <x:c r="W5" s="17" t="str">
        <x:v>lex-fridman-podcast</x:v>
      </x:c>
    </x:row>
    <x:row r="6" ht="42" customHeight="1">
      <x:c r="A6" s="22" t="str">
        <x:v>ST-005</x:v>
      </x:c>
      <x:c r="B6" s="22" t="str">
        <x:v>Interview</x:v>
      </x:c>
      <x:c r="C6" s="22" t="str">
        <x:v>Other</x:v>
      </x:c>
      <x:c r="D6" s="17" t="str">
        <x:v>General AI / People</x:v>
      </x:c>
      <x:c r="E6" s="17" t="str">
        <x:v>General AI</x:v>
      </x:c>
      <x:c r="F6" s="23" t="str">
        <x:v>English</x:v>
      </x:c>
      <x:c r="G6" s="17" t="str">
        <x:v>Kai-Fu Lee: AI Superpowers - China and Silicon Valley | Lex Fridman Podcast #27</x:v>
      </x:c>
      <x:c r="H6" s="17" t="str">
        <x:v>Kai-Fu Lee</x:v>
      </x:c>
      <x:c r="I6" s="17" t="str">
        <x:v>Lex Fridman</x:v>
      </x:c>
      <x:c r="J6" s="23" t="str">
        <x:v>Podcast Interview</x:v>
      </x:c>
      <x:c r="K6" s="24" t="n">
        <x:v>86</x:v>
      </x:c>
      <x:c r="L6" s="16" t="str">
        <x:v>https://www.youtube.com/watch?v=cQ48rP_Rs4g</x:v>
      </x:c>
      <x:c r="M6" s="22" t="str">
        <x:v>YouTube</x:v>
      </x:c>
      <x:c r="N6" s="25" t="n">
        <x:v>242069</x:v>
      </x:c>
      <x:c r="O6" s="23" t="str">
        <x:v>A | Official / Original Creator / Organizer</x:v>
      </x:c>
      <x:c r="P6" s="23" t="str">
        <x:v>Core</x:v>
      </x:c>
      <x:c r="Q6" s="23" t="str">
        <x:v>Verified</x:v>
      </x:c>
      <x:c r="R6" s="26" t="n">
        <x:v>46244</x:v>
      </x:c>
      <x:c r="S6" s="17" t="str">
        <x:v>Matched to the target official channel; public metadata accessible.</x:v>
      </x:c>
      <x:c r="T6" s="16" t="str">
        <x:v>cQ48rP_Rs4g</x:v>
      </x:c>
      <x:c r="U6" s="17" t="str">
        <x:v>Lex Fridman Podcast</x:v>
      </x:c>
      <x:c r="V6" s="151" t="n">
        <x:v>20190715</x:v>
      </x:c>
      <x:c r="W6" s="17" t="str">
        <x:v>lex-fridman-podcast</x:v>
      </x:c>
    </x:row>
    <x:row r="7" ht="42" customHeight="1">
      <x:c r="A7" s="22" t="str">
        <x:v>ST-006</x:v>
      </x:c>
      <x:c r="B7" s="22" t="str">
        <x:v>Interview</x:v>
      </x:c>
      <x:c r="C7" s="22" t="str">
        <x:v>Other</x:v>
      </x:c>
      <x:c r="D7" s="17" t="str">
        <x:v>General AI / People</x:v>
      </x:c>
      <x:c r="E7" s="17" t="str">
        <x:v>General AI</x:v>
      </x:c>
      <x:c r="F7" s="23" t="str">
        <x:v>English</x:v>
      </x:c>
      <x:c r="G7" s="17" t="str">
        <x:v>Demis Hassabis: Future of AI, Simulating Reality, Physics and Video Games | Lex Fridman Podcast #475</x:v>
      </x:c>
      <x:c r="H7" s="17" t="str">
        <x:v>Demis Hassabis</x:v>
      </x:c>
      <x:c r="I7" s="17" t="str">
        <x:v>Lex Fridman</x:v>
      </x:c>
      <x:c r="J7" s="23" t="str">
        <x:v>Podcast Interview</x:v>
      </x:c>
      <x:c r="K7" s="24" t="n">
        <x:v>148</x:v>
      </x:c>
      <x:c r="L7" s="16" t="str">
        <x:v>https://www.youtube.com/watch?v=-HzgcbRXUK8</x:v>
      </x:c>
      <x:c r="M7" s="22" t="str">
        <x:v>YouTube</x:v>
      </x:c>
      <x:c r="N7" s="25" t="n">
        <x:v>1425893</x:v>
      </x:c>
      <x:c r="O7" s="23" t="str">
        <x:v>A | Official / Original Creator / Organizer</x:v>
      </x:c>
      <x:c r="P7" s="23" t="str">
        <x:v>Core</x:v>
      </x:c>
      <x:c r="Q7" s="23" t="str">
        <x:v>Verified</x:v>
      </x:c>
      <x:c r="R7" s="26" t="n">
        <x:v>46244</x:v>
      </x:c>
      <x:c r="S7" s="17" t="str">
        <x:v>Matched to the target official channel; public metadata accessible.</x:v>
      </x:c>
      <x:c r="T7" s="16" t="str">
        <x:v>-HzgcbRXUK8</x:v>
      </x:c>
      <x:c r="U7" s="17" t="str">
        <x:v>Lex Fridman Podcast</x:v>
      </x:c>
      <x:c r="V7" s="151" t="n">
        <x:v>20250723</x:v>
      </x:c>
      <x:c r="W7" s="17" t="str">
        <x:v>lex-fridman-podcast</x:v>
      </x:c>
    </x:row>
    <x:row r="8" ht="42" customHeight="1">
      <x:c r="A8" s="22" t="str">
        <x:v>ST-007</x:v>
      </x:c>
      <x:c r="B8" s="22" t="str">
        <x:v>Interview</x:v>
      </x:c>
      <x:c r="C8" s="22" t="str">
        <x:v>Other</x:v>
      </x:c>
      <x:c r="D8" s="17" t="str">
        <x:v>General AI / People</x:v>
      </x:c>
      <x:c r="E8" s="17" t="str">
        <x:v>General AI</x:v>
      </x:c>
      <x:c r="F8" s="23" t="str">
        <x:v>English</x:v>
      </x:c>
      <x:c r="G8" s="17" t="str">
        <x:v>Richard Haier: IQ Tests, Human Intelligence, and Group Differences | Lex Fridman Podcast #302</x:v>
      </x:c>
      <x:c r="H8" s="17" t="str">
        <x:v>Richard Haier</x:v>
      </x:c>
      <x:c r="I8" s="17" t="str">
        <x:v>Lex Fridman</x:v>
      </x:c>
      <x:c r="J8" s="23" t="str">
        <x:v>Podcast Interview</x:v>
      </x:c>
      <x:c r="K8" s="24" t="n">
        <x:v>164</x:v>
      </x:c>
      <x:c r="L8" s="16" t="str">
        <x:v>https://www.youtube.com/watch?v=hppbxV9C63g</x:v>
      </x:c>
      <x:c r="M8" s="22" t="str">
        <x:v>YouTube</x:v>
      </x:c>
      <x:c r="N8" s="25" t="n">
        <x:v>1894224</x:v>
      </x:c>
      <x:c r="O8" s="23" t="str">
        <x:v>A | Official / Original Creator / Organizer</x:v>
      </x:c>
      <x:c r="P8" s="23" t="str">
        <x:v>Core</x:v>
      </x:c>
      <x:c r="Q8" s="23" t="str">
        <x:v>Verified</x:v>
      </x:c>
      <x:c r="R8" s="26" t="n">
        <x:v>46244</x:v>
      </x:c>
      <x:c r="S8" s="17" t="str">
        <x:v>Matched to the target official channel; public metadata accessible.</x:v>
      </x:c>
      <x:c r="T8" s="16" t="str">
        <x:v>hppbxV9C63g</x:v>
      </x:c>
      <x:c r="U8" s="17" t="str">
        <x:v>Lex Fridman Podcast</x:v>
      </x:c>
      <x:c r="V8" s="151" t="n">
        <x:v>20220714</x:v>
      </x:c>
      <x:c r="W8" s="17" t="str">
        <x:v>lex-fridman-podcast</x:v>
      </x:c>
    </x:row>
    <x:row r="9" ht="42" customHeight="1">
      <x:c r="A9" s="22" t="str">
        <x:v>ST-008</x:v>
      </x:c>
      <x:c r="B9" s="22" t="str">
        <x:v>Interview</x:v>
      </x:c>
      <x:c r="C9" s="22" t="str">
        <x:v>Other</x:v>
      </x:c>
      <x:c r="D9" s="17" t="str">
        <x:v>AI Frontiers / Industry</x:v>
      </x:c>
      <x:c r="E9" s="17" t="str">
        <x:v>AI Frontiers</x:v>
      </x:c>
      <x:c r="F9" s="23" t="str">
        <x:v>English</x:v>
      </x:c>
      <x:c r="G9" s="17" t="str">
        <x:v>Ilya Sutskever – We're moving from the age of scaling to the age of research</x:v>
      </x:c>
      <x:c r="H9" s="17" t="str">
        <x:v>Ilya Sutskever</x:v>
      </x:c>
      <x:c r="I9" s="17" t="str">
        <x:v>Dwarkesh Patel</x:v>
      </x:c>
      <x:c r="J9" s="23" t="str">
        <x:v>In-depth Interview</x:v>
      </x:c>
      <x:c r="K9" s="24" t="n">
        <x:v>96</x:v>
      </x:c>
      <x:c r="L9" s="16" t="str">
        <x:v>https://www.youtube.com/watch?v=aR20FWCCjAs</x:v>
      </x:c>
      <x:c r="M9" s="22" t="str">
        <x:v>YouTube</x:v>
      </x:c>
      <x:c r="N9" s="25" t="n">
        <x:v>1454232</x:v>
      </x:c>
      <x:c r="O9" s="23" t="str">
        <x:v>A | Official / Original Creator / Organizer</x:v>
      </x:c>
      <x:c r="P9" s="23" t="str">
        <x:v>Core</x:v>
      </x:c>
      <x:c r="Q9" s="23" t="str">
        <x:v>Verified</x:v>
      </x:c>
      <x:c r="R9" s="26" t="n">
        <x:v>46244</x:v>
      </x:c>
      <x:c r="S9" s="17" t="str">
        <x:v>Matched to the target official channel; public metadata accessible.</x:v>
      </x:c>
      <x:c r="T9" s="16" t="str">
        <x:v>aR20FWCCjAs</x:v>
      </x:c>
      <x:c r="U9" s="17" t="str">
        <x:v>Dwarkesh Patel Interviews</x:v>
      </x:c>
      <x:c r="V9" s="151" t="n">
        <x:v>20251125</x:v>
      </x:c>
      <x:c r="W9" s="17" t="str">
        <x:v>dwarkesh-patel-interviews</x:v>
      </x:c>
    </x:row>
    <x:row r="10" ht="42" customHeight="1">
      <x:c r="A10" s="22" t="str">
        <x:v>ST-009</x:v>
      </x:c>
      <x:c r="B10" s="22" t="str">
        <x:v>Interview</x:v>
      </x:c>
      <x:c r="C10" s="22" t="str">
        <x:v>Other</x:v>
      </x:c>
      <x:c r="D10" s="17" t="str">
        <x:v>AI Frontiers / Industry</x:v>
      </x:c>
      <x:c r="E10" s="17" t="str">
        <x:v>AI Frontiers</x:v>
      </x:c>
      <x:c r="F10" s="23" t="str">
        <x:v>English</x:v>
      </x:c>
      <x:c r="G10" s="17" t="str">
        <x:v>Andrej Karpathy — “We’re summoning ghosts, not building animals”</x:v>
      </x:c>
      <x:c r="H10" s="17" t="str">
        <x:v>Andrej Karpathy</x:v>
      </x:c>
      <x:c r="I10" s="17" t="str">
        <x:v>Dwarkesh Patel</x:v>
      </x:c>
      <x:c r="J10" s="23" t="str">
        <x:v>In-depth Interview</x:v>
      </x:c>
      <x:c r="K10" s="24" t="n">
        <x:v>146</x:v>
      </x:c>
      <x:c r="L10" s="16" t="str">
        <x:v>https://www.youtube.com/watch?v=lXUZvyajciY</x:v>
      </x:c>
      <x:c r="M10" s="22" t="str">
        <x:v>YouTube</x:v>
      </x:c>
      <x:c r="N10" s="25" t="n">
        <x:v>1363315</x:v>
      </x:c>
      <x:c r="O10" s="23" t="str">
        <x:v>A | Official / Original Creator / Organizer</x:v>
      </x:c>
      <x:c r="P10" s="23" t="str">
        <x:v>Core</x:v>
      </x:c>
      <x:c r="Q10" s="23" t="str">
        <x:v>Verified</x:v>
      </x:c>
      <x:c r="R10" s="26" t="n">
        <x:v>46244</x:v>
      </x:c>
      <x:c r="S10" s="17" t="str">
        <x:v>Matched to the target official channel; public metadata accessible.</x:v>
      </x:c>
      <x:c r="T10" s="16" t="str">
        <x:v>lXUZvyajciY</x:v>
      </x:c>
      <x:c r="U10" s="17" t="str">
        <x:v>Dwarkesh Patel Interviews</x:v>
      </x:c>
      <x:c r="V10" s="151" t="n">
        <x:v>20251017</x:v>
      </x:c>
      <x:c r="W10" s="17" t="str">
        <x:v>dwarkesh-patel-interviews</x:v>
      </x:c>
    </x:row>
    <x:row r="11" ht="42" customHeight="1">
      <x:c r="A11" s="22" t="str">
        <x:v>ST-010</x:v>
      </x:c>
      <x:c r="B11" s="22" t="str">
        <x:v>Interview</x:v>
      </x:c>
      <x:c r="C11" s="22" t="str">
        <x:v>Other</x:v>
      </x:c>
      <x:c r="D11" s="17" t="str">
        <x:v>AI Frontiers / Industry</x:v>
      </x:c>
      <x:c r="E11" s="17" t="str">
        <x:v>AI Frontiers</x:v>
      </x:c>
      <x:c r="F11" s="23" t="str">
        <x:v>English</x:v>
      </x:c>
      <x:c r="G11" s="17" t="str">
        <x:v>Dario Amodei — “We are near the end of the exponential”</x:v>
      </x:c>
      <x:c r="H11" s="17" t="str">
        <x:v>Dario Amodei</x:v>
      </x:c>
      <x:c r="I11" s="17" t="str">
        <x:v>Dwarkesh Patel</x:v>
      </x:c>
      <x:c r="J11" s="23" t="str">
        <x:v>In-depth Interview</x:v>
      </x:c>
      <x:c r="K11" s="24" t="n">
        <x:v>142</x:v>
      </x:c>
      <x:c r="L11" s="16" t="str">
        <x:v>https://www.youtube.com/watch?v=n1E9IZfvGMA</x:v>
      </x:c>
      <x:c r="M11" s="22" t="str">
        <x:v>YouTube</x:v>
      </x:c>
      <x:c r="N11" s="25" t="n">
        <x:v>1187082</x:v>
      </x:c>
      <x:c r="O11" s="23" t="str">
        <x:v>A | Official / Original Creator / Organizer</x:v>
      </x:c>
      <x:c r="P11" s="23" t="str">
        <x:v>Core</x:v>
      </x:c>
      <x:c r="Q11" s="23" t="str">
        <x:v>Verified</x:v>
      </x:c>
      <x:c r="R11" s="26" t="n">
        <x:v>46244</x:v>
      </x:c>
      <x:c r="S11" s="17" t="str">
        <x:v>Matched to the target official channel; public metadata accessible.</x:v>
      </x:c>
      <x:c r="T11" s="16" t="str">
        <x:v>n1E9IZfvGMA</x:v>
      </x:c>
      <x:c r="U11" s="17" t="str">
        <x:v>Dwarkesh Patel Interviews</x:v>
      </x:c>
      <x:c r="V11" s="151" t="n">
        <x:v>20260213</x:v>
      </x:c>
      <x:c r="W11" s="17" t="str">
        <x:v>dwarkesh-patel-interviews</x:v>
      </x:c>
    </x:row>
    <x:row r="12" ht="42" customHeight="1">
      <x:c r="A12" s="22" t="str">
        <x:v>ST-011</x:v>
      </x:c>
      <x:c r="B12" s="22" t="str">
        <x:v>Interview</x:v>
      </x:c>
      <x:c r="C12" s="22" t="str">
        <x:v>Other</x:v>
      </x:c>
      <x:c r="D12" s="17" t="str">
        <x:v>AI Frontiers / Industry</x:v>
      </x:c>
      <x:c r="E12" s="17" t="str">
        <x:v>Large Language Models; Reinforcement Learning</x:v>
      </x:c>
      <x:c r="F12" s="23" t="str">
        <x:v>English</x:v>
      </x:c>
      <x:c r="G12" s="17" t="str">
        <x:v>Richard Sutton – Father of RL thinks LLMs are a dead end</x:v>
      </x:c>
      <x:c r="H12" s="17" t="str">
        <x:v>Richard Sutton</x:v>
      </x:c>
      <x:c r="I12" s="17" t="str">
        <x:v>Dwarkesh Patel</x:v>
      </x:c>
      <x:c r="J12" s="23" t="str">
        <x:v>In-depth Interview</x:v>
      </x:c>
      <x:c r="K12" s="24" t="n">
        <x:v>67</x:v>
      </x:c>
      <x:c r="L12" s="16" t="str">
        <x:v>https://www.youtube.com/watch?v=21EYKqUsPfg</x:v>
      </x:c>
      <x:c r="M12" s="22" t="str">
        <x:v>YouTube</x:v>
      </x:c>
      <x:c r="N12" s="25" t="n">
        <x:v>771170</x:v>
      </x:c>
      <x:c r="O12" s="23" t="str">
        <x:v>A | Official / Original Creator / Organizer</x:v>
      </x:c>
      <x:c r="P12" s="23" t="str">
        <x:v>Core</x:v>
      </x:c>
      <x:c r="Q12" s="23" t="str">
        <x:v>Verified</x:v>
      </x:c>
      <x:c r="R12" s="26" t="n">
        <x:v>46244</x:v>
      </x:c>
      <x:c r="S12" s="17" t="str">
        <x:v>Matched to the target official channel; public metadata accessible.</x:v>
      </x:c>
      <x:c r="T12" s="16" t="str">
        <x:v>21EYKqUsPfg</x:v>
      </x:c>
      <x:c r="U12" s="17" t="str">
        <x:v>Dwarkesh Patel Interviews</x:v>
      </x:c>
      <x:c r="V12" s="151" t="n">
        <x:v>20250926</x:v>
      </x:c>
      <x:c r="W12" s="17" t="str">
        <x:v>dwarkesh-patel-interviews</x:v>
      </x:c>
    </x:row>
    <x:row r="13" ht="42" customHeight="1">
      <x:c r="A13" s="22" t="str">
        <x:v>ST-012</x:v>
      </x:c>
      <x:c r="B13" s="22" t="str">
        <x:v>Interview</x:v>
      </x:c>
      <x:c r="C13" s="22" t="str">
        <x:v>Other</x:v>
      </x:c>
      <x:c r="D13" s="17" t="str">
        <x:v>AI Frontiers / Industry</x:v>
      </x:c>
      <x:c r="E13" s="17" t="str">
        <x:v>AI Systems / MLOps</x:v>
      </x:c>
      <x:c r="F13" s="23" t="str">
        <x:v>English</x:v>
      </x:c>
      <x:c r="G13" s="17" t="str">
        <x:v>Dylan Patel — The single biggest bottleneck to scaling AI compute</x:v>
      </x:c>
      <x:c r="H13" s="17" t="str">
        <x:v>Dylan Patel</x:v>
      </x:c>
      <x:c r="I13" s="17" t="str">
        <x:v>Dwarkesh Patel</x:v>
      </x:c>
      <x:c r="J13" s="23" t="str">
        <x:v>In-depth Interview</x:v>
      </x:c>
      <x:c r="K13" s="24" t="n">
        <x:v>151</x:v>
      </x:c>
      <x:c r="L13" s="16" t="str">
        <x:v>https://www.youtube.com/watch?v=mDG_Hx3BSUE</x:v>
      </x:c>
      <x:c r="M13" s="22" t="str">
        <x:v>YouTube</x:v>
      </x:c>
      <x:c r="N13" s="25" t="n">
        <x:v>300962</x:v>
      </x:c>
      <x:c r="O13" s="23" t="str">
        <x:v>A | Official / Original Creator / Organizer</x:v>
      </x:c>
      <x:c r="P13" s="23" t="str">
        <x:v>Core</x:v>
      </x:c>
      <x:c r="Q13" s="23" t="str">
        <x:v>Verified</x:v>
      </x:c>
      <x:c r="R13" s="26" t="n">
        <x:v>46244</x:v>
      </x:c>
      <x:c r="S13" s="17" t="str">
        <x:v>Matched to the target official channel; public metadata accessible.</x:v>
      </x:c>
      <x:c r="T13" s="16" t="str">
        <x:v>mDG_Hx3BSUE</x:v>
      </x:c>
      <x:c r="U13" s="17" t="str">
        <x:v>Dwarkesh Patel Interviews</x:v>
      </x:c>
      <x:c r="V13" s="151" t="n">
        <x:v>20260313</x:v>
      </x:c>
      <x:c r="W13" s="17" t="str">
        <x:v>dwarkesh-patel-interviews</x:v>
      </x:c>
    </x:row>
    <x:row r="14" ht="42" customHeight="1">
      <x:c r="A14" s="22" t="str">
        <x:v>ST-013</x:v>
      </x:c>
      <x:c r="B14" s="22" t="str">
        <x:v>Interview</x:v>
      </x:c>
      <x:c r="C14" s="22" t="str">
        <x:v>Other</x:v>
      </x:c>
      <x:c r="D14" s="17" t="str">
        <x:v>AI Frontiers / Industry</x:v>
      </x:c>
      <x:c r="E14" s="17" t="str">
        <x:v>AI Frontiers</x:v>
      </x:c>
      <x:c r="F14" s="23" t="str">
        <x:v>English</x:v>
      </x:c>
      <x:c r="G14" s="17" t="str">
        <x:v>Ilya Sutskever (OpenAI Chief Scientist) — Why next-token prediction could surpass human intelligence</x:v>
      </x:c>
      <x:c r="H14" s="17" t="str">
        <x:v>Ilya Sutskever (OpenAI Chief Scientist)</x:v>
      </x:c>
      <x:c r="I14" s="17" t="str">
        <x:v>Dwarkesh Patel</x:v>
      </x:c>
      <x:c r="J14" s="23" t="str">
        <x:v>In-depth Interview</x:v>
      </x:c>
      <x:c r="K14" s="24" t="n">
        <x:v>48</x:v>
      </x:c>
      <x:c r="L14" s="16" t="str">
        <x:v>https://www.youtube.com/watch?v=Yf1o0TQzry8</x:v>
      </x:c>
      <x:c r="M14" s="22" t="str">
        <x:v>YouTube</x:v>
      </x:c>
      <x:c r="N14" s="25" t="n">
        <x:v>781047</x:v>
      </x:c>
      <x:c r="O14" s="23" t="str">
        <x:v>A | Official / Original Creator / Organizer</x:v>
      </x:c>
      <x:c r="P14" s="23" t="str">
        <x:v>Core</x:v>
      </x:c>
      <x:c r="Q14" s="23" t="str">
        <x:v>Verified</x:v>
      </x:c>
      <x:c r="R14" s="26" t="n">
        <x:v>46244</x:v>
      </x:c>
      <x:c r="S14" s="17" t="str">
        <x:v>Matched to the target official channel; public metadata accessible.</x:v>
      </x:c>
      <x:c r="T14" s="16" t="str">
        <x:v>Yf1o0TQzry8</x:v>
      </x:c>
      <x:c r="U14" s="17" t="str">
        <x:v>Dwarkesh Patel Interviews</x:v>
      </x:c>
      <x:c r="V14" s="151" t="n">
        <x:v>20230327</x:v>
      </x:c>
      <x:c r="W14" s="17" t="str">
        <x:v>dwarkesh-patel-interviews</x:v>
      </x:c>
    </x:row>
    <x:row r="15" ht="42" customHeight="1">
      <x:c r="A15" s="22" t="str">
        <x:v>ST-014</x:v>
      </x:c>
      <x:c r="B15" s="22" t="str">
        <x:v>Interview</x:v>
      </x:c>
      <x:c r="C15" s="22" t="str">
        <x:v>Other</x:v>
      </x:c>
      <x:c r="D15" s="17" t="str">
        <x:v>AI Frontiers / Industry</x:v>
      </x:c>
      <x:c r="E15" s="17" t="str">
        <x:v>AI Frontiers</x:v>
      </x:c>
      <x:c r="F15" s="23" t="str">
        <x:v>English</x:v>
      </x:c>
      <x:c r="G15" s="17" t="str">
        <x:v>@Asianometry  &amp; Dylan Patel — How the semiconductor industry actually works</x:v>
      </x:c>
      <x:c r="H15" s="17" t="str">
        <x:v>@Asianometry  &amp; Dylan Patel</x:v>
      </x:c>
      <x:c r="I15" s="17" t="str">
        <x:v>Dwarkesh Patel</x:v>
      </x:c>
      <x:c r="J15" s="23" t="str">
        <x:v>In-depth Interview</x:v>
      </x:c>
      <x:c r="K15" s="24" t="n">
        <x:v>131</x:v>
      </x:c>
      <x:c r="L15" s="16" t="str">
        <x:v>https://www.youtube.com/watch?v=pE3KKUKXcTM</x:v>
      </x:c>
      <x:c r="M15" s="22" t="str">
        <x:v>YouTube</x:v>
      </x:c>
      <x:c r="N15" s="25" t="n">
        <x:v>365341</x:v>
      </x:c>
      <x:c r="O15" s="23" t="str">
        <x:v>A | Official / Original Creator / Organizer</x:v>
      </x:c>
      <x:c r="P15" s="23" t="str">
        <x:v>Core</x:v>
      </x:c>
      <x:c r="Q15" s="23" t="str">
        <x:v>Verified</x:v>
      </x:c>
      <x:c r="R15" s="26" t="n">
        <x:v>46244</x:v>
      </x:c>
      <x:c r="S15" s="17" t="str">
        <x:v>Matched to the target official channel; public metadata accessible.</x:v>
      </x:c>
      <x:c r="T15" s="16" t="str">
        <x:v>pE3KKUKXcTM</x:v>
      </x:c>
      <x:c r="U15" s="17" t="str">
        <x:v>Dwarkesh Patel Interviews</x:v>
      </x:c>
      <x:c r="V15" s="151" t="n">
        <x:v>20241002</x:v>
      </x:c>
      <x:c r="W15" s="17" t="str">
        <x:v>dwarkesh-patel-interviews</x:v>
      </x:c>
    </x:row>
    <x:row r="16" ht="42" customHeight="1">
      <x:c r="A16" s="22" t="str">
        <x:v>ST-015</x:v>
      </x:c>
      <x:c r="B16" s="22" t="str">
        <x:v>Interview</x:v>
      </x:c>
      <x:c r="C16" s="22" t="str">
        <x:v>Other</x:v>
      </x:c>
      <x:c r="D16" s="17" t="str">
        <x:v>AI Frontiers / Industry</x:v>
      </x:c>
      <x:c r="E16" s="17" t="str">
        <x:v>AI Frontiers</x:v>
      </x:c>
      <x:c r="F16" s="23" t="str">
        <x:v>English</x:v>
      </x:c>
      <x:c r="G16" s="17" t="str">
        <x:v>Gwern — Anonymous writer who predicted AI trajectory on $12K/year salary</x:v>
      </x:c>
      <x:c r="H16" s="17" t="str">
        <x:v>Gwern</x:v>
      </x:c>
      <x:c r="I16" s="17" t="str">
        <x:v>Dwarkesh Patel</x:v>
      </x:c>
      <x:c r="J16" s="23" t="str">
        <x:v>In-depth Interview</x:v>
      </x:c>
      <x:c r="K16" s="24" t="n">
        <x:v>97</x:v>
      </x:c>
      <x:c r="L16" s="16" t="str">
        <x:v>https://www.youtube.com/watch?v=a42key59cZQ</x:v>
      </x:c>
      <x:c r="M16" s="22" t="str">
        <x:v>YouTube</x:v>
      </x:c>
      <x:c r="N16" s="25" t="n">
        <x:v>175883</x:v>
      </x:c>
      <x:c r="O16" s="23" t="str">
        <x:v>A | Official / Original Creator / Organizer</x:v>
      </x:c>
      <x:c r="P16" s="23" t="str">
        <x:v>Core</x:v>
      </x:c>
      <x:c r="Q16" s="23" t="str">
        <x:v>Verified</x:v>
      </x:c>
      <x:c r="R16" s="26" t="n">
        <x:v>46244</x:v>
      </x:c>
      <x:c r="S16" s="17" t="str">
        <x:v>Matched to the target official channel; public metadata accessible.</x:v>
      </x:c>
      <x:c r="T16" s="16" t="str">
        <x:v>a42key59cZQ</x:v>
      </x:c>
      <x:c r="U16" s="17" t="str">
        <x:v>Dwarkesh Patel Interviews</x:v>
      </x:c>
      <x:c r="V16" s="151" t="n">
        <x:v>20241113</x:v>
      </x:c>
      <x:c r="W16" s="17" t="str">
        <x:v>dwarkesh-patel-interviews</x:v>
      </x:c>
    </x:row>
    <x:row r="17" ht="42" customHeight="1">
      <x:c r="A17" s="22" t="str">
        <x:v>ST-016</x:v>
      </x:c>
      <x:c r="B17" s="22" t="str">
        <x:v>Interview</x:v>
      </x:c>
      <x:c r="C17" s="22" t="str">
        <x:v>Other</x:v>
      </x:c>
      <x:c r="D17" s="17" t="str">
        <x:v>AI Systems / Accelerated Computing</x:v>
      </x:c>
      <x:c r="E17" s="17" t="str">
        <x:v>AI Systems / MLOps; AI for Science</x:v>
      </x:c>
      <x:c r="F17" s="23" t="str">
        <x:v>English</x:v>
      </x:c>
      <x:c r="G17" s="17" t="str">
        <x:v>NVIDIA &amp; Lilly: The AI Revolution in Drug Discovery | Jensen Huang &amp; David Ricks</x:v>
      </x:c>
      <x:c r="H17" s="17" t="str">
        <x:v>To be added</x:v>
      </x:c>
      <x:c r="I17" s="17" t="str">
        <x:v>NVIDIA</x:v>
      </x:c>
      <x:c r="J17" s="23" t="str">
        <x:v>In-depth Interview</x:v>
      </x:c>
      <x:c r="K17" s="24" t="n">
        <x:v>59</x:v>
      </x:c>
      <x:c r="L17" s="16" t="str">
        <x:v>https://www.youtube.com/watch?v=zbiEYMapsvw</x:v>
      </x:c>
      <x:c r="M17" s="22" t="str">
        <x:v>YouTube</x:v>
      </x:c>
      <x:c r="N17" s="25" t="n">
        <x:v>41267</x:v>
      </x:c>
      <x:c r="O17" s="23" t="str">
        <x:v>A | Official / Original Creator / Organizer</x:v>
      </x:c>
      <x:c r="P17" s="23" t="str">
        <x:v>Core</x:v>
      </x:c>
      <x:c r="Q17" s="23" t="str">
        <x:v>Verified</x:v>
      </x:c>
      <x:c r="R17" s="26" t="n">
        <x:v>46244</x:v>
      </x:c>
      <x:c r="S17" s="17" t="str">
        <x:v>Matched to the target official channel; public metadata accessible.</x:v>
      </x:c>
      <x:c r="T17" s="16" t="str">
        <x:v>zbiEYMapsvw</x:v>
      </x:c>
      <x:c r="U17" s="17" t="str"/>
      <x:c r="V17" s="151"/>
      <x:c r="W17" s="17" t="str"/>
    </x:row>
    <x:row r="18" ht="42" customHeight="1">
      <x:c r="A18" s="22" t="str">
        <x:v>ST-017</x:v>
      </x:c>
      <x:c r="B18" s="22" t="str">
        <x:v>Interview</x:v>
      </x:c>
      <x:c r="C18" s="22" t="str">
        <x:v>Other</x:v>
      </x:c>
      <x:c r="D18" s="17" t="str">
        <x:v>AI Systems / Accelerated Computing</x:v>
      </x:c>
      <x:c r="E18" s="17" t="str">
        <x:v>AI Systems / MLOps</x:v>
      </x:c>
      <x:c r="F18" s="23" t="str">
        <x:v>English</x:v>
      </x:c>
      <x:c r="G18" s="17" t="str">
        <x:v>Quantum Computing: Where We Are and Where We’re Headed | NVIDIA GTC 2025 Fireside Chat</x:v>
      </x:c>
      <x:c r="H18" s="17" t="str">
        <x:v>Quantum Computing</x:v>
      </x:c>
      <x:c r="I18" s="17" t="str">
        <x:v>NVIDIA Developer</x:v>
      </x:c>
      <x:c r="J18" s="23" t="str">
        <x:v>Fireside Chat</x:v>
      </x:c>
      <x:c r="K18" s="24" t="n">
        <x:v>123</x:v>
      </x:c>
      <x:c r="L18" s="16" t="str">
        <x:v>https://www.youtube.com/watch?v=9XB-LsfpvCU</x:v>
      </x:c>
      <x:c r="M18" s="22" t="str">
        <x:v>YouTube</x:v>
      </x:c>
      <x:c r="N18" s="25" t="n">
        <x:v>240200</x:v>
      </x:c>
      <x:c r="O18" s="23" t="str">
        <x:v>A | Official / Original Creator / Organizer</x:v>
      </x:c>
      <x:c r="P18" s="23" t="str">
        <x:v>Core</x:v>
      </x:c>
      <x:c r="Q18" s="23" t="str">
        <x:v>Verified</x:v>
      </x:c>
      <x:c r="R18" s="26" t="n">
        <x:v>46244</x:v>
      </x:c>
      <x:c r="S18" s="17" t="str">
        <x:v>Matched to the target official channel; public metadata accessible.</x:v>
      </x:c>
      <x:c r="T18" s="16" t="str">
        <x:v>9XB-LsfpvCU</x:v>
      </x:c>
      <x:c r="U18" s="17" t="str"/>
      <x:c r="V18" s="151"/>
      <x:c r="W18" s="17" t="str"/>
    </x:row>
    <x:row r="19" ht="42" customHeight="1">
      <x:c r="A19" s="22" t="str">
        <x:v>ST-018</x:v>
      </x:c>
      <x:c r="B19" s="22" t="str">
        <x:v>Interview</x:v>
      </x:c>
      <x:c r="C19" s="22" t="str">
        <x:v>Robotics</x:v>
      </x:c>
      <x:c r="D19" s="17" t="str">
        <x:v>Robotics / Embodied AI</x:v>
      </x:c>
      <x:c r="E19" s="17" t="str">
        <x:v>Robotics / Embodied AI</x:v>
      </x:c>
      <x:c r="F19" s="23" t="str">
        <x:v>English</x:v>
      </x:c>
      <x:c r="G19" s="17" t="str">
        <x:v>Season 1 Ep. 5 Andrea Thomaz, Diligent Robotics | The Robot Brains Podcast</x:v>
      </x:c>
      <x:c r="H19" s="17" t="str">
        <x:v>To be added</x:v>
      </x:c>
      <x:c r="I19" s="17" t="str">
        <x:v>The Robot Brains Podcast</x:v>
      </x:c>
      <x:c r="J19" s="23" t="str">
        <x:v>Podcast Interview</x:v>
      </x:c>
      <x:c r="K19" s="24" t="n">
        <x:v>70</x:v>
      </x:c>
      <x:c r="L19" s="16" t="str">
        <x:v>https://www.youtube.com/watch?v=nUtwOUNoZw0</x:v>
      </x:c>
      <x:c r="M19" s="22" t="str">
        <x:v>YouTube</x:v>
      </x:c>
      <x:c r="N19" s="25" t="n">
        <x:v>14957</x:v>
      </x:c>
      <x:c r="O19" s="23" t="str">
        <x:v>A | Official / Original Creator / Organizer</x:v>
      </x:c>
      <x:c r="P19" s="23" t="str">
        <x:v>Core</x:v>
      </x:c>
      <x:c r="Q19" s="23" t="str">
        <x:v>Verified</x:v>
      </x:c>
      <x:c r="R19" s="26" t="n">
        <x:v>46244</x:v>
      </x:c>
      <x:c r="S19" s="17" t="str">
        <x:v>Matched to the target official channel; public metadata accessible.</x:v>
      </x:c>
      <x:c r="T19" s="16" t="str">
        <x:v>nUtwOUNoZw0</x:v>
      </x:c>
      <x:c r="U19" s="17" t="str">
        <x:v>The Robot Brains Podcast</x:v>
      </x:c>
      <x:c r="V19" s="151" t="n">
        <x:v>20210805</x:v>
      </x:c>
      <x:c r="W19" s="17" t="str">
        <x:v>robot-brains-podcast</x:v>
      </x:c>
    </x:row>
    <x:row r="20" ht="42" customHeight="1">
      <x:c r="A20" s="22" t="str">
        <x:v>ST-019</x:v>
      </x:c>
      <x:c r="B20" s="22" t="str">
        <x:v>Interview</x:v>
      </x:c>
      <x:c r="C20" s="22" t="str">
        <x:v>Other</x:v>
      </x:c>
      <x:c r="D20" s="17" t="str">
        <x:v>AI Research / Social Impact</x:v>
      </x:c>
      <x:c r="E20" s="17" t="str">
        <x:v>AI for Science</x:v>
      </x:c>
      <x:c r="F20" s="23" t="str">
        <x:v>English</x:v>
      </x:c>
      <x:c r="G20" s="17" t="str">
        <x:v>Healthcare’s AI Future: A Conversation with Fei-Fei Li &amp; Andrew Ng</x:v>
      </x:c>
      <x:c r="H20" s="17" t="str">
        <x:v>Fei-Fei Li &amp; Andrew Ng</x:v>
      </x:c>
      <x:c r="I20" s="17" t="str">
        <x:v>Stanford HAI</x:v>
      </x:c>
      <x:c r="J20" s="23" t="str">
        <x:v>In-depth Interview</x:v>
      </x:c>
      <x:c r="K20" s="24" t="n">
        <x:v>64</x:v>
      </x:c>
      <x:c r="L20" s="16" t="str">
        <x:v>https://www.youtube.com/watch?v=Gbnep6RJinQ</x:v>
      </x:c>
      <x:c r="M20" s="22" t="str">
        <x:v>YouTube</x:v>
      </x:c>
      <x:c r="N20" s="25" t="n">
        <x:v>44392</x:v>
      </x:c>
      <x:c r="O20" s="23" t="str">
        <x:v>A | Official / Original Creator / Organizer</x:v>
      </x:c>
      <x:c r="P20" s="23" t="str">
        <x:v>Core</x:v>
      </x:c>
      <x:c r="Q20" s="23" t="str">
        <x:v>Verified</x:v>
      </x:c>
      <x:c r="R20" s="26" t="n">
        <x:v>46244</x:v>
      </x:c>
      <x:c r="S20" s="17" t="str">
        <x:v>Matched to the target official channel; public metadata accessible.</x:v>
      </x:c>
      <x:c r="T20" s="16" t="str">
        <x:v>Gbnep6RJinQ</x:v>
      </x:c>
      <x:c r="U20" s="17" t="str"/>
      <x:c r="V20" s="151"/>
      <x:c r="W20" s="17" t="str"/>
    </x:row>
    <x:row r="21" ht="42" customHeight="1">
      <x:c r="A21" s="22" t="str">
        <x:v>ST-020</x:v>
      </x:c>
      <x:c r="B21" s="22" t="str">
        <x:v>Interview</x:v>
      </x:c>
      <x:c r="C21" s="22" t="str">
        <x:v>Other</x:v>
      </x:c>
      <x:c r="D21" s="17" t="str">
        <x:v>Generative AI / Developers</x:v>
      </x:c>
      <x:c r="E21" s="17" t="str">
        <x:v>Generative AI</x:v>
      </x:c>
      <x:c r="F21" s="23" t="str">
        <x:v>English</x:v>
      </x:c>
      <x:c r="G21" s="17" t="str">
        <x:v>Satya Nadella on AI: @NoPriorsPodcast  x Latent Space Crossover Special at Microsoft Build 2026</x:v>
      </x:c>
      <x:c r="H21" s="17" t="str">
        <x:v>Satya Nadella on AI</x:v>
      </x:c>
      <x:c r="I21" s="17" t="str">
        <x:v>Latent Space</x:v>
      </x:c>
      <x:c r="J21" s="23" t="str">
        <x:v>Podcast Interview</x:v>
      </x:c>
      <x:c r="K21" s="24" t="n">
        <x:v>41</x:v>
      </x:c>
      <x:c r="L21" s="16" t="str">
        <x:v>https://www.youtube.com/watch?v=cFNI2FORAc0</x:v>
      </x:c>
      <x:c r="M21" s="22" t="str">
        <x:v>YouTube</x:v>
      </x:c>
      <x:c r="N21" s="25" t="n">
        <x:v>9448</x:v>
      </x:c>
      <x:c r="O21" s="23" t="str">
        <x:v>A | Official / Original Creator / Organizer</x:v>
      </x:c>
      <x:c r="P21" s="23" t="str">
        <x:v>Core</x:v>
      </x:c>
      <x:c r="Q21" s="23" t="str">
        <x:v>Verified</x:v>
      </x:c>
      <x:c r="R21" s="26" t="n">
        <x:v>46244</x:v>
      </x:c>
      <x:c r="S21" s="17" t="str">
        <x:v>Matched to the target official channel; public metadata accessible.</x:v>
      </x:c>
      <x:c r="T21" s="16" t="str">
        <x:v>cFNI2FORAc0</x:v>
      </x:c>
      <x:c r="U21" s="17" t="str">
        <x:v>Latent Space Interviews</x:v>
      </x:c>
      <x:c r="V21" s="151" t="n">
        <x:v>20260603</x:v>
      </x:c>
      <x:c r="W21" s="17" t="str">
        <x:v>latent-space-interviews</x:v>
      </x:c>
    </x:row>
    <x:row r="22" ht="42" customHeight="1">
      <x:c r="A22" s="22" t="str">
        <x:v>ST-021</x:v>
      </x:c>
      <x:c r="B22" s="22" t="str">
        <x:v>Interview</x:v>
      </x:c>
      <x:c r="C22" s="22" t="str">
        <x:v>Other</x:v>
      </x:c>
      <x:c r="D22" s="17" t="str">
        <x:v>AI Research / Social Impact</x:v>
      </x:c>
      <x:c r="E22" s="17" t="str">
        <x:v>AI Education</x:v>
      </x:c>
      <x:c r="F22" s="23" t="str">
        <x:v>English</x:v>
      </x:c>
      <x:c r="G22" s="17" t="str">
        <x:v>2024 AI+Education Summit: Fireside Chat with Sal Kahn &amp; Chris Piech</x:v>
      </x:c>
      <x:c r="H22" s="17" t="str">
        <x:v>Sal Kahn &amp; Chris Piech</x:v>
      </x:c>
      <x:c r="I22" s="17" t="str">
        <x:v>Stanford HAI</x:v>
      </x:c>
      <x:c r="J22" s="23" t="str">
        <x:v>Fireside Chat</x:v>
      </x:c>
      <x:c r="K22" s="24" t="n">
        <x:v>48</x:v>
      </x:c>
      <x:c r="L22" s="16" t="str">
        <x:v>https://www.youtube.com/watch?v=PZRNu9Ma9Ro</x:v>
      </x:c>
      <x:c r="M22" s="22" t="str">
        <x:v>YouTube</x:v>
      </x:c>
      <x:c r="N22" s="25" t="n">
        <x:v>4682</x:v>
      </x:c>
      <x:c r="O22" s="23" t="str">
        <x:v>A | Official / Original Creator / Organizer</x:v>
      </x:c>
      <x:c r="P22" s="23" t="str">
        <x:v>Core</x:v>
      </x:c>
      <x:c r="Q22" s="23" t="str">
        <x:v>Verified</x:v>
      </x:c>
      <x:c r="R22" s="26" t="n">
        <x:v>46244</x:v>
      </x:c>
      <x:c r="S22" s="17" t="str">
        <x:v>Matched to the target official channel; public metadata accessible.</x:v>
      </x:c>
      <x:c r="T22" s="16" t="str">
        <x:v>PZRNu9Ma9Ro</x:v>
      </x:c>
      <x:c r="U22" s="17" t="str"/>
      <x:c r="V22" s="151"/>
      <x:c r="W22" s="17" t="str"/>
    </x:row>
    <x:row r="23" ht="42" customHeight="1">
      <x:c r="A23" s="22" t="str">
        <x:v>ST-022</x:v>
      </x:c>
      <x:c r="B23" s="22" t="str">
        <x:v>Interview</x:v>
      </x:c>
      <x:c r="C23" s="22" t="str">
        <x:v>Robotics</x:v>
      </x:c>
      <x:c r="D23" s="17" t="str">
        <x:v>MLOps / Applied AI</x:v>
      </x:c>
      <x:c r="E23" s="17" t="str">
        <x:v>Robotics / Embodied AI; AI Systems / MLOps</x:v>
      </x:c>
      <x:c r="F23" s="23" t="str">
        <x:v>English</x:v>
      </x:c>
      <x:c r="G23" s="17" t="str">
        <x:v>Autonomous Mobile Robot Deployment: Interview with Jean Marc Alkazzi at idealworks</x:v>
      </x:c>
      <x:c r="H23" s="17" t="str">
        <x:v>Jean Marc Alkazzi at idealworks</x:v>
      </x:c>
      <x:c r="I23" s="17" t="str">
        <x:v>Weights &amp; Biases</x:v>
      </x:c>
      <x:c r="J23" s="23" t="str">
        <x:v>In-depth Interview</x:v>
      </x:c>
      <x:c r="K23" s="24" t="n">
        <x:v>64</x:v>
      </x:c>
      <x:c r="L23" s="16" t="str">
        <x:v>https://www.youtube.com/watch?v=98O-QxW2Xoo</x:v>
      </x:c>
      <x:c r="M23" s="22" t="str">
        <x:v>YouTube</x:v>
      </x:c>
      <x:c r="N23" s="25" t="n">
        <x:v>3560</x:v>
      </x:c>
      <x:c r="O23" s="23" t="str">
        <x:v>A | Official / Original Creator / Organizer</x:v>
      </x:c>
      <x:c r="P23" s="23" t="str">
        <x:v>Core</x:v>
      </x:c>
      <x:c r="Q23" s="23" t="str">
        <x:v>Verified</x:v>
      </x:c>
      <x:c r="R23" s="26" t="n">
        <x:v>46244</x:v>
      </x:c>
      <x:c r="S23" s="17" t="str">
        <x:v>Matched to the target official channel; public metadata accessible.</x:v>
      </x:c>
      <x:c r="T23" s="16" t="str">
        <x:v>98O-QxW2Xoo</x:v>
      </x:c>
      <x:c r="U23" s="17" t="str">
        <x:v>Weights &amp; Biases Interviews</x:v>
      </x:c>
      <x:c r="V23" s="151" t="n">
        <x:v>20230518</x:v>
      </x:c>
      <x:c r="W23" s="17" t="str">
        <x:v>weights-and-biases-interviews</x:v>
      </x:c>
    </x:row>
    <x:row r="24" ht="42" customHeight="1">
      <x:c r="A24" s="22" t="str">
        <x:v>ST-023</x:v>
      </x:c>
      <x:c r="B24" s="22" t="str">
        <x:v>Interview</x:v>
      </x:c>
      <x:c r="C24" s="22" t="str">
        <x:v>Other</x:v>
      </x:c>
      <x:c r="D24" s="17" t="str">
        <x:v>MLOps / Applied AI</x:v>
      </x:c>
      <x:c r="E24" s="17" t="str">
        <x:v>AI Systems / MLOps</x:v>
      </x:c>
      <x:c r="F24" s="23" t="str">
        <x:v>English</x:v>
      </x:c>
      <x:c r="G24" s="17" t="str">
        <x:v>Exploring PyTorch and Open-Source Communities: Interview with Soumith Chintala of Meta &amp; PyTorch</x:v>
      </x:c>
      <x:c r="H24" s="17" t="str">
        <x:v>Soumith Chintala of Meta &amp; PyTorch</x:v>
      </x:c>
      <x:c r="I24" s="17" t="str">
        <x:v>Weights &amp; Biases</x:v>
      </x:c>
      <x:c r="J24" s="23" t="str">
        <x:v>In-depth Interview</x:v>
      </x:c>
      <x:c r="K24" s="24" t="n">
        <x:v>65</x:v>
      </x:c>
      <x:c r="L24" s="16" t="str">
        <x:v>https://www.youtube.com/watch?v=2wprKvXnErE</x:v>
      </x:c>
      <x:c r="M24" s="22" t="str">
        <x:v>YouTube</x:v>
      </x:c>
      <x:c r="N24" s="25" t="n">
        <x:v>6983</x:v>
      </x:c>
      <x:c r="O24" s="23" t="str">
        <x:v>A | Official / Original Creator / Organizer</x:v>
      </x:c>
      <x:c r="P24" s="23" t="str">
        <x:v>Core</x:v>
      </x:c>
      <x:c r="Q24" s="23" t="str">
        <x:v>Verified</x:v>
      </x:c>
      <x:c r="R24" s="26" t="n">
        <x:v>46244</x:v>
      </x:c>
      <x:c r="S24" s="17" t="str">
        <x:v>Matched to the target official channel; public metadata accessible.</x:v>
      </x:c>
      <x:c r="T24" s="16" t="str">
        <x:v>2wprKvXnErE</x:v>
      </x:c>
      <x:c r="U24" s="17" t="str">
        <x:v>Weights &amp; Biases Interviews</x:v>
      </x:c>
      <x:c r="V24" s="151" t="n">
        <x:v>20230713</x:v>
      </x:c>
      <x:c r="W24" s="17" t="str">
        <x:v>weights-and-biases-interviews</x:v>
      </x:c>
    </x:row>
    <x:row r="25" ht="42" customHeight="1">
      <x:c r="A25" s="22" t="str">
        <x:v>ST-024</x:v>
      </x:c>
      <x:c r="B25" s="22" t="str">
        <x:v>Interview</x:v>
      </x:c>
      <x:c r="C25" s="22" t="str">
        <x:v>Robotics</x:v>
      </x:c>
      <x:c r="D25" s="17" t="str">
        <x:v>Robotics / Embodied AI</x:v>
      </x:c>
      <x:c r="E25" s="17" t="str">
        <x:v>Robotics / Embodied AI</x:v>
      </x:c>
      <x:c r="F25" s="23" t="str">
        <x:v>English</x:v>
      </x:c>
      <x:c r="G25" s="17" t="str">
        <x:v>Season 1 Ep.17 Peter Puchwein, KNAPP | The Robot Brains Podcast</x:v>
      </x:c>
      <x:c r="H25" s="17" t="str">
        <x:v>To be added</x:v>
      </x:c>
      <x:c r="I25" s="17" t="str">
        <x:v>The Robot Brains Podcast</x:v>
      </x:c>
      <x:c r="J25" s="23" t="str">
        <x:v>Podcast Interview</x:v>
      </x:c>
      <x:c r="K25" s="24" t="n">
        <x:v>75</x:v>
      </x:c>
      <x:c r="L25" s="16" t="str">
        <x:v>https://www.youtube.com/watch?v=AHOw0huInzs</x:v>
      </x:c>
      <x:c r="M25" s="22" t="str">
        <x:v>YouTube</x:v>
      </x:c>
      <x:c r="N25" s="25" t="n">
        <x:v>6804</x:v>
      </x:c>
      <x:c r="O25" s="23" t="str">
        <x:v>A | Official / Original Creator / Organizer</x:v>
      </x:c>
      <x:c r="P25" s="23" t="str">
        <x:v>Core</x:v>
      </x:c>
      <x:c r="Q25" s="23" t="str">
        <x:v>Verified</x:v>
      </x:c>
      <x:c r="R25" s="26" t="n">
        <x:v>46244</x:v>
      </x:c>
      <x:c r="S25" s="17" t="str">
        <x:v>Matched to the target official channel; public metadata accessible.</x:v>
      </x:c>
      <x:c r="T25" s="16" t="str">
        <x:v>AHOw0huInzs</x:v>
      </x:c>
      <x:c r="U25" s="17" t="str">
        <x:v>The Robot Brains Podcast</x:v>
      </x:c>
      <x:c r="V25" s="151" t="n">
        <x:v>20210724</x:v>
      </x:c>
      <x:c r="W25" s="17" t="str">
        <x:v>robot-brains-podcast</x:v>
      </x:c>
    </x:row>
    <x:row r="26" ht="42" customHeight="1">
      <x:c r="A26" s="22" t="str">
        <x:v>ST-025</x:v>
      </x:c>
      <x:c r="B26" s="22" t="str">
        <x:v>Interview</x:v>
      </x:c>
      <x:c r="C26" s="22" t="str">
        <x:v>Other</x:v>
      </x:c>
      <x:c r="D26" s="17" t="str">
        <x:v>MLOps / Applied AI</x:v>
      </x:c>
      <x:c r="E26" s="17" t="str">
        <x:v>Large Language Models; AI Systems / MLOps</x:v>
      </x:c>
      <x:c r="F26" s="23" t="str">
        <x:v>English</x:v>
      </x:c>
      <x:c r="G26" s="17" t="str">
        <x:v>Scaling LLMs and Accelerating Adoption: Interview with Aidan Gomez</x:v>
      </x:c>
      <x:c r="H26" s="17" t="str">
        <x:v>Aidan Gomez</x:v>
      </x:c>
      <x:c r="I26" s="17" t="str">
        <x:v>Weights &amp; Biases</x:v>
      </x:c>
      <x:c r="J26" s="23" t="str">
        <x:v>In-depth Interview</x:v>
      </x:c>
      <x:c r="K26" s="24" t="n">
        <x:v>68</x:v>
      </x:c>
      <x:c r="L26" s="16" t="str">
        <x:v>https://www.youtube.com/watch?v=sD24pZh7pmQ</x:v>
      </x:c>
      <x:c r="M26" s="22" t="str">
        <x:v>YouTube</x:v>
      </x:c>
      <x:c r="N26" s="25" t="n">
        <x:v>5543</x:v>
      </x:c>
      <x:c r="O26" s="23" t="str">
        <x:v>A | Official / Original Creator / Organizer</x:v>
      </x:c>
      <x:c r="P26" s="23" t="str">
        <x:v>Core</x:v>
      </x:c>
      <x:c r="Q26" s="23" t="str">
        <x:v>Verified</x:v>
      </x:c>
      <x:c r="R26" s="26" t="n">
        <x:v>46244</x:v>
      </x:c>
      <x:c r="S26" s="17" t="str">
        <x:v>Matched to the target official channel; public metadata accessible.</x:v>
      </x:c>
      <x:c r="T26" s="16" t="str">
        <x:v>sD24pZh7pmQ</x:v>
      </x:c>
      <x:c r="U26" s="17" t="str">
        <x:v>Weights &amp; Biases Interviews</x:v>
      </x:c>
      <x:c r="V26" s="151" t="n">
        <x:v>20230420</x:v>
      </x:c>
      <x:c r="W26" s="17" t="str">
        <x:v>weights-and-biases-interviews</x:v>
      </x:c>
    </x:row>
    <x:row r="27" ht="42" customHeight="1">
      <x:c r="A27" s="22" t="str">
        <x:v>ST-026</x:v>
      </x:c>
      <x:c r="B27" s="22" t="str">
        <x:v>Interview</x:v>
      </x:c>
      <x:c r="C27" s="22" t="str">
        <x:v>Other</x:v>
      </x:c>
      <x:c r="D27" s="17" t="str">
        <x:v>MLOps / Applied AI</x:v>
      </x:c>
      <x:c r="E27" s="17" t="str">
        <x:v>AI Systems / MLOps; AI Education</x:v>
      </x:c>
      <x:c r="F27" s="23" t="str">
        <x:v>English</x:v>
      </x:c>
      <x:c r="G27" s="17" t="str">
        <x:v>Operationalizing Machine Learning: Interview with Shreya Shankar</x:v>
      </x:c>
      <x:c r="H27" s="17" t="str">
        <x:v>Shreya Shankar</x:v>
      </x:c>
      <x:c r="I27" s="17" t="str">
        <x:v>Weights &amp; Biases</x:v>
      </x:c>
      <x:c r="J27" s="23" t="str">
        <x:v>In-depth Interview</x:v>
      </x:c>
      <x:c r="K27" s="24" t="n">
        <x:v>55</x:v>
      </x:c>
      <x:c r="L27" s="16" t="str">
        <x:v>https://www.youtube.com/watch?v=LdMydLBDgEQ</x:v>
      </x:c>
      <x:c r="M27" s="22" t="str">
        <x:v>YouTube</x:v>
      </x:c>
      <x:c r="N27" s="25" t="n">
        <x:v>3801</x:v>
      </x:c>
      <x:c r="O27" s="23" t="str">
        <x:v>A | Official / Original Creator / Organizer</x:v>
      </x:c>
      <x:c r="P27" s="23" t="str">
        <x:v>Core</x:v>
      </x:c>
      <x:c r="Q27" s="23" t="str">
        <x:v>Verified</x:v>
      </x:c>
      <x:c r="R27" s="26" t="n">
        <x:v>46244</x:v>
      </x:c>
      <x:c r="S27" s="17" t="str">
        <x:v>Matched to the target official channel; public metadata accessible.</x:v>
      </x:c>
      <x:c r="T27" s="16" t="str">
        <x:v>LdMydLBDgEQ</x:v>
      </x:c>
      <x:c r="U27" s="17" t="str">
        <x:v>Weights &amp; Biases Interviews</x:v>
      </x:c>
      <x:c r="V27" s="151" t="n">
        <x:v>20230302</x:v>
      </x:c>
      <x:c r="W27" s="17" t="str">
        <x:v>weights-and-biases-interviews</x:v>
      </x:c>
    </x:row>
    <x:row r="28" ht="42" customHeight="1">
      <x:c r="A28" s="22" t="str">
        <x:v>ST-027</x:v>
      </x:c>
      <x:c r="B28" s="22" t="str">
        <x:v>Interview</x:v>
      </x:c>
      <x:c r="C28" s="22" t="str">
        <x:v>Other</x:v>
      </x:c>
      <x:c r="D28" s="17" t="str">
        <x:v>AI Research / Social Impact</x:v>
      </x:c>
      <x:c r="E28" s="17" t="str">
        <x:v>AI Research</x:v>
      </x:c>
      <x:c r="F28" s="23" t="str">
        <x:v>English</x:v>
      </x:c>
      <x:c r="G28" s="17" t="str">
        <x:v>AI and the Economy: Fireside Chat</x:v>
      </x:c>
      <x:c r="H28" s="17" t="str">
        <x:v>AI and the Economy</x:v>
      </x:c>
      <x:c r="I28" s="17" t="str">
        <x:v>Stanford HAI</x:v>
      </x:c>
      <x:c r="J28" s="23" t="str">
        <x:v>Fireside Chat</x:v>
      </x:c>
      <x:c r="K28" s="24" t="n">
        <x:v>46</x:v>
      </x:c>
      <x:c r="L28" s="16" t="str">
        <x:v>https://www.youtube.com/watch?v=VPliJ1rSmnA</x:v>
      </x:c>
      <x:c r="M28" s="22" t="str">
        <x:v>YouTube</x:v>
      </x:c>
      <x:c r="N28" s="25" t="n">
        <x:v>621</x:v>
      </x:c>
      <x:c r="O28" s="23" t="str">
        <x:v>A | Official / Original Creator / Organizer</x:v>
      </x:c>
      <x:c r="P28" s="23" t="str">
        <x:v>Core</x:v>
      </x:c>
      <x:c r="Q28" s="23" t="str">
        <x:v>Verified</x:v>
      </x:c>
      <x:c r="R28" s="26" t="n">
        <x:v>46244</x:v>
      </x:c>
      <x:c r="S28" s="17" t="str">
        <x:v>Matched to the target official channel; public metadata accessible.</x:v>
      </x:c>
      <x:c r="T28" s="16" t="str">
        <x:v>VPliJ1rSmnA</x:v>
      </x:c>
      <x:c r="U28" s="17" t="str"/>
      <x:c r="V28" s="151"/>
      <x:c r="W28" s="17" t="str"/>
    </x:row>
    <x:row r="29" ht="42" customHeight="1">
      <x:c r="A29" s="22" t="str">
        <x:v>ST-028</x:v>
      </x:c>
      <x:c r="B29" s="22" t="str">
        <x:v>Interview</x:v>
      </x:c>
      <x:c r="C29" s="22" t="str">
        <x:v>World Model</x:v>
      </x:c>
      <x:c r="D29" s="17" t="str">
        <x:v>AI Startups / Foundation Models</x:v>
      </x:c>
      <x:c r="E29" s="17" t="str">
        <x:v>Foundation Models / World Models</x:v>
      </x:c>
      <x:c r="F29" s="23" t="str">
        <x:v>English</x:v>
      </x:c>
      <x:c r="G29" s="17" t="str">
        <x:v>From Note-Taking App to AI Workspace: The Simon Last Interview</x:v>
      </x:c>
      <x:c r="H29" s="17" t="str">
        <x:v>From Note-Taking App to AI Workspace</x:v>
      </x:c>
      <x:c r="I29" s="17" t="str">
        <x:v>No Priors: AI, Machine Learning, Tech, &amp; Startups</x:v>
      </x:c>
      <x:c r="J29" s="23" t="str">
        <x:v>In-depth Interview</x:v>
      </x:c>
      <x:c r="K29" s="24" t="n">
        <x:v>29</x:v>
      </x:c>
      <x:c r="L29" s="16" t="str">
        <x:v>https://www.youtube.com/watch?v=1dYThQgOyZU</x:v>
      </x:c>
      <x:c r="M29" s="22" t="str">
        <x:v>YouTube</x:v>
      </x:c>
      <x:c r="N29" s="25" t="n">
        <x:v>6153</x:v>
      </x:c>
      <x:c r="O29" s="23" t="str">
        <x:v>A | Official / Original Creator / Organizer</x:v>
      </x:c>
      <x:c r="P29" s="23" t="str">
        <x:v>Core</x:v>
      </x:c>
      <x:c r="Q29" s="23" t="str">
        <x:v>Verified</x:v>
      </x:c>
      <x:c r="R29" s="26" t="n">
        <x:v>46244</x:v>
      </x:c>
      <x:c r="S29" s="17" t="str">
        <x:v>Matched to the target official channel; public metadata accessible.</x:v>
      </x:c>
      <x:c r="T29" s="16" t="str">
        <x:v>1dYThQgOyZU</x:v>
      </x:c>
      <x:c r="U29" s="17" t="str">
        <x:v>No Priors</x:v>
      </x:c>
      <x:c r="V29" s="151" t="n">
        <x:v>20260312</x:v>
      </x:c>
      <x:c r="W29" s="17" t="str">
        <x:v>no-priors-podcast</x:v>
      </x:c>
    </x:row>
    <x:row r="30" ht="42" customHeight="1">
      <x:c r="A30" s="22" t="str">
        <x:v>ST-029</x:v>
      </x:c>
      <x:c r="B30" s="22" t="str">
        <x:v>Interview</x:v>
      </x:c>
      <x:c r="C30" s="22" t="str">
        <x:v>Other</x:v>
      </x:c>
      <x:c r="D30" s="17" t="str">
        <x:v>AI Research / Social Impact</x:v>
      </x:c>
      <x:c r="E30" s="17" t="str">
        <x:v>AI for Science</x:v>
      </x:c>
      <x:c r="F30" s="23" t="str">
        <x:v>English</x:v>
      </x:c>
      <x:c r="G30" s="17" t="str">
        <x:v>Fireside Chat on AI and Neuroscience</x:v>
      </x:c>
      <x:c r="H30" s="17" t="str">
        <x:v>To be added</x:v>
      </x:c>
      <x:c r="I30" s="17" t="str">
        <x:v>Wu Tsai Neurosciences Institute, Stanford</x:v>
      </x:c>
      <x:c r="J30" s="23" t="str">
        <x:v>Fireside Chat</x:v>
      </x:c>
      <x:c r="K30" s="24" t="n">
        <x:v>62</x:v>
      </x:c>
      <x:c r="L30" s="16" t="str">
        <x:v>https://www.youtube.com/watch?v=G7zKx51604g</x:v>
      </x:c>
      <x:c r="M30" s="22" t="str">
        <x:v>YouTube</x:v>
      </x:c>
      <x:c r="N30" s="25" t="n">
        <x:v>762</x:v>
      </x:c>
      <x:c r="O30" s="23" t="str">
        <x:v>A | Official / Original Creator / Organizer</x:v>
      </x:c>
      <x:c r="P30" s="23" t="str">
        <x:v>Core</x:v>
      </x:c>
      <x:c r="Q30" s="23" t="str">
        <x:v>Verified</x:v>
      </x:c>
      <x:c r="R30" s="26" t="n">
        <x:v>46244</x:v>
      </x:c>
      <x:c r="S30" s="17" t="str">
        <x:v>Matched to the target official channel; public metadata accessible.</x:v>
      </x:c>
      <x:c r="T30" s="16" t="str">
        <x:v>G7zKx51604g</x:v>
      </x:c>
      <x:c r="U30" s="17" t="str"/>
      <x:c r="V30" s="151"/>
      <x:c r="W30" s="17" t="str"/>
    </x:row>
    <x:row r="31" ht="42" customHeight="1">
      <x:c r="A31" s="22" t="str">
        <x:v>ST-030</x:v>
      </x:c>
      <x:c r="B31" s="22" t="str">
        <x:v>Interview</x:v>
      </x:c>
      <x:c r="C31" s="22" t="str">
        <x:v>Other</x:v>
      </x:c>
      <x:c r="D31" s="17" t="str">
        <x:v>AI Research / Social Impact</x:v>
      </x:c>
      <x:c r="E31" s="17" t="str">
        <x:v>AI for Science</x:v>
      </x:c>
      <x:c r="F31" s="23" t="str">
        <x:v>English</x:v>
      </x:c>
      <x:c r="G31" s="17" t="str">
        <x:v>Fireside Chat: Achieving America's AI Ambitions | Stanford Medicine's AI in Life Sciences Symposium</x:v>
      </x:c>
      <x:c r="H31" s="17" t="str">
        <x:v>Fireside Chat</x:v>
      </x:c>
      <x:c r="I31" s="17" t="str">
        <x:v>Stanford Medicine</x:v>
      </x:c>
      <x:c r="J31" s="23" t="str">
        <x:v>Fireside Chat</x:v>
      </x:c>
      <x:c r="K31" s="24" t="n">
        <x:v>29</x:v>
      </x:c>
      <x:c r="L31" s="16" t="str">
        <x:v>https://www.youtube.com/watch?v=Vu5nKPRZRDs</x:v>
      </x:c>
      <x:c r="M31" s="22" t="str">
        <x:v>YouTube</x:v>
      </x:c>
      <x:c r="N31" s="25" t="n">
        <x:v>163</x:v>
      </x:c>
      <x:c r="O31" s="23" t="str">
        <x:v>A | Official / Original Creator / Organizer</x:v>
      </x:c>
      <x:c r="P31" s="23" t="str">
        <x:v>Core</x:v>
      </x:c>
      <x:c r="Q31" s="23" t="str">
        <x:v>Verified</x:v>
      </x:c>
      <x:c r="R31" s="26" t="n">
        <x:v>46244</x:v>
      </x:c>
      <x:c r="S31" s="17" t="str">
        <x:v>Matched to the target official channel; public metadata accessible.</x:v>
      </x:c>
      <x:c r="T31" s="16" t="str">
        <x:v>Vu5nKPRZRDs</x:v>
      </x:c>
      <x:c r="U31" s="17" t="str">
        <x:v>Stanford Medicine AI in Life Sciences Symposium</x:v>
      </x:c>
      <x:c r="V31" s="151" t="n">
        <x:v>20260610</x:v>
      </x:c>
      <x:c r="W31" s="17" t="str">
        <x:v>stanford-medicine-ai-life-sciences-symposium</x:v>
      </x:c>
    </x:row>
    <x:row r="32" ht="42" customHeight="1">
      <x:c r="A32" s="22" t="str">
        <x:v>ST-031</x:v>
      </x:c>
      <x:c r="B32" s="22" t="str">
        <x:v>Interview</x:v>
      </x:c>
      <x:c r="C32" s="22" t="str">
        <x:v>World Model</x:v>
      </x:c>
      <x:c r="D32" s="17" t="str">
        <x:v>AI Startups / Foundation Models</x:v>
      </x:c>
      <x:c r="E32" s="17" t="str">
        <x:v>Agents; Foundation Models / World Models</x:v>
      </x:c>
      <x:c r="F32" s="23" t="str">
        <x:v>English</x:v>
      </x:c>
      <x:c r="G32" s="17" t="str">
        <x:v>Skill Issue: Andrej Karpathy on Code Agents, AutoResearch, and the Loopy Era of AI</x:v>
      </x:c>
      <x:c r="H32" s="17" t="str">
        <x:v>Skill Issue</x:v>
      </x:c>
      <x:c r="I32" s="17" t="str">
        <x:v>No Priors: AI, Machine Learning, Tech, &amp; Startups</x:v>
      </x:c>
      <x:c r="J32" s="23" t="str">
        <x:v>In-depth Interview</x:v>
      </x:c>
      <x:c r="K32" s="24" t="n">
        <x:v>67</x:v>
      </x:c>
      <x:c r="L32" s="16" t="str">
        <x:v>https://www.youtube.com/watch?v=kwSVtQ7dziU</x:v>
      </x:c>
      <x:c r="M32" s="22" t="str">
        <x:v>YouTube</x:v>
      </x:c>
      <x:c r="N32" s="25" t="n">
        <x:v>952496</x:v>
      </x:c>
      <x:c r="O32" s="23" t="str">
        <x:v>A | Official / Original Creator / Organizer</x:v>
      </x:c>
      <x:c r="P32" s="23" t="str">
        <x:v>Core</x:v>
      </x:c>
      <x:c r="Q32" s="23" t="str">
        <x:v>Verified</x:v>
      </x:c>
      <x:c r="R32" s="26" t="n">
        <x:v>46244</x:v>
      </x:c>
      <x:c r="S32" s="17" t="str">
        <x:v>Matched to the target official channel; public metadata accessible.</x:v>
      </x:c>
      <x:c r="T32" s="16" t="str">
        <x:v>kwSVtQ7dziU</x:v>
      </x:c>
      <x:c r="U32" s="17" t="str">
        <x:v>No Priors</x:v>
      </x:c>
      <x:c r="V32" s="151" t="n">
        <x:v>20260320</x:v>
      </x:c>
      <x:c r="W32" s="17" t="str">
        <x:v>no-priors-podcast</x:v>
      </x:c>
    </x:row>
    <x:row r="33" ht="42" customHeight="1">
      <x:c r="A33" s="22" t="str">
        <x:v>ST-032</x:v>
      </x:c>
      <x:c r="B33" s="22" t="str">
        <x:v>Interview</x:v>
      </x:c>
      <x:c r="C33" s="22" t="str">
        <x:v>Other</x:v>
      </x:c>
      <x:c r="D33" s="17" t="str">
        <x:v>AI Research / Social Impact</x:v>
      </x:c>
      <x:c r="E33" s="17" t="str">
        <x:v>AI for Science</x:v>
      </x:c>
      <x:c r="F33" s="23" t="str">
        <x:v>English</x:v>
      </x:c>
      <x:c r="G33" s="17" t="str">
        <x:v>Fireside Chat with Chris Boerner and Euan Ashley | Stanford Medicine's AI in Life Sciences Symposium</x:v>
      </x:c>
      <x:c r="H33" s="17" t="str">
        <x:v>Chris Boerner and Euan Ashley</x:v>
      </x:c>
      <x:c r="I33" s="17" t="str">
        <x:v>Stanford Medicine</x:v>
      </x:c>
      <x:c r="J33" s="23" t="str">
        <x:v>Fireside Chat</x:v>
      </x:c>
      <x:c r="K33" s="24" t="n">
        <x:v>35</x:v>
      </x:c>
      <x:c r="L33" s="16" t="str">
        <x:v>https://www.youtube.com/watch?v=hhq9cYqz1-Y</x:v>
      </x:c>
      <x:c r="M33" s="22" t="str">
        <x:v>YouTube</x:v>
      </x:c>
      <x:c r="N33" s="25" t="n">
        <x:v>218</x:v>
      </x:c>
      <x:c r="O33" s="23" t="str">
        <x:v>A | Official / Original Creator / Organizer</x:v>
      </x:c>
      <x:c r="P33" s="23" t="str">
        <x:v>Core</x:v>
      </x:c>
      <x:c r="Q33" s="23" t="str">
        <x:v>Verified</x:v>
      </x:c>
      <x:c r="R33" s="26" t="n">
        <x:v>46244</x:v>
      </x:c>
      <x:c r="S33" s="17" t="str">
        <x:v>Matched to the target official channel; public metadata accessible.</x:v>
      </x:c>
      <x:c r="T33" s="16" t="str">
        <x:v>hhq9cYqz1-Y</x:v>
      </x:c>
      <x:c r="U33" s="17" t="str">
        <x:v>Stanford Medicine AI in Life Sciences Symposium</x:v>
      </x:c>
      <x:c r="V33" s="151" t="n">
        <x:v>20260610</x:v>
      </x:c>
      <x:c r="W33" s="17" t="str">
        <x:v>stanford-medicine-ai-life-sciences-symposium</x:v>
      </x:c>
    </x:row>
    <x:row r="34" ht="42" customHeight="1">
      <x:c r="A34" s="22" t="str">
        <x:v>ST-033</x:v>
      </x:c>
      <x:c r="B34" s="22" t="str">
        <x:v>Interview</x:v>
      </x:c>
      <x:c r="C34" s="22" t="str">
        <x:v>Other</x:v>
      </x:c>
      <x:c r="D34" s="17" t="str">
        <x:v>AI Industry / Startups</x:v>
      </x:c>
      <x:c r="E34" s="17" t="str">
        <x:v>AI Industry</x:v>
      </x:c>
      <x:c r="F34" s="23" t="str">
        <x:v>English</x:v>
      </x:c>
      <x:c r="G34" s="17" t="str">
        <x:v>Connor Leahy Unveils the Darker Side of AI</x:v>
      </x:c>
      <x:c r="H34" s="17" t="str">
        <x:v>To be added</x:v>
      </x:c>
      <x:c r="I34" s="17" t="str">
        <x:v>Eye on AI</x:v>
      </x:c>
      <x:c r="J34" s="23" t="str">
        <x:v>In-depth Interview</x:v>
      </x:c>
      <x:c r="K34" s="24" t="n">
        <x:v>56</x:v>
      </x:c>
      <x:c r="L34" s="16" t="str">
        <x:v>https://www.youtube.com/watch?v=tYGMfd3_D1o</x:v>
      </x:c>
      <x:c r="M34" s="22" t="str">
        <x:v>YouTube</x:v>
      </x:c>
      <x:c r="N34" s="25" t="n">
        <x:v>225993</x:v>
      </x:c>
      <x:c r="O34" s="23" t="str">
        <x:v>A | Official / Original Creator / Organizer</x:v>
      </x:c>
      <x:c r="P34" s="23" t="str">
        <x:v>Core</x:v>
      </x:c>
      <x:c r="Q34" s="23" t="str">
        <x:v>Verified</x:v>
      </x:c>
      <x:c r="R34" s="26" t="n">
        <x:v>46244</x:v>
      </x:c>
      <x:c r="S34" s="17" t="str">
        <x:v>Matched to the target official channel; public metadata accessible.</x:v>
      </x:c>
      <x:c r="T34" s="16" t="str">
        <x:v>tYGMfd3_D1o</x:v>
      </x:c>
      <x:c r="U34" s="17" t="str">
        <x:v>Eye on AI</x:v>
      </x:c>
      <x:c r="V34" s="151" t="n">
        <x:v>20230510</x:v>
      </x:c>
      <x:c r="W34" s="17" t="str">
        <x:v>eye-on-ai-podcast</x:v>
      </x:c>
    </x:row>
    <x:row r="35" ht="42" customHeight="1">
      <x:c r="A35" s="22" t="str">
        <x:v>ST-034</x:v>
      </x:c>
      <x:c r="B35" s="22" t="str">
        <x:v>Interview</x:v>
      </x:c>
      <x:c r="C35" s="22" t="str">
        <x:v>Other</x:v>
      </x:c>
      <x:c r="D35" s="17" t="str">
        <x:v>Deep Learning / Research Trends</x:v>
      </x:c>
      <x:c r="E35" s="17" t="str">
        <x:v>Deep Learning</x:v>
      </x:c>
      <x:c r="F35" s="23" t="str">
        <x:v>English</x:v>
      </x:c>
      <x:c r="G35" s="17" t="str">
        <x:v>Google Researcher Shows Life "Emerges From Code" [Blaise Agüera y Arcas]</x:v>
      </x:c>
      <x:c r="H35" s="17" t="str">
        <x:v>To be added</x:v>
      </x:c>
      <x:c r="I35" s="17" t="str">
        <x:v>Machine Learning Street Talk</x:v>
      </x:c>
      <x:c r="J35" s="23" t="str">
        <x:v>In-depth Interview</x:v>
      </x:c>
      <x:c r="K35" s="24" t="n">
        <x:v>60</x:v>
      </x:c>
      <x:c r="L35" s="16" t="str">
        <x:v>https://www.youtube.com/watch?v=rMSEqJ_4EBk</x:v>
      </x:c>
      <x:c r="M35" s="22" t="str">
        <x:v>YouTube</x:v>
      </x:c>
      <x:c r="N35" s="25" t="n">
        <x:v>77299</x:v>
      </x:c>
      <x:c r="O35" s="23" t="str">
        <x:v>A | Official / Original Creator / Organizer</x:v>
      </x:c>
      <x:c r="P35" s="23" t="str">
        <x:v>Core</x:v>
      </x:c>
      <x:c r="Q35" s="23" t="str">
        <x:v>Verified</x:v>
      </x:c>
      <x:c r="R35" s="26" t="n">
        <x:v>46244</x:v>
      </x:c>
      <x:c r="S35" s="17" t="str">
        <x:v>Matched to the target official channel; public metadata accessible.</x:v>
      </x:c>
      <x:c r="T35" s="16" t="str">
        <x:v>rMSEqJ_4EBk</x:v>
      </x:c>
      <x:c r="U35" s="17" t="str">
        <x:v>Machine Learning Street Talk Interviews</x:v>
      </x:c>
      <x:c r="V35" s="151" t="n">
        <x:v>20251021</x:v>
      </x:c>
      <x:c r="W35" s="17" t="str">
        <x:v>machine-learning-street-talk-interviews</x:v>
      </x:c>
    </x:row>
    <x:row r="36" ht="42" customHeight="1">
      <x:c r="A36" s="22" t="str">
        <x:v>ST-035</x:v>
      </x:c>
      <x:c r="B36" s="22" t="str">
        <x:v>Interview</x:v>
      </x:c>
      <x:c r="C36" s="22" t="str">
        <x:v>Robotics</x:v>
      </x:c>
      <x:c r="D36" s="17" t="str">
        <x:v>Robotics / Embodied AI</x:v>
      </x:c>
      <x:c r="E36" s="17" t="str">
        <x:v>Robotics / Embodied AI</x:v>
      </x:c>
      <x:c r="F36" s="23" t="str">
        <x:v>English</x:v>
      </x:c>
      <x:c r="G36" s="17" t="str">
        <x:v>S3 E9 Geoff Hinton, the "Godfather of AI", quits Google to warn of AI risks (Host: Pieter Abbeel)</x:v>
      </x:c>
      <x:c r="H36" s="17" t="str">
        <x:v>To be added</x:v>
      </x:c>
      <x:c r="I36" s="17" t="str">
        <x:v>The Robot Brains Podcast</x:v>
      </x:c>
      <x:c r="J36" s="23" t="str">
        <x:v>In-depth Interview</x:v>
      </x:c>
      <x:c r="K36" s="24" t="n">
        <x:v>62</x:v>
      </x:c>
      <x:c r="L36" s="16" t="str">
        <x:v>https://www.youtube.com/watch?v=rLG68k2blOc</x:v>
      </x:c>
      <x:c r="M36" s="22" t="str">
        <x:v>YouTube</x:v>
      </x:c>
      <x:c r="N36" s="25" t="n">
        <x:v>112756</x:v>
      </x:c>
      <x:c r="O36" s="23" t="str">
        <x:v>A | Official / Original Creator / Organizer</x:v>
      </x:c>
      <x:c r="P36" s="23" t="str">
        <x:v>Core</x:v>
      </x:c>
      <x:c r="Q36" s="23" t="str">
        <x:v>Verified</x:v>
      </x:c>
      <x:c r="R36" s="26" t="n">
        <x:v>46244</x:v>
      </x:c>
      <x:c r="S36" s="17" t="str">
        <x:v>Matched to the target official channel; public metadata accessible.</x:v>
      </x:c>
      <x:c r="T36" s="16" t="str">
        <x:v>rLG68k2blOc</x:v>
      </x:c>
      <x:c r="U36" s="17" t="str">
        <x:v>The Robot Brains Podcast</x:v>
      </x:c>
      <x:c r="V36" s="151" t="n">
        <x:v>20230510</x:v>
      </x:c>
      <x:c r="W36" s="17" t="str">
        <x:v>robot-brains-podcast</x:v>
      </x:c>
    </x:row>
    <x:row r="37" ht="42" customHeight="1">
      <x:c r="A37" s="22" t="str">
        <x:v>ST-036</x:v>
      </x:c>
      <x:c r="B37" s="22" t="str">
        <x:v>Interview</x:v>
      </x:c>
      <x:c r="C37" s="22" t="str">
        <x:v>Other</x:v>
      </x:c>
      <x:c r="D37" s="17" t="str">
        <x:v>Deep Learning / Research Trends</x:v>
      </x:c>
      <x:c r="E37" s="17" t="str">
        <x:v>AI Education</x:v>
      </x:c>
      <x:c r="F37" s="23" t="str">
        <x:v>English</x:v>
      </x:c>
      <x:c r="G37" s="17" t="str">
        <x:v>Prof. Chris Bishop's NEW Deep Learning Textbook!</x:v>
      </x:c>
      <x:c r="H37" s="17" t="str">
        <x:v>Professor Chris Bishop</x:v>
      </x:c>
      <x:c r="I37" s="17" t="str">
        <x:v>Machine Learning Street Talk</x:v>
      </x:c>
      <x:c r="J37" s="23" t="str">
        <x:v>In-depth Interview</x:v>
      </x:c>
      <x:c r="K37" s="24" t="n">
        <x:v>83</x:v>
      </x:c>
      <x:c r="L37" s="16" t="str">
        <x:v>https://www.youtube.com/watch?v=kuvFoXzTK3E</x:v>
      </x:c>
      <x:c r="M37" s="22" t="str">
        <x:v>YouTube</x:v>
      </x:c>
      <x:c r="N37" s="25" t="n">
        <x:v>132731</x:v>
      </x:c>
      <x:c r="O37" s="23" t="str">
        <x:v>A | Official / Original Creator / Organizer</x:v>
      </x:c>
      <x:c r="P37" s="23" t="str">
        <x:v>Core</x:v>
      </x:c>
      <x:c r="Q37" s="23" t="str">
        <x:v>Verified</x:v>
      </x:c>
      <x:c r="R37" s="26" t="n">
        <x:v>46244</x:v>
      </x:c>
      <x:c r="S37" s="17" t="str">
        <x:v>Matched to the target official channel; public metadata accessible.</x:v>
      </x:c>
      <x:c r="T37" s="16" t="str">
        <x:v>kuvFoXzTK3E</x:v>
      </x:c>
      <x:c r="U37" s="17" t="str">
        <x:v>Machine Learning Street Talk Interviews</x:v>
      </x:c>
      <x:c r="V37" s="151" t="n">
        <x:v>20240410</x:v>
      </x:c>
      <x:c r="W37" s="17" t="str">
        <x:v>machine-learning-street-talk-interviews</x:v>
      </x:c>
    </x:row>
    <x:row r="38" ht="42" customHeight="1">
      <x:c r="A38" s="22" t="str">
        <x:v>ST-037</x:v>
      </x:c>
      <x:c r="B38" s="22" t="str">
        <x:v>Interview</x:v>
      </x:c>
      <x:c r="C38" s="22" t="str">
        <x:v>Other</x:v>
      </x:c>
      <x:c r="D38" s="17" t="str">
        <x:v>Deep Learning / Research Trends</x:v>
      </x:c>
      <x:c r="E38" s="17" t="str">
        <x:v>Deep Learning</x:v>
      </x:c>
      <x:c r="F38" s="23" t="str">
        <x:v>English</x:v>
      </x:c>
      <x:c r="G38" s="17" t="str">
        <x:v>KARL FRISTON - INTELLIGENCE 3.0</x:v>
      </x:c>
      <x:c r="H38" s="17" t="str">
        <x:v>To be added</x:v>
      </x:c>
      <x:c r="I38" s="17" t="str">
        <x:v>Machine Learning Street Talk</x:v>
      </x:c>
      <x:c r="J38" s="23" t="str">
        <x:v>In-depth Interview</x:v>
      </x:c>
      <x:c r="K38" s="24" t="n">
        <x:v>179</x:v>
      </x:c>
      <x:c r="L38" s="16" t="str">
        <x:v>https://www.youtube.com/watch?v=V_VXOdf1NMw</x:v>
      </x:c>
      <x:c r="M38" s="22" t="str">
        <x:v>YouTube</x:v>
      </x:c>
      <x:c r="N38" s="25" t="n">
        <x:v>136079</x:v>
      </x:c>
      <x:c r="O38" s="23" t="str">
        <x:v>A | Official / Original Creator / Organizer</x:v>
      </x:c>
      <x:c r="P38" s="23" t="str">
        <x:v>Core</x:v>
      </x:c>
      <x:c r="Q38" s="23" t="str">
        <x:v>Verified</x:v>
      </x:c>
      <x:c r="R38" s="26" t="n">
        <x:v>46244</x:v>
      </x:c>
      <x:c r="S38" s="17" t="str">
        <x:v>Matched to the target official channel; public metadata accessible.</x:v>
      </x:c>
      <x:c r="T38" s="16" t="str">
        <x:v>V_VXOdf1NMw</x:v>
      </x:c>
      <x:c r="U38" s="17" t="str">
        <x:v>Machine Learning Street Talk Interviews</x:v>
      </x:c>
      <x:c r="V38" s="151" t="n">
        <x:v>20230311</x:v>
      </x:c>
      <x:c r="W38" s="17" t="str">
        <x:v>machine-learning-street-talk-interviews</x:v>
      </x:c>
    </x:row>
    <x:row r="39" ht="42" customHeight="1">
      <x:c r="A39" s="22" t="str">
        <x:v>ST-038</x:v>
      </x:c>
      <x:c r="B39" s="22" t="str">
        <x:v>Interview</x:v>
      </x:c>
      <x:c r="C39" s="22" t="str">
        <x:v>Robotics</x:v>
      </x:c>
      <x:c r="D39" s="17" t="str">
        <x:v>Robotics / Embodied AI</x:v>
      </x:c>
      <x:c r="E39" s="17" t="str">
        <x:v>Robotics / Embodied AI</x:v>
      </x:c>
      <x:c r="F39" s="23" t="str">
        <x:v>English</x:v>
      </x:c>
      <x:c r="G39" s="17" t="str">
        <x:v>Season 1 Ep. 22 OpenAI's Ilya Sutskever: The man who made AI work</x:v>
      </x:c>
      <x:c r="H39" s="17" t="str">
        <x:v>To be added</x:v>
      </x:c>
      <x:c r="I39" s="17" t="str">
        <x:v>The Robot Brains Podcast</x:v>
      </x:c>
      <x:c r="J39" s="23" t="str">
        <x:v>Podcast Interview</x:v>
      </x:c>
      <x:c r="K39" s="24" t="n">
        <x:v>79</x:v>
      </x:c>
      <x:c r="L39" s="16" t="str">
        <x:v>https://www.youtube.com/watch?v=fCoavgGZ64Y</x:v>
      </x:c>
      <x:c r="M39" s="22" t="str">
        <x:v>YouTube</x:v>
      </x:c>
      <x:c r="N39" s="25" t="n">
        <x:v>178179</x:v>
      </x:c>
      <x:c r="O39" s="23" t="str">
        <x:v>A | Official / Original Creator / Organizer</x:v>
      </x:c>
      <x:c r="P39" s="23" t="str">
        <x:v>Core</x:v>
      </x:c>
      <x:c r="Q39" s="23" t="str">
        <x:v>Verified</x:v>
      </x:c>
      <x:c r="R39" s="26" t="n">
        <x:v>46244</x:v>
      </x:c>
      <x:c r="S39" s="17" t="str">
        <x:v>Matched to the target official channel; public metadata accessible.</x:v>
      </x:c>
      <x:c r="T39" s="16" t="str">
        <x:v>fCoavgGZ64Y</x:v>
      </x:c>
      <x:c r="U39" s="17" t="str">
        <x:v>The Robot Brains Podcast</x:v>
      </x:c>
      <x:c r="V39" s="151" t="n">
        <x:v>20210921</x:v>
      </x:c>
      <x:c r="W39" s="17" t="str">
        <x:v>robot-brains-podcast</x:v>
      </x:c>
    </x:row>
    <x:row r="40" ht="42" customHeight="1">
      <x:c r="A40" s="22" t="str">
        <x:v>ST-039</x:v>
      </x:c>
      <x:c r="B40" s="22" t="str">
        <x:v>Interview</x:v>
      </x:c>
      <x:c r="C40" s="22" t="str">
        <x:v>Other</x:v>
      </x:c>
      <x:c r="D40" s="17" t="str">
        <x:v>Deep Learning / Research Trends</x:v>
      </x:c>
      <x:c r="E40" s="17" t="str">
        <x:v>Large Language Models</x:v>
      </x:c>
      <x:c r="F40" s="23" t="str">
        <x:v>English</x:v>
      </x:c>
      <x:c r="G40" s="17" t="str">
        <x:v>He Co-Invented the Transformer. Now: Continuous Thought Machines [Llion Jones / Luke Darlow]</x:v>
      </x:c>
      <x:c r="H40" s="17" t="str">
        <x:v>He Co-Invented the Transformer. Now</x:v>
      </x:c>
      <x:c r="I40" s="17" t="str">
        <x:v>Machine Learning Street Talk</x:v>
      </x:c>
      <x:c r="J40" s="23" t="str">
        <x:v>In-depth Interview</x:v>
      </x:c>
      <x:c r="K40" s="24" t="n">
        <x:v>73</x:v>
      </x:c>
      <x:c r="L40" s="16" t="str">
        <x:v>https://www.youtube.com/watch?v=DtePicx_kFY</x:v>
      </x:c>
      <x:c r="M40" s="22" t="str">
        <x:v>YouTube</x:v>
      </x:c>
      <x:c r="N40" s="25" t="n">
        <x:v>107255</x:v>
      </x:c>
      <x:c r="O40" s="23" t="str">
        <x:v>A | Official / Original Creator / Organizer</x:v>
      </x:c>
      <x:c r="P40" s="23" t="str">
        <x:v>Core</x:v>
      </x:c>
      <x:c r="Q40" s="23" t="str">
        <x:v>Verified</x:v>
      </x:c>
      <x:c r="R40" s="26" t="n">
        <x:v>46244</x:v>
      </x:c>
      <x:c r="S40" s="17" t="str">
        <x:v>Matched to the target official channel; public metadata accessible.</x:v>
      </x:c>
      <x:c r="T40" s="16" t="str">
        <x:v>DtePicx_kFY</x:v>
      </x:c>
      <x:c r="U40" s="17" t="str">
        <x:v>Machine Learning Street Talk Interviews</x:v>
      </x:c>
      <x:c r="V40" s="151" t="n">
        <x:v>20251123</x:v>
      </x:c>
      <x:c r="W40" s="17" t="str">
        <x:v>machine-learning-street-talk-interviews</x:v>
      </x:c>
    </x:row>
    <x:row r="41" ht="42" customHeight="1">
      <x:c r="A41" s="22" t="str">
        <x:v>ST-040</x:v>
      </x:c>
      <x:c r="B41" s="22" t="str">
        <x:v>Interview</x:v>
      </x:c>
      <x:c r="C41" s="22" t="str">
        <x:v>World Model</x:v>
      </x:c>
      <x:c r="D41" s="17" t="str">
        <x:v>AI Startups / Foundation Models</x:v>
      </x:c>
      <x:c r="E41" s="17" t="str">
        <x:v>Foundation Models / World Models</x:v>
      </x:c>
      <x:c r="F41" s="23" t="str">
        <x:v>English</x:v>
      </x:c>
      <x:c r="G41" s="17" t="str">
        <x:v>No Priors Ep. 80 | With Andrej Karpathy from OpenAI and Tesla</x:v>
      </x:c>
      <x:c r="H41" s="17" t="str">
        <x:v>Andrej Karpathy from OpenAI and Tesla</x:v>
      </x:c>
      <x:c r="I41" s="17" t="str">
        <x:v>No Priors: AI, Machine Learning, Tech, &amp; Startups</x:v>
      </x:c>
      <x:c r="J41" s="23" t="str">
        <x:v>Podcast Interview</x:v>
      </x:c>
      <x:c r="K41" s="24" t="n">
        <x:v>44</x:v>
      </x:c>
      <x:c r="L41" s="16" t="str">
        <x:v>https://www.youtube.com/watch?v=hM_h0UA7upI</x:v>
      </x:c>
      <x:c r="M41" s="22" t="str">
        <x:v>YouTube</x:v>
      </x:c>
      <x:c r="N41" s="25" t="n">
        <x:v>239349</x:v>
      </x:c>
      <x:c r="O41" s="23" t="str">
        <x:v>A | Official / Original Creator / Organizer</x:v>
      </x:c>
      <x:c r="P41" s="23" t="str">
        <x:v>Core</x:v>
      </x:c>
      <x:c r="Q41" s="23" t="str">
        <x:v>Verified</x:v>
      </x:c>
      <x:c r="R41" s="26" t="n">
        <x:v>46244</x:v>
      </x:c>
      <x:c r="S41" s="17" t="str">
        <x:v>Matched to the target official channel; public metadata accessible.</x:v>
      </x:c>
      <x:c r="T41" s="16" t="str">
        <x:v>hM_h0UA7upI</x:v>
      </x:c>
      <x:c r="U41" s="17" t="str">
        <x:v>No Priors</x:v>
      </x:c>
      <x:c r="V41" s="151" t="n">
        <x:v>20240905</x:v>
      </x:c>
      <x:c r="W41" s="17" t="str">
        <x:v>no-priors-podcast</x:v>
      </x:c>
    </x:row>
    <x:row r="42" ht="42" customHeight="1">
      <x:c r="A42" s="22" t="str">
        <x:v>ST-041</x:v>
      </x:c>
      <x:c r="B42" s="22" t="str">
        <x:v>Interview</x:v>
      </x:c>
      <x:c r="C42" s="22" t="str">
        <x:v>Other</x:v>
      </x:c>
      <x:c r="D42" s="17" t="str">
        <x:v>Generative AI / Developers</x:v>
      </x:c>
      <x:c r="E42" s="17" t="str">
        <x:v>Generative AI</x:v>
      </x:c>
      <x:c r="F42" s="23" t="str">
        <x:v>English</x:v>
      </x:c>
      <x:c r="G42" s="17" t="str">
        <x:v>Long Live Context Engineering - with Jeff Huber of Chroma</x:v>
      </x:c>
      <x:c r="H42" s="17" t="str">
        <x:v>Jeff Huber of Chroma</x:v>
      </x:c>
      <x:c r="I42" s="17" t="str">
        <x:v>Latent Space</x:v>
      </x:c>
      <x:c r="J42" s="23" t="str">
        <x:v>In-depth Interview</x:v>
      </x:c>
      <x:c r="K42" s="24" t="n">
        <x:v>57</x:v>
      </x:c>
      <x:c r="L42" s="16" t="str">
        <x:v>https://www.youtube.com/watch?v=pIbIZ_Bxl_g</x:v>
      </x:c>
      <x:c r="M42" s="22" t="str">
        <x:v>YouTube</x:v>
      </x:c>
      <x:c r="N42" s="25" t="n">
        <x:v>60410</x:v>
      </x:c>
      <x:c r="O42" s="23" t="str">
        <x:v>A | Official / Original Creator / Organizer</x:v>
      </x:c>
      <x:c r="P42" s="23" t="str">
        <x:v>Core</x:v>
      </x:c>
      <x:c r="Q42" s="23" t="str">
        <x:v>Verified</x:v>
      </x:c>
      <x:c r="R42" s="26" t="n">
        <x:v>46244</x:v>
      </x:c>
      <x:c r="S42" s="17" t="str">
        <x:v>Matched to the target official channel; public metadata accessible.</x:v>
      </x:c>
      <x:c r="T42" s="16" t="str">
        <x:v>pIbIZ_Bxl_g</x:v>
      </x:c>
      <x:c r="U42" s="17" t="str">
        <x:v>Latent Space Interviews</x:v>
      </x:c>
      <x:c r="V42" s="151" t="n">
        <x:v>20250819</x:v>
      </x:c>
      <x:c r="W42" s="17" t="str">
        <x:v>latent-space-interviews</x:v>
      </x:c>
    </x:row>
    <x:row r="43" ht="42" customHeight="1">
      <x:c r="A43" s="22" t="str">
        <x:v>ST-042</x:v>
      </x:c>
      <x:c r="B43" s="22" t="str">
        <x:v>Interview</x:v>
      </x:c>
      <x:c r="C43" s="22" t="str">
        <x:v>Other</x:v>
      </x:c>
      <x:c r="D43" s="17" t="str">
        <x:v>Deep Learning / Research Trends</x:v>
      </x:c>
      <x:c r="E43" s="17" t="str">
        <x:v>AI Education</x:v>
      </x:c>
      <x:c r="F43" s="23" t="str">
        <x:v>English</x:v>
      </x:c>
      <x:c r="G43" s="17" t="str">
        <x:v>The Elegant Math Behind Machine Learning</x:v>
      </x:c>
      <x:c r="H43" s="17" t="str">
        <x:v>Anil Ananthaswamy</x:v>
      </x:c>
      <x:c r="I43" s="17" t="str">
        <x:v>Machine Learning Street Talk</x:v>
      </x:c>
      <x:c r="J43" s="23" t="str">
        <x:v>In-depth Interview</x:v>
      </x:c>
      <x:c r="K43" s="24" t="n">
        <x:v>113</x:v>
      </x:c>
      <x:c r="L43" s="16" t="str">
        <x:v>https://www.youtube.com/watch?v=URtF_UHYBSo</x:v>
      </x:c>
      <x:c r="M43" s="22" t="str">
        <x:v>YouTube</x:v>
      </x:c>
      <x:c r="N43" s="25" t="n">
        <x:v>551367</x:v>
      </x:c>
      <x:c r="O43" s="23" t="str">
        <x:v>A | Official / Original Creator / Organizer</x:v>
      </x:c>
      <x:c r="P43" s="23" t="str">
        <x:v>Core</x:v>
      </x:c>
      <x:c r="Q43" s="23" t="str">
        <x:v>Verified</x:v>
      </x:c>
      <x:c r="R43" s="26" t="n">
        <x:v>46244</x:v>
      </x:c>
      <x:c r="S43" s="17" t="str">
        <x:v>Matched to the target official channel; public metadata accessible.</x:v>
      </x:c>
      <x:c r="T43" s="16" t="str">
        <x:v>URtF_UHYBSo</x:v>
      </x:c>
      <x:c r="U43" s="17" t="str">
        <x:v>Machine Learning Street Talk Interviews</x:v>
      </x:c>
      <x:c r="V43" s="151" t="n">
        <x:v>20241103</x:v>
      </x:c>
      <x:c r="W43" s="17" t="str">
        <x:v>machine-learning-street-talk-interviews</x:v>
      </x:c>
    </x:row>
    <x:row r="44" ht="42" customHeight="1">
      <x:c r="A44" s="22" t="str">
        <x:v>ST-043</x:v>
      </x:c>
      <x:c r="B44" s="22" t="str">
        <x:v>Interview</x:v>
      </x:c>
      <x:c r="C44" s="22" t="str">
        <x:v>Vision</x:v>
      </x:c>
      <x:c r="D44" s="17" t="str">
        <x:v>MLOps / Applied AI</x:v>
      </x:c>
      <x:c r="E44" s="17" t="str">
        <x:v>Generative AI; AI Systems / MLOps</x:v>
      </x:c>
      <x:c r="F44" s="23" t="str">
        <x:v>English</x:v>
      </x:c>
      <x:c r="G44" s="17" t="str">
        <x:v>Jeremy Howard of fast.ai— The Simple but Profound Insight Behind Diffusion</x:v>
      </x:c>
      <x:c r="H44" s="17" t="str">
        <x:v>Jeremy Howard</x:v>
      </x:c>
      <x:c r="I44" s="17" t="str">
        <x:v>Weights &amp; Biases</x:v>
      </x:c>
      <x:c r="J44" s="23" t="str">
        <x:v>In-depth Interview</x:v>
      </x:c>
      <x:c r="K44" s="24" t="n">
        <x:v>73</x:v>
      </x:c>
      <x:c r="L44" s="16" t="str">
        <x:v>https://www.youtube.com/watch?v=HhGOGuJY1Wk</x:v>
      </x:c>
      <x:c r="M44" s="22" t="str">
        <x:v>YouTube</x:v>
      </x:c>
      <x:c r="N44" s="25" t="n">
        <x:v>52651</x:v>
      </x:c>
      <x:c r="O44" s="23" t="str">
        <x:v>A | Official / Original Creator / Organizer</x:v>
      </x:c>
      <x:c r="P44" s="23" t="str">
        <x:v>Core</x:v>
      </x:c>
      <x:c r="Q44" s="23" t="str">
        <x:v>Verified</x:v>
      </x:c>
      <x:c r="R44" s="26" t="n">
        <x:v>46244</x:v>
      </x:c>
      <x:c r="S44" s="17" t="str">
        <x:v>Matched to the target official channel; public metadata accessible.</x:v>
      </x:c>
      <x:c r="T44" s="16" t="str">
        <x:v>HhGOGuJY1Wk</x:v>
      </x:c>
      <x:c r="U44" s="17" t="str">
        <x:v>Weights &amp; Biases Interviews</x:v>
      </x:c>
      <x:c r="V44" s="151" t="n">
        <x:v>20230105</x:v>
      </x:c>
      <x:c r="W44" s="17" t="str">
        <x:v>weights-and-biases-interviews</x:v>
      </x:c>
    </x:row>
    <x:row r="45" ht="42" customHeight="1">
      <x:c r="A45" s="22" t="str">
        <x:v>ST-044</x:v>
      </x:c>
      <x:c r="B45" s="22" t="str">
        <x:v>Interview</x:v>
      </x:c>
      <x:c r="C45" s="22" t="str">
        <x:v>Other</x:v>
      </x:c>
      <x:c r="D45" s="17" t="str">
        <x:v>Deep Learning / Research Trends</x:v>
      </x:c>
      <x:c r="E45" s="17" t="str">
        <x:v>Deep Learning</x:v>
      </x:c>
      <x:c r="F45" s="23" t="str">
        <x:v>English</x:v>
      </x:c>
      <x:c r="G45" s="17" t="str">
        <x:v>Intelligence is collective, not artificial — Prof. Michael I. Jordan (UC Berkeley / Inria)</x:v>
      </x:c>
      <x:c r="H45" s="17" t="str">
        <x:v>Intelligence is collective, not artificial</x:v>
      </x:c>
      <x:c r="I45" s="17" t="str">
        <x:v>Machine Learning Street Talk</x:v>
      </x:c>
      <x:c r="J45" s="23" t="str">
        <x:v>In-depth Interview</x:v>
      </x:c>
      <x:c r="K45" s="24" t="n">
        <x:v>77</x:v>
      </x:c>
      <x:c r="L45" s="16" t="str">
        <x:v>https://www.youtube.com/watch?v=AREWYbVtX64</x:v>
      </x:c>
      <x:c r="M45" s="22" t="str">
        <x:v>YouTube</x:v>
      </x:c>
      <x:c r="N45" s="25" t="n">
        <x:v>38070</x:v>
      </x:c>
      <x:c r="O45" s="23" t="str">
        <x:v>A | Official / Original Creator / Organizer</x:v>
      </x:c>
      <x:c r="P45" s="23" t="str">
        <x:v>Core</x:v>
      </x:c>
      <x:c r="Q45" s="23" t="str">
        <x:v>Verified</x:v>
      </x:c>
      <x:c r="R45" s="26" t="n">
        <x:v>46244</x:v>
      </x:c>
      <x:c r="S45" s="17" t="str">
        <x:v>Matched to the target official channel; public metadata accessible.</x:v>
      </x:c>
      <x:c r="T45" s="16" t="str">
        <x:v>AREWYbVtX64</x:v>
      </x:c>
      <x:c r="U45" s="17" t="str">
        <x:v>Machine Learning Street Talk Interviews</x:v>
      </x:c>
      <x:c r="V45" s="151" t="n">
        <x:v>20260520</x:v>
      </x:c>
      <x:c r="W45" s="17" t="str">
        <x:v>machine-learning-street-talk-interviews</x:v>
      </x:c>
    </x:row>
    <x:row r="46" ht="42" customHeight="1">
      <x:c r="A46" s="22" t="str">
        <x:v>ST-045</x:v>
      </x:c>
      <x:c r="B46" s="22" t="str">
        <x:v>Interview</x:v>
      </x:c>
      <x:c r="C46" s="22" t="str">
        <x:v>Other</x:v>
      </x:c>
      <x:c r="D46" s="17" t="str">
        <x:v>Deep Learning / Research Trends</x:v>
      </x:c>
      <x:c r="E46" s="17" t="str">
        <x:v>AI Education</x:v>
      </x:c>
      <x:c r="F46" s="23" t="str">
        <x:v>English</x:v>
      </x:c>
      <x:c r="G46" s="17" t="str">
        <x:v>Why LeCun Thinks Deep Learning Isn't Enough — Yann LeCun</x:v>
      </x:c>
      <x:c r="H46" s="17" t="str">
        <x:v>Why LeCun Thinks Deep Learning Isn't Enough</x:v>
      </x:c>
      <x:c r="I46" s="17" t="str">
        <x:v>Machine Learning Street Talk</x:v>
      </x:c>
      <x:c r="J46" s="23" t="str">
        <x:v>In-depth Interview</x:v>
      </x:c>
      <x:c r="K46" s="24" t="n">
        <x:v>200</x:v>
      </x:c>
      <x:c r="L46" s="16" t="str">
        <x:v>https://www.youtube.com/watch?v=86ib0sfdFtw</x:v>
      </x:c>
      <x:c r="M46" s="22" t="str">
        <x:v>YouTube</x:v>
      </x:c>
      <x:c r="N46" s="25" t="n">
        <x:v>172306</x:v>
      </x:c>
      <x:c r="O46" s="23" t="str">
        <x:v>A | Official / Original Creator / Organizer</x:v>
      </x:c>
      <x:c r="P46" s="23" t="str">
        <x:v>Core</x:v>
      </x:c>
      <x:c r="Q46" s="23" t="str">
        <x:v>Verified</x:v>
      </x:c>
      <x:c r="R46" s="26" t="n">
        <x:v>46244</x:v>
      </x:c>
      <x:c r="S46" s="17" t="str">
        <x:v>Matched to the target official channel; public metadata accessible.</x:v>
      </x:c>
      <x:c r="T46" s="16" t="str">
        <x:v>86ib0sfdFtw</x:v>
      </x:c>
      <x:c r="U46" s="17" t="str">
        <x:v>Machine Learning Street Talk Interviews</x:v>
      </x:c>
      <x:c r="V46" s="151" t="n">
        <x:v>20220104</x:v>
      </x:c>
      <x:c r="W46" s="17" t="str">
        <x:v>machine-learning-street-talk-interviews</x:v>
      </x:c>
    </x:row>
    <x:row r="47" ht="42" customHeight="1">
      <x:c r="A47" s="22" t="str">
        <x:v>ST-046</x:v>
      </x:c>
      <x:c r="B47" s="22" t="str">
        <x:v>Interview</x:v>
      </x:c>
      <x:c r="C47" s="22" t="str">
        <x:v>World Model</x:v>
      </x:c>
      <x:c r="D47" s="17" t="str">
        <x:v>AI Startups / Foundation Models</x:v>
      </x:c>
      <x:c r="E47" s="17" t="str">
        <x:v>Robotics / Embodied AI; Foundation Models / World Models</x:v>
      </x:c>
      <x:c r="F47" s="23" t="str">
        <x:v>English</x:v>
      </x:c>
      <x:c r="G47" s="17" t="str">
        <x:v>NVIDIA’s Jensen Huang on Reasoning Models, Robotics, and Refuting the “AI Bubble” Narrative</x:v>
      </x:c>
      <x:c r="H47" s="17" t="str">
        <x:v>To be added</x:v>
      </x:c>
      <x:c r="I47" s="17" t="str">
        <x:v>No Priors: AI, Machine Learning, Tech, &amp; Startups</x:v>
      </x:c>
      <x:c r="J47" s="23" t="str">
        <x:v>In-depth Interview</x:v>
      </x:c>
      <x:c r="K47" s="24" t="n">
        <x:v>76</x:v>
      </x:c>
      <x:c r="L47" s="16" t="str">
        <x:v>https://www.youtube.com/watch?v=k-xtmISBCNE</x:v>
      </x:c>
      <x:c r="M47" s="22" t="str">
        <x:v>YouTube</x:v>
      </x:c>
      <x:c r="N47" s="25" t="n">
        <x:v>64113</x:v>
      </x:c>
      <x:c r="O47" s="23" t="str">
        <x:v>A | Official / Original Creator / Organizer</x:v>
      </x:c>
      <x:c r="P47" s="23" t="str">
        <x:v>Core</x:v>
      </x:c>
      <x:c r="Q47" s="23" t="str">
        <x:v>Verified</x:v>
      </x:c>
      <x:c r="R47" s="26" t="n">
        <x:v>46244</x:v>
      </x:c>
      <x:c r="S47" s="17" t="str">
        <x:v>Matched to the target official channel; public metadata accessible.</x:v>
      </x:c>
      <x:c r="T47" s="16" t="str">
        <x:v>k-xtmISBCNE</x:v>
      </x:c>
      <x:c r="U47" s="17" t="str">
        <x:v>No Priors</x:v>
      </x:c>
      <x:c r="V47" s="151" t="n">
        <x:v>20260108</x:v>
      </x:c>
      <x:c r="W47" s="17" t="str">
        <x:v>no-priors-podcast</x:v>
      </x:c>
    </x:row>
    <x:row r="48" ht="42" customHeight="1">
      <x:c r="A48" s="22" t="str">
        <x:v>ST-047</x:v>
      </x:c>
      <x:c r="B48" s="22" t="str">
        <x:v>Interview</x:v>
      </x:c>
      <x:c r="C48" s="22" t="str">
        <x:v>Other</x:v>
      </x:c>
      <x:c r="D48" s="17" t="str">
        <x:v>Deep Learning / Research Trends</x:v>
      </x:c>
      <x:c r="E48" s="17" t="str">
        <x:v>Deep Learning</x:v>
      </x:c>
      <x:c r="F48" s="23" t="str">
        <x:v>English</x:v>
      </x:c>
      <x:c r="G48" s="17" t="str">
        <x:v>AI Isn't Creative [Prof. Kenneth Stanley]</x:v>
      </x:c>
      <x:c r="H48" s="17" t="str">
        <x:v>To be added</x:v>
      </x:c>
      <x:c r="I48" s="17" t="str">
        <x:v>Machine Learning Street Talk</x:v>
      </x:c>
      <x:c r="J48" s="23" t="str">
        <x:v>In-depth Interview</x:v>
      </x:c>
      <x:c r="K48" s="24" t="n">
        <x:v>136</x:v>
      </x:c>
      <x:c r="L48" s="16" t="str">
        <x:v>https://www.youtube.com/watch?v=KKUKikuV58o</x:v>
      </x:c>
      <x:c r="M48" s="22" t="str">
        <x:v>YouTube</x:v>
      </x:c>
      <x:c r="N48" s="25" t="n">
        <x:v>22042</x:v>
      </x:c>
      <x:c r="O48" s="23" t="str">
        <x:v>A | Official / Original Creator / Organizer</x:v>
      </x:c>
      <x:c r="P48" s="23" t="str">
        <x:v>Core</x:v>
      </x:c>
      <x:c r="Q48" s="23" t="str">
        <x:v>Verified</x:v>
      </x:c>
      <x:c r="R48" s="26" t="n">
        <x:v>46244</x:v>
      </x:c>
      <x:c r="S48" s="17" t="str">
        <x:v>Matched to the target official channel; public metadata accessible.</x:v>
      </x:c>
      <x:c r="T48" s="16" t="str">
        <x:v>KKUKikuV58o</x:v>
      </x:c>
      <x:c r="U48" s="17" t="str">
        <x:v>Machine Learning Street Talk Interviews</x:v>
      </x:c>
      <x:c r="V48" s="151" t="n">
        <x:v>20250706</x:v>
      </x:c>
      <x:c r="W48" s="17" t="str">
        <x:v>machine-learning-street-talk-interviews</x:v>
      </x:c>
    </x:row>
    <x:row r="49" ht="42" customHeight="1">
      <x:c r="A49" s="22" t="str">
        <x:v>ST-048</x:v>
      </x:c>
      <x:c r="B49" s="22" t="str">
        <x:v>Interview</x:v>
      </x:c>
      <x:c r="C49" s="22" t="str">
        <x:v>World Model</x:v>
      </x:c>
      <x:c r="D49" s="17" t="str">
        <x:v>AI Startups / Foundation Models</x:v>
      </x:c>
      <x:c r="E49" s="17" t="str">
        <x:v>Foundation Models / World Models</x:v>
      </x:c>
      <x:c r="F49" s="23" t="str">
        <x:v>English</x:v>
      </x:c>
      <x:c r="G49" s="17" t="str">
        <x:v>Re-engineering the Semiconductor Supply Chain with Intel CEO Lip Bu Tan</x:v>
      </x:c>
      <x:c r="H49" s="17" t="str">
        <x:v>Intel CEO Lip Bu Tan</x:v>
      </x:c>
      <x:c r="I49" s="17" t="str">
        <x:v>No Priors: AI, Machine Learning, Tech, &amp; Startups</x:v>
      </x:c>
      <x:c r="J49" s="23" t="str">
        <x:v>In-depth Interview</x:v>
      </x:c>
      <x:c r="K49" s="24" t="n">
        <x:v>45</x:v>
      </x:c>
      <x:c r="L49" s="16" t="str">
        <x:v>https://www.youtube.com/watch?v=asCgCv2XB4s</x:v>
      </x:c>
      <x:c r="M49" s="22" t="str">
        <x:v>YouTube</x:v>
      </x:c>
      <x:c r="N49" s="25" t="n">
        <x:v>47244</x:v>
      </x:c>
      <x:c r="O49" s="23" t="str">
        <x:v>A | Official / Original Creator / Organizer</x:v>
      </x:c>
      <x:c r="P49" s="23" t="str">
        <x:v>Core</x:v>
      </x:c>
      <x:c r="Q49" s="23" t="str">
        <x:v>Verified</x:v>
      </x:c>
      <x:c r="R49" s="26" t="n">
        <x:v>46244</x:v>
      </x:c>
      <x:c r="S49" s="17" t="str">
        <x:v>Matched to the target official channel; public metadata accessible.</x:v>
      </x:c>
      <x:c r="T49" s="16" t="str">
        <x:v>asCgCv2XB4s</x:v>
      </x:c>
      <x:c r="U49" s="17" t="str">
        <x:v>No Priors</x:v>
      </x:c>
      <x:c r="V49" s="151" t="n">
        <x:v>20260618</x:v>
      </x:c>
      <x:c r="W49" s="17" t="str">
        <x:v>no-priors-podcast</x:v>
      </x:c>
    </x:row>
    <x:row r="50" ht="42" customHeight="1">
      <x:c r="A50" s="22" t="str">
        <x:v>ST-049</x:v>
      </x:c>
      <x:c r="B50" s="22" t="str">
        <x:v>Interview</x:v>
      </x:c>
      <x:c r="C50" s="22" t="str">
        <x:v>World Model</x:v>
      </x:c>
      <x:c r="D50" s="17" t="str">
        <x:v>Machine Learning / Engineering Practice</x:v>
      </x:c>
      <x:c r="E50" s="17" t="str">
        <x:v>Robotics / Embodied AI; Foundation Models / World Models</x:v>
      </x:c>
      <x:c r="F50" s="23" t="str">
        <x:v>English</x:v>
      </x:c>
      <x:c r="G50" s="17" t="str">
        <x:v>π0: A Foundation Model for Robotics with Sergey Levine - 719</x:v>
      </x:c>
      <x:c r="H50" s="17" t="str">
        <x:v>Sergey Levine</x:v>
      </x:c>
      <x:c r="I50" s="17" t="str">
        <x:v>The TWIML AI Podcast with Sam Charrington</x:v>
      </x:c>
      <x:c r="J50" s="23" t="str">
        <x:v>In-depth Interview</x:v>
      </x:c>
      <x:c r="K50" s="24" t="n">
        <x:v>52</x:v>
      </x:c>
      <x:c r="L50" s="16" t="str">
        <x:v>https://www.youtube.com/watch?v=5mY71rGXAkM</x:v>
      </x:c>
      <x:c r="M50" s="22" t="str">
        <x:v>YouTube</x:v>
      </x:c>
      <x:c r="N50" s="25" t="n">
        <x:v>25680</x:v>
      </x:c>
      <x:c r="O50" s="23" t="str">
        <x:v>A | Official / Original Creator / Organizer</x:v>
      </x:c>
      <x:c r="P50" s="23" t="str">
        <x:v>Core</x:v>
      </x:c>
      <x:c r="Q50" s="23" t="str">
        <x:v>Verified</x:v>
      </x:c>
      <x:c r="R50" s="26" t="n">
        <x:v>46244</x:v>
      </x:c>
      <x:c r="S50" s="17" t="str">
        <x:v>Matched to the target official channel; public metadata accessible.</x:v>
      </x:c>
      <x:c r="T50" s="16" t="str">
        <x:v>5mY71rGXAkM</x:v>
      </x:c>
      <x:c r="U50" s="17" t="str">
        <x:v>The TWIML AI Podcast</x:v>
      </x:c>
      <x:c r="V50" s="151" t="n">
        <x:v>20250217</x:v>
      </x:c>
      <x:c r="W50" s="17" t="str">
        <x:v>twiml-ai-podcast</x:v>
      </x:c>
    </x:row>
    <x:row r="51" ht="42" customHeight="1">
      <x:c r="A51" s="22" t="str">
        <x:v>ST-050</x:v>
      </x:c>
      <x:c r="B51" s="22" t="str">
        <x:v>Interview</x:v>
      </x:c>
      <x:c r="C51" s="22" t="str">
        <x:v>Other</x:v>
      </x:c>
      <x:c r="D51" s="17" t="str">
        <x:v>AI Systems / Accelerated Computing</x:v>
      </x:c>
      <x:c r="E51" s="17" t="str">
        <x:v>AI Systems / MLOps</x:v>
      </x:c>
      <x:c r="F51" s="23" t="str">
        <x:v>English</x:v>
      </x:c>
      <x:c r="G51" s="17" t="str">
        <x:v>Inside Nemotron &amp; NVIDIA’s AI Lab | Bryan Catanzaro</x:v>
      </x:c>
      <x:c r="H51" s="17" t="str">
        <x:v>NVIDIA</x:v>
      </x:c>
      <x:c r="I51" s="17" t="str">
        <x:v>The MAD Podcast with Matt Turck and NVIDIA</x:v>
      </x:c>
      <x:c r="J51" s="23" t="str">
        <x:v>In-depth Interview</x:v>
      </x:c>
      <x:c r="K51" s="24" t="n">
        <x:v>83</x:v>
      </x:c>
      <x:c r="L51" s="16" t="str">
        <x:v>https://www.youtube.com/watch?v=Oojrfdl42LI</x:v>
      </x:c>
      <x:c r="M51" s="22" t="str">
        <x:v>YouTube</x:v>
      </x:c>
      <x:c r="N51" s="25" t="n">
        <x:v>19596</x:v>
      </x:c>
      <x:c r="O51" s="23" t="str">
        <x:v>A | Official / Original Creator / Organizer</x:v>
      </x:c>
      <x:c r="P51" s="23" t="str">
        <x:v>Core</x:v>
      </x:c>
      <x:c r="Q51" s="23" t="str">
        <x:v>Verified</x:v>
      </x:c>
      <x:c r="R51" s="26" t="n">
        <x:v>46244</x:v>
      </x:c>
      <x:c r="S51" s="17" t="str">
        <x:v>Matched to the target official channel; public metadata accessible.</x:v>
      </x:c>
      <x:c r="T51" s="16" t="str">
        <x:v>Oojrfdl42LI</x:v>
      </x:c>
      <x:c r="U51" s="17" t="str"/>
      <x:c r="V51" s="151"/>
      <x:c r="W51" s="17" t="str"/>
    </x:row>
    <x:row r="52" ht="42" customHeight="1">
      <x:c r="A52" s="22" t="str">
        <x:v>ST-051</x:v>
      </x:c>
      <x:c r="B52" s="22" t="str">
        <x:v>Interview</x:v>
      </x:c>
      <x:c r="C52" s="22" t="str">
        <x:v>Agent</x:v>
      </x:c>
      <x:c r="D52" s="17" t="str">
        <x:v>Generative AI / Developers</x:v>
      </x:c>
      <x:c r="E52" s="17" t="str">
        <x:v>Generative AI; Agents</x:v>
      </x:c>
      <x:c r="F52" s="23" t="str">
        <x:v>English</x:v>
      </x:c>
      <x:c r="G52" s="17" t="str">
        <x:v>The Agent Cloud: Databricks’ Bet on the Future of AI — Matei Zaharia and Reynold Xin</x:v>
      </x:c>
      <x:c r="H52" s="17" t="str">
        <x:v>The Agent Cloud</x:v>
      </x:c>
      <x:c r="I52" s="17" t="str">
        <x:v>Latent Space</x:v>
      </x:c>
      <x:c r="J52" s="23" t="str">
        <x:v>In-depth Interview</x:v>
      </x:c>
      <x:c r="K52" s="24" t="n">
        <x:v>70</x:v>
      </x:c>
      <x:c r="L52" s="16" t="str">
        <x:v>https://www.youtube.com/watch?v=Yp_u1NpbkJg</x:v>
      </x:c>
      <x:c r="M52" s="22" t="str">
        <x:v>YouTube</x:v>
      </x:c>
      <x:c r="N52" s="25" t="n">
        <x:v>21866</x:v>
      </x:c>
      <x:c r="O52" s="23" t="str">
        <x:v>A | Official / Original Creator / Organizer</x:v>
      </x:c>
      <x:c r="P52" s="23" t="str">
        <x:v>Core</x:v>
      </x:c>
      <x:c r="Q52" s="23" t="str">
        <x:v>Verified</x:v>
      </x:c>
      <x:c r="R52" s="26" t="n">
        <x:v>46244</x:v>
      </x:c>
      <x:c r="S52" s="17" t="str">
        <x:v>Matched to the target official channel; public metadata accessible.</x:v>
      </x:c>
      <x:c r="T52" s="16" t="str">
        <x:v>Yp_u1NpbkJg</x:v>
      </x:c>
      <x:c r="U52" s="17" t="str">
        <x:v>Latent Space Interviews</x:v>
      </x:c>
      <x:c r="V52" s="151" t="n">
        <x:v>20260624</x:v>
      </x:c>
      <x:c r="W52" s="17" t="str">
        <x:v>latent-space-interviews</x:v>
      </x:c>
    </x:row>
    <x:row r="53" ht="42" customHeight="1">
      <x:c r="A53" s="22" t="str">
        <x:v>ST-052</x:v>
      </x:c>
      <x:c r="B53" s="22" t="str">
        <x:v>Interview</x:v>
      </x:c>
      <x:c r="C53" s="22" t="str">
        <x:v>World Model</x:v>
      </x:c>
      <x:c r="D53" s="17" t="str">
        <x:v>AI Startups / Foundation Models</x:v>
      </x:c>
      <x:c r="E53" s="17" t="str">
        <x:v>Foundation Models / World Models</x:v>
      </x:c>
      <x:c r="F53" s="23" t="str">
        <x:v>English</x:v>
      </x:c>
      <x:c r="G53" s="17" t="str">
        <x:v>No Priors Ep. 65 | With Scale AI CEO Alexandr Wang</x:v>
      </x:c>
      <x:c r="H53" s="17" t="str">
        <x:v>Scale AI CEO Alexandr Wang</x:v>
      </x:c>
      <x:c r="I53" s="17" t="str">
        <x:v>No Priors: AI, Machine Learning, Tech, &amp; Startups</x:v>
      </x:c>
      <x:c r="J53" s="23" t="str">
        <x:v>Podcast Interview</x:v>
      </x:c>
      <x:c r="K53" s="24" t="n">
        <x:v>39</x:v>
      </x:c>
      <x:c r="L53" s="16" t="str">
        <x:v>https://www.youtube.com/watch?v=2SWRU7YOd6c</x:v>
      </x:c>
      <x:c r="M53" s="22" t="str">
        <x:v>YouTube</x:v>
      </x:c>
      <x:c r="N53" s="25" t="n">
        <x:v>19159</x:v>
      </x:c>
      <x:c r="O53" s="23" t="str">
        <x:v>A | Official / Original Creator / Organizer</x:v>
      </x:c>
      <x:c r="P53" s="23" t="str">
        <x:v>Core</x:v>
      </x:c>
      <x:c r="Q53" s="23" t="str">
        <x:v>Verified</x:v>
      </x:c>
      <x:c r="R53" s="26" t="n">
        <x:v>46244</x:v>
      </x:c>
      <x:c r="S53" s="17" t="str">
        <x:v>Matched to the target official channel; public metadata accessible.</x:v>
      </x:c>
      <x:c r="T53" s="16" t="str">
        <x:v>2SWRU7YOd6c</x:v>
      </x:c>
      <x:c r="U53" s="17" t="str">
        <x:v>No Priors</x:v>
      </x:c>
      <x:c r="V53" s="151" t="n">
        <x:v>20240522</x:v>
      </x:c>
      <x:c r="W53" s="17" t="str">
        <x:v>no-priors-podcast</x:v>
      </x:c>
    </x:row>
    <x:row r="54" ht="42" customHeight="1">
      <x:c r="A54" s="22" t="str">
        <x:v>ST-053</x:v>
      </x:c>
      <x:c r="B54" s="22" t="str">
        <x:v>Interview</x:v>
      </x:c>
      <x:c r="C54" s="22" t="str">
        <x:v>Robotics</x:v>
      </x:c>
      <x:c r="D54" s="17" t="str">
        <x:v>Robotics / Embodied AI</x:v>
      </x:c>
      <x:c r="E54" s="17" t="str">
        <x:v>Robotics / Embodied AI</x:v>
      </x:c>
      <x:c r="F54" s="23" t="str">
        <x:v>English</x:v>
      </x:c>
      <x:c r="G54" s="17" t="str">
        <x:v>Season 1 Ep.1 Andrej Karpathy on the visionary AI in Tesla's autonomous driving</x:v>
      </x:c>
      <x:c r="H54" s="17" t="str">
        <x:v>To be added</x:v>
      </x:c>
      <x:c r="I54" s="17" t="str">
        <x:v>The Robot Brains Podcast</x:v>
      </x:c>
      <x:c r="J54" s="23" t="str">
        <x:v>Podcast Interview</x:v>
      </x:c>
      <x:c r="K54" s="24" t="n">
        <x:v>80</x:v>
      </x:c>
      <x:c r="L54" s="16" t="str">
        <x:v>https://www.youtube.com/watch?v=PlLmdTcsAWU</x:v>
      </x:c>
      <x:c r="M54" s="22" t="str">
        <x:v>YouTube</x:v>
      </x:c>
      <x:c r="N54" s="25" t="n">
        <x:v>86329</x:v>
      </x:c>
      <x:c r="O54" s="23" t="str">
        <x:v>A | Official / Original Creator / Organizer</x:v>
      </x:c>
      <x:c r="P54" s="23" t="str">
        <x:v>Core</x:v>
      </x:c>
      <x:c r="Q54" s="23" t="str">
        <x:v>Verified</x:v>
      </x:c>
      <x:c r="R54" s="26" t="n">
        <x:v>46244</x:v>
      </x:c>
      <x:c r="S54" s="17" t="str">
        <x:v>Matched to the target official channel; public metadata accessible.</x:v>
      </x:c>
      <x:c r="T54" s="16" t="str">
        <x:v>PlLmdTcsAWU</x:v>
      </x:c>
      <x:c r="U54" s="17" t="str">
        <x:v>The Robot Brains Podcast</x:v>
      </x:c>
      <x:c r="V54" s="151" t="n">
        <x:v>20210921</x:v>
      </x:c>
      <x:c r="W54" s="17" t="str">
        <x:v>robot-brains-podcast</x:v>
      </x:c>
    </x:row>
    <x:row r="55" ht="42" customHeight="1">
      <x:c r="A55" s="22" t="str">
        <x:v>ST-054</x:v>
      </x:c>
      <x:c r="B55" s="22" t="str">
        <x:v>Interview</x:v>
      </x:c>
      <x:c r="C55" s="22" t="str">
        <x:v>World Model</x:v>
      </x:c>
      <x:c r="D55" s="17" t="str">
        <x:v>AI Startups / Foundation Models</x:v>
      </x:c>
      <x:c r="E55" s="17" t="str">
        <x:v>Foundation Models / World Models</x:v>
      </x:c>
      <x:c r="F55" s="23" t="str">
        <x:v>English</x:v>
      </x:c>
      <x:c r="G55" s="17" t="str">
        <x:v>Scaling Global Organizations in the Age of AI with ServiceNow Chairman and CEO Bill McDermott</x:v>
      </x:c>
      <x:c r="H55" s="17" t="str">
        <x:v>ServiceNow Chairman and CEO Bill McDermott</x:v>
      </x:c>
      <x:c r="I55" s="17" t="str">
        <x:v>No Priors: AI, Machine Learning, Tech, &amp; Startups</x:v>
      </x:c>
      <x:c r="J55" s="23" t="str">
        <x:v>In-depth Interview</x:v>
      </x:c>
      <x:c r="K55" s="24" t="n">
        <x:v>57</x:v>
      </x:c>
      <x:c r="L55" s="16" t="str">
        <x:v>https://www.youtube.com/watch?v=tNNFJa5pUEg</x:v>
      </x:c>
      <x:c r="M55" s="22" t="str">
        <x:v>YouTube</x:v>
      </x:c>
      <x:c r="N55" s="25" t="n">
        <x:v>47814</x:v>
      </x:c>
      <x:c r="O55" s="23" t="str">
        <x:v>A | Official / Original Creator / Organizer</x:v>
      </x:c>
      <x:c r="P55" s="23" t="str">
        <x:v>Core</x:v>
      </x:c>
      <x:c r="Q55" s="23" t="str">
        <x:v>Verified</x:v>
      </x:c>
      <x:c r="R55" s="26" t="n">
        <x:v>46244</x:v>
      </x:c>
      <x:c r="S55" s="17" t="str">
        <x:v>Matched to the target official channel; public metadata accessible.</x:v>
      </x:c>
      <x:c r="T55" s="16" t="str">
        <x:v>tNNFJa5pUEg</x:v>
      </x:c>
      <x:c r="U55" s="17" t="str">
        <x:v>No Priors</x:v>
      </x:c>
      <x:c r="V55" s="151" t="n">
        <x:v>20260417</x:v>
      </x:c>
      <x:c r="W55" s="17" t="str">
        <x:v>no-priors-podcast</x:v>
      </x:c>
    </x:row>
    <x:row r="56" ht="42" customHeight="1">
      <x:c r="A56" s="22" t="str">
        <x:v>ST-055</x:v>
      </x:c>
      <x:c r="B56" s="22" t="str">
        <x:v>Interview</x:v>
      </x:c>
      <x:c r="C56" s="22" t="str">
        <x:v>Robotics</x:v>
      </x:c>
      <x:c r="D56" s="17" t="str">
        <x:v>Robotics / Embodied AI</x:v>
      </x:c>
      <x:c r="E56" s="17" t="str">
        <x:v>Robotics / Embodied AI</x:v>
      </x:c>
      <x:c r="F56" s="23" t="str">
        <x:v>English</x:v>
      </x:c>
      <x:c r="G56" s="17" t="str">
        <x:v>Season 1 Ep. 20 Fei-Fei Li on revolutionizing AI for the real world</x:v>
      </x:c>
      <x:c r="H56" s="17" t="str">
        <x:v>To be added</x:v>
      </x:c>
      <x:c r="I56" s="17" t="str">
        <x:v>The Robot Brains Podcast</x:v>
      </x:c>
      <x:c r="J56" s="23" t="str">
        <x:v>Podcast Interview</x:v>
      </x:c>
      <x:c r="K56" s="24" t="n">
        <x:v>73</x:v>
      </x:c>
      <x:c r="L56" s="16" t="str">
        <x:v>https://www.youtube.com/watch?v=YE1UDwksAOc</x:v>
      </x:c>
      <x:c r="M56" s="22" t="str">
        <x:v>YouTube</x:v>
      </x:c>
      <x:c r="N56" s="25" t="n">
        <x:v>19020</x:v>
      </x:c>
      <x:c r="O56" s="23" t="str">
        <x:v>A | Official / Original Creator / Organizer</x:v>
      </x:c>
      <x:c r="P56" s="23" t="str">
        <x:v>Core</x:v>
      </x:c>
      <x:c r="Q56" s="23" t="str">
        <x:v>Verified</x:v>
      </x:c>
      <x:c r="R56" s="26" t="n">
        <x:v>46244</x:v>
      </x:c>
      <x:c r="S56" s="17" t="str">
        <x:v>Matched to the target official channel; public metadata accessible.</x:v>
      </x:c>
      <x:c r="T56" s="16" t="str">
        <x:v>YE1UDwksAOc</x:v>
      </x:c>
      <x:c r="U56" s="17" t="str">
        <x:v>The Robot Brains Podcast</x:v>
      </x:c>
      <x:c r="V56" s="151" t="n">
        <x:v>20210817</x:v>
      </x:c>
      <x:c r="W56" s="17" t="str">
        <x:v>robot-brains-podcast</x:v>
      </x:c>
    </x:row>
    <x:row r="57" ht="42" customHeight="1">
      <x:c r="A57" s="22" t="str">
        <x:v>ST-056</x:v>
      </x:c>
      <x:c r="B57" s="22" t="str">
        <x:v>Interview</x:v>
      </x:c>
      <x:c r="C57" s="22" t="str">
        <x:v>Other</x:v>
      </x:c>
      <x:c r="D57" s="17" t="str">
        <x:v>Generative AI / Developers</x:v>
      </x:c>
      <x:c r="E57" s="17" t="str">
        <x:v>Generative AI</x:v>
      </x:c>
      <x:c r="F57" s="23" t="str">
        <x:v>English</x:v>
      </x:c>
      <x:c r="G57" s="17" t="str">
        <x:v>Greg Brockman on OpenAI's Road to AGI</x:v>
      </x:c>
      <x:c r="H57" s="17" t="str">
        <x:v>To be added</x:v>
      </x:c>
      <x:c r="I57" s="17" t="str">
        <x:v>Latent Space</x:v>
      </x:c>
      <x:c r="J57" s="23" t="str">
        <x:v>In-depth Interview</x:v>
      </x:c>
      <x:c r="K57" s="24" t="n">
        <x:v>69</x:v>
      </x:c>
      <x:c r="L57" s="16" t="str">
        <x:v>https://www.youtube.com/watch?v=35ZWesLrv5A</x:v>
      </x:c>
      <x:c r="M57" s="22" t="str">
        <x:v>YouTube</x:v>
      </x:c>
      <x:c r="N57" s="25" t="n">
        <x:v>71977</x:v>
      </x:c>
      <x:c r="O57" s="23" t="str">
        <x:v>A | Official / Original Creator / Organizer</x:v>
      </x:c>
      <x:c r="P57" s="23" t="str">
        <x:v>Core</x:v>
      </x:c>
      <x:c r="Q57" s="23" t="str">
        <x:v>Verified</x:v>
      </x:c>
      <x:c r="R57" s="26" t="n">
        <x:v>46244</x:v>
      </x:c>
      <x:c r="S57" s="17" t="str">
        <x:v>Matched to the target official channel; public metadata accessible.</x:v>
      </x:c>
      <x:c r="T57" s="16" t="str">
        <x:v>35ZWesLrv5A</x:v>
      </x:c>
      <x:c r="U57" s="17" t="str">
        <x:v>Latent Space Interviews</x:v>
      </x:c>
      <x:c r="V57" s="151" t="n">
        <x:v>20250815</x:v>
      </x:c>
      <x:c r="W57" s="17" t="str">
        <x:v>latent-space-interviews</x:v>
      </x:c>
    </x:row>
    <x:row r="58" ht="42" customHeight="1">
      <x:c r="A58" s="22" t="str">
        <x:v>ST-057</x:v>
      </x:c>
      <x:c r="B58" s="22" t="str">
        <x:v>Interview</x:v>
      </x:c>
      <x:c r="C58" s="22" t="str">
        <x:v>Other</x:v>
      </x:c>
      <x:c r="D58" s="17" t="str">
        <x:v>AI Systems / Accelerated Computing</x:v>
      </x:c>
      <x:c r="E58" s="17" t="str">
        <x:v>AI Systems / MLOps</x:v>
      </x:c>
      <x:c r="F58" s="23" t="str">
        <x:v>English</x:v>
      </x:c>
      <x:c r="G58" s="17" t="str">
        <x:v>AI Research Breakthroughs from NVIDIA Research (Hosted by Karoly of Two Minute Papers) | NVIDIA GTC</x:v>
      </x:c>
      <x:c r="H58" s="17" t="str">
        <x:v>To be added</x:v>
      </x:c>
      <x:c r="I58" s="17" t="str">
        <x:v>NVIDIA Developer and Two Minute Papers</x:v>
      </x:c>
      <x:c r="J58" s="23" t="str">
        <x:v>In-depth Interview</x:v>
      </x:c>
      <x:c r="K58" s="24" t="n">
        <x:v>40</x:v>
      </x:c>
      <x:c r="L58" s="16" t="str">
        <x:v>https://www.youtube.com/watch?v=d5wm5hvNybg</x:v>
      </x:c>
      <x:c r="M58" s="22" t="str">
        <x:v>YouTube</x:v>
      </x:c>
      <x:c r="N58" s="25" t="n">
        <x:v>26922</x:v>
      </x:c>
      <x:c r="O58" s="23" t="str">
        <x:v>A | Official / Original Creator / Organizer</x:v>
      </x:c>
      <x:c r="P58" s="23" t="str">
        <x:v>Core</x:v>
      </x:c>
      <x:c r="Q58" s="23" t="str">
        <x:v>Verified</x:v>
      </x:c>
      <x:c r="R58" s="26" t="n">
        <x:v>46244</x:v>
      </x:c>
      <x:c r="S58" s="17" t="str">
        <x:v>Matched to the target official channel; public metadata accessible.</x:v>
      </x:c>
      <x:c r="T58" s="16" t="str">
        <x:v>d5wm5hvNybg</x:v>
      </x:c>
      <x:c r="U58" s="17" t="str"/>
      <x:c r="V58" s="151"/>
      <x:c r="W58" s="17" t="str"/>
    </x:row>
    <x:row r="59" ht="42" customHeight="1">
      <x:c r="A59" s="22" t="str">
        <x:v>ST-058</x:v>
      </x:c>
      <x:c r="B59" s="22" t="str">
        <x:v>Interview</x:v>
      </x:c>
      <x:c r="C59" s="22" t="str">
        <x:v>Robotics</x:v>
      </x:c>
      <x:c r="D59" s="17" t="str">
        <x:v>Robotics / Embodied AI</x:v>
      </x:c>
      <x:c r="E59" s="17" t="str">
        <x:v>Robotics / Embodied AI; AI Education</x:v>
      </x:c>
      <x:c r="F59" s="23" t="str">
        <x:v>English</x:v>
      </x:c>
      <x:c r="G59" s="17" t="str">
        <x:v>S3 E20 Jitendra Malik on Building AI from the ground up: Sensorimotor learning before language</x:v>
      </x:c>
      <x:c r="H59" s="17" t="str">
        <x:v>S3 E20 Jitendra Malik on Building AI from the ground up</x:v>
      </x:c>
      <x:c r="I59" s="17" t="str">
        <x:v>The Robot Brains Podcast</x:v>
      </x:c>
      <x:c r="J59" s="23" t="str">
        <x:v>In-depth Interview</x:v>
      </x:c>
      <x:c r="K59" s="24" t="n">
        <x:v>92</x:v>
      </x:c>
      <x:c r="L59" s="16" t="str">
        <x:v>https://www.youtube.com/watch?v=k_Wrd1kI1B0</x:v>
      </x:c>
      <x:c r="M59" s="22" t="str">
        <x:v>YouTube</x:v>
      </x:c>
      <x:c r="N59" s="25" t="n">
        <x:v>6442</x:v>
      </x:c>
      <x:c r="O59" s="23" t="str">
        <x:v>A | Official / Original Creator / Organizer</x:v>
      </x:c>
      <x:c r="P59" s="23" t="str">
        <x:v>Core</x:v>
      </x:c>
      <x:c r="Q59" s="23" t="str">
        <x:v>Verified</x:v>
      </x:c>
      <x:c r="R59" s="26" t="n">
        <x:v>46244</x:v>
      </x:c>
      <x:c r="S59" s="17" t="str">
        <x:v>Matched to the target official channel; public metadata accessible.</x:v>
      </x:c>
      <x:c r="T59" s="16" t="str">
        <x:v>k_Wrd1kI1B0</x:v>
      </x:c>
      <x:c r="U59" s="17" t="str">
        <x:v>The Robot Brains Podcast</x:v>
      </x:c>
      <x:c r="V59" s="151" t="n">
        <x:v>20230816</x:v>
      </x:c>
      <x:c r="W59" s="17" t="str">
        <x:v>robot-brains-podcast</x:v>
      </x:c>
    </x:row>
    <x:row r="60" ht="42" customHeight="1">
      <x:c r="A60" s="22" t="str">
        <x:v>ST-059</x:v>
      </x:c>
      <x:c r="B60" s="22" t="str">
        <x:v>Interview</x:v>
      </x:c>
      <x:c r="C60" s="22" t="str">
        <x:v>World Model</x:v>
      </x:c>
      <x:c r="D60" s="17" t="str">
        <x:v>Machine Learning / Engineering Practice</x:v>
      </x:c>
      <x:c r="E60" s="17" t="str">
        <x:v>Robotics / Embodied AI; Foundation Models / World Models</x:v>
      </x:c>
      <x:c r="F60" s="23" t="str">
        <x:v>English</x:v>
      </x:c>
      <x:c r="G60" s="17" t="str">
        <x:v>Inside Waymo’s New Foundation Model Powering Self-Driving Cars [Drago Anguelov] - 725</x:v>
      </x:c>
      <x:c r="H60" s="17" t="str">
        <x:v>To be added</x:v>
      </x:c>
      <x:c r="I60" s="17" t="str">
        <x:v>The TWIML AI Podcast with Sam Charrington</x:v>
      </x:c>
      <x:c r="J60" s="23" t="str">
        <x:v>In-depth Interview</x:v>
      </x:c>
      <x:c r="K60" s="24" t="n">
        <x:v>69</x:v>
      </x:c>
      <x:c r="L60" s="16" t="str">
        <x:v>https://www.youtube.com/watch?v=oNKt1yhY4GY</x:v>
      </x:c>
      <x:c r="M60" s="22" t="str">
        <x:v>YouTube</x:v>
      </x:c>
      <x:c r="N60" s="25" t="n">
        <x:v>7163</x:v>
      </x:c>
      <x:c r="O60" s="23" t="str">
        <x:v>A | Official / Original Creator / Organizer</x:v>
      </x:c>
      <x:c r="P60" s="23" t="str">
        <x:v>Core</x:v>
      </x:c>
      <x:c r="Q60" s="23" t="str">
        <x:v>Verified</x:v>
      </x:c>
      <x:c r="R60" s="26" t="n">
        <x:v>46244</x:v>
      </x:c>
      <x:c r="S60" s="17" t="str">
        <x:v>Matched to the target official channel; public metadata accessible.</x:v>
      </x:c>
      <x:c r="T60" s="16" t="str">
        <x:v>oNKt1yhY4GY</x:v>
      </x:c>
      <x:c r="U60" s="17" t="str">
        <x:v>The TWIML AI Podcast</x:v>
      </x:c>
      <x:c r="V60" s="151" t="n">
        <x:v>20250331</x:v>
      </x:c>
      <x:c r="W60" s="17" t="str">
        <x:v>twiml-ai-podcast</x:v>
      </x:c>
    </x:row>
    <x:row r="61" ht="42" customHeight="1">
      <x:c r="A61" s="22" t="str">
        <x:v>ST-060</x:v>
      </x:c>
      <x:c r="B61" s="22" t="str">
        <x:v>Interview</x:v>
      </x:c>
      <x:c r="C61" s="22" t="str">
        <x:v>Other</x:v>
      </x:c>
      <x:c r="D61" s="17" t="str">
        <x:v>Generative AI / Developers</x:v>
      </x:c>
      <x:c r="E61" s="17" t="str">
        <x:v>Generative AI</x:v>
      </x:c>
      <x:c r="F61" s="23" t="str">
        <x:v>English</x:v>
      </x:c>
      <x:c r="G61" s="17" t="str">
        <x:v>The Creators of Model Context Protocol</x:v>
      </x:c>
      <x:c r="H61" s="17" t="str">
        <x:v>To be added</x:v>
      </x:c>
      <x:c r="I61" s="17" t="str">
        <x:v>Latent Space</x:v>
      </x:c>
      <x:c r="J61" s="23" t="str">
        <x:v>In-depth Interview</x:v>
      </x:c>
      <x:c r="K61" s="24" t="n">
        <x:v>80</x:v>
      </x:c>
      <x:c r="L61" s="16" t="str">
        <x:v>https://www.youtube.com/watch?v=m2VqaNKstGc</x:v>
      </x:c>
      <x:c r="M61" s="22" t="str">
        <x:v>YouTube</x:v>
      </x:c>
      <x:c r="N61" s="25" t="n">
        <x:v>10054</x:v>
      </x:c>
      <x:c r="O61" s="23" t="str">
        <x:v>A | Official / Original Creator / Organizer</x:v>
      </x:c>
      <x:c r="P61" s="23" t="str">
        <x:v>Core</x:v>
      </x:c>
      <x:c r="Q61" s="23" t="str">
        <x:v>Verified</x:v>
      </x:c>
      <x:c r="R61" s="26" t="n">
        <x:v>46244</x:v>
      </x:c>
      <x:c r="S61" s="17" t="str">
        <x:v>Matched to the target official channel; public metadata accessible.</x:v>
      </x:c>
      <x:c r="T61" s="16" t="str">
        <x:v>m2VqaNKstGc</x:v>
      </x:c>
      <x:c r="U61" s="17" t="str">
        <x:v>Latent Space Interviews</x:v>
      </x:c>
      <x:c r="V61" s="151" t="n">
        <x:v>20250403</x:v>
      </x:c>
      <x:c r="W61" s="17" t="str">
        <x:v>latent-space-interviews</x:v>
      </x:c>
    </x:row>
    <x:row r="62" ht="42" customHeight="1">
      <x:c r="A62" s="22" t="str">
        <x:v>ST-061</x:v>
      </x:c>
      <x:c r="B62" s="22" t="str">
        <x:v>Interview</x:v>
      </x:c>
      <x:c r="C62" s="22" t="str">
        <x:v>World Model</x:v>
      </x:c>
      <x:c r="D62" s="17" t="str">
        <x:v>AI Industry / Startups</x:v>
      </x:c>
      <x:c r="E62" s="17" t="str">
        <x:v>Foundation Models / World Models</x:v>
      </x:c>
      <x:c r="F62" s="23" t="str">
        <x:v>English</x:v>
      </x:c>
      <x:c r="G62" s="17" t="str">
        <x:v>Yoshua Bengio on Pausing More Powerful AI Models and His Work on World Models</x:v>
      </x:c>
      <x:c r="H62" s="17" t="str">
        <x:v>To be added</x:v>
      </x:c>
      <x:c r="I62" s="17" t="str">
        <x:v>Eye on AI</x:v>
      </x:c>
      <x:c r="J62" s="23" t="str">
        <x:v>In-depth Interview</x:v>
      </x:c>
      <x:c r="K62" s="24" t="n">
        <x:v>41</x:v>
      </x:c>
      <x:c r="L62" s="16" t="str">
        <x:v>https://www.youtube.com/watch?v=I5xsDMJMdwo</x:v>
      </x:c>
      <x:c r="M62" s="22" t="str">
        <x:v>YouTube</x:v>
      </x:c>
      <x:c r="N62" s="25" t="n">
        <x:v>13831</x:v>
      </x:c>
      <x:c r="O62" s="23" t="str">
        <x:v>A | Official / Original Creator / Organizer</x:v>
      </x:c>
      <x:c r="P62" s="23" t="str">
        <x:v>Core</x:v>
      </x:c>
      <x:c r="Q62" s="23" t="str">
        <x:v>Verified</x:v>
      </x:c>
      <x:c r="R62" s="26" t="n">
        <x:v>46244</x:v>
      </x:c>
      <x:c r="S62" s="17" t="str">
        <x:v>Matched to the target official channel; public metadata accessible.</x:v>
      </x:c>
      <x:c r="T62" s="16" t="str">
        <x:v>I5xsDMJMdwo</x:v>
      </x:c>
      <x:c r="U62" s="17" t="str">
        <x:v>Eye on AI</x:v>
      </x:c>
      <x:c r="V62" s="151" t="n">
        <x:v>20230412</x:v>
      </x:c>
      <x:c r="W62" s="17" t="str">
        <x:v>eye-on-ai-podcast</x:v>
      </x:c>
    </x:row>
    <x:row r="63" ht="42" customHeight="1">
      <x:c r="A63" s="22" t="str">
        <x:v>ST-062</x:v>
      </x:c>
      <x:c r="B63" s="22" t="str">
        <x:v>Interview</x:v>
      </x:c>
      <x:c r="C63" s="22" t="str">
        <x:v>Other</x:v>
      </x:c>
      <x:c r="D63" s="17" t="str">
        <x:v>Machine Learning / Engineering Practice</x:v>
      </x:c>
      <x:c r="E63" s="17" t="str">
        <x:v>Machine Learning</x:v>
      </x:c>
      <x:c r="F63" s="23" t="str">
        <x:v>English</x:v>
      </x:c>
      <x:c r="G63" s="17" t="str">
        <x:v>Anticipating Superintelligence with Nick Bostrom - TWiML Talk #181</x:v>
      </x:c>
      <x:c r="H63" s="17" t="str">
        <x:v>Nick Bostrom - TWiML Talk #181</x:v>
      </x:c>
      <x:c r="I63" s="17" t="str">
        <x:v>The TWIML AI Podcast with Sam Charrington</x:v>
      </x:c>
      <x:c r="J63" s="23" t="str">
        <x:v>In-depth Interview</x:v>
      </x:c>
      <x:c r="K63" s="24" t="n">
        <x:v>46</x:v>
      </x:c>
      <x:c r="L63" s="16" t="str">
        <x:v>https://www.youtube.com/watch?v=9mvZHd3TMa8</x:v>
      </x:c>
      <x:c r="M63" s="22" t="str">
        <x:v>YouTube</x:v>
      </x:c>
      <x:c r="N63" s="25" t="n">
        <x:v>9382</x:v>
      </x:c>
      <x:c r="O63" s="23" t="str">
        <x:v>A | Official / Original Creator / Organizer</x:v>
      </x:c>
      <x:c r="P63" s="23" t="str">
        <x:v>Core</x:v>
      </x:c>
      <x:c r="Q63" s="23" t="str">
        <x:v>Verified</x:v>
      </x:c>
      <x:c r="R63" s="26" t="n">
        <x:v>46244</x:v>
      </x:c>
      <x:c r="S63" s="17" t="str">
        <x:v>Matched to the target official channel; public metadata accessible.</x:v>
      </x:c>
      <x:c r="T63" s="16" t="str">
        <x:v>9mvZHd3TMa8</x:v>
      </x:c>
      <x:c r="U63" s="17" t="str">
        <x:v>The TWIML AI Podcast</x:v>
      </x:c>
      <x:c r="V63" s="151" t="n">
        <x:v>20180917</x:v>
      </x:c>
      <x:c r="W63" s="17" t="str">
        <x:v>twiml-ai-podcast</x:v>
      </x:c>
    </x:row>
    <x:row r="64" ht="42" customHeight="1">
      <x:c r="A64" s="22" t="str">
        <x:v>ST-063</x:v>
      </x:c>
      <x:c r="B64" s="22" t="str">
        <x:v>Interview</x:v>
      </x:c>
      <x:c r="C64" s="22" t="str">
        <x:v>Other</x:v>
      </x:c>
      <x:c r="D64" s="17" t="str">
        <x:v>Generative AI / Developers</x:v>
      </x:c>
      <x:c r="E64" s="17" t="str">
        <x:v>Generative AI</x:v>
      </x:c>
      <x:c r="F64" s="23" t="str">
        <x:v>English</x:v>
      </x:c>
      <x:c r="G64" s="17" t="str">
        <x:v>⚡️ The State of AI Engineer Hiring: Cheating, AI Adoption,Junior Devs — Vivek Ravisankar, HackerRank</x:v>
      </x:c>
      <x:c r="H64" s="17" t="str">
        <x:v>⚡️ The State of AI Engineer Hiring</x:v>
      </x:c>
      <x:c r="I64" s="17" t="str">
        <x:v>Latent Space</x:v>
      </x:c>
      <x:c r="J64" s="23" t="str">
        <x:v>In-depth Interview</x:v>
      </x:c>
      <x:c r="K64" s="24" t="n">
        <x:v>49</x:v>
      </x:c>
      <x:c r="L64" s="16" t="str">
        <x:v>https://www.youtube.com/watch?v=HQucglw-4t8</x:v>
      </x:c>
      <x:c r="M64" s="22" t="str">
        <x:v>YouTube</x:v>
      </x:c>
      <x:c r="N64" s="25" t="n">
        <x:v>3243</x:v>
      </x:c>
      <x:c r="O64" s="23" t="str">
        <x:v>A | Official / Original Creator / Organizer</x:v>
      </x:c>
      <x:c r="P64" s="23" t="str">
        <x:v>Core</x:v>
      </x:c>
      <x:c r="Q64" s="23" t="str">
        <x:v>Verified</x:v>
      </x:c>
      <x:c r="R64" s="26" t="n">
        <x:v>46244</x:v>
      </x:c>
      <x:c r="S64" s="17" t="str">
        <x:v>Matched to the target official channel; public metadata accessible.</x:v>
      </x:c>
      <x:c r="T64" s="16" t="str">
        <x:v>HQucglw-4t8</x:v>
      </x:c>
      <x:c r="U64" s="17" t="str">
        <x:v>Latent Space Interviews</x:v>
      </x:c>
      <x:c r="V64" s="151" t="n">
        <x:v>20251108</x:v>
      </x:c>
      <x:c r="W64" s="17" t="str">
        <x:v>latent-space-interviews</x:v>
      </x:c>
    </x:row>
    <x:row r="65" ht="42" customHeight="1">
      <x:c r="A65" s="22" t="str">
        <x:v>ST-064</x:v>
      </x:c>
      <x:c r="B65" s="22" t="str">
        <x:v>Interview</x:v>
      </x:c>
      <x:c r="C65" s="22" t="str">
        <x:v>Other</x:v>
      </x:c>
      <x:c r="D65" s="17" t="str">
        <x:v>MLOps / Applied AI</x:v>
      </x:c>
      <x:c r="E65" s="17" t="str">
        <x:v>AI Systems / MLOps</x:v>
      </x:c>
      <x:c r="F65" s="23" t="str">
        <x:v>English</x:v>
      </x:c>
      <x:c r="G65" s="17" t="str">
        <x:v>Jonathan Frankle of MosiacML— Neural Network Pruning and Training</x:v>
      </x:c>
      <x:c r="H65" s="17" t="str">
        <x:v>To be added</x:v>
      </x:c>
      <x:c r="I65" s="17" t="str">
        <x:v>Weights &amp; Biases</x:v>
      </x:c>
      <x:c r="J65" s="23" t="str">
        <x:v>In-depth Interview</x:v>
      </x:c>
      <x:c r="K65" s="24" t="n">
        <x:v>66</x:v>
      </x:c>
      <x:c r="L65" s="16" t="str">
        <x:v>https://www.youtube.com/watch?v=y7k50Qux9Hc</x:v>
      </x:c>
      <x:c r="M65" s="22" t="str">
        <x:v>YouTube</x:v>
      </x:c>
      <x:c r="N65" s="25" t="n">
        <x:v>12226</x:v>
      </x:c>
      <x:c r="O65" s="23" t="str">
        <x:v>A | Official / Original Creator / Organizer</x:v>
      </x:c>
      <x:c r="P65" s="23" t="str">
        <x:v>Core</x:v>
      </x:c>
      <x:c r="Q65" s="23" t="str">
        <x:v>Verified</x:v>
      </x:c>
      <x:c r="R65" s="26" t="n">
        <x:v>46244</x:v>
      </x:c>
      <x:c r="S65" s="17" t="str">
        <x:v>Matched to the target official channel; public metadata accessible.</x:v>
      </x:c>
      <x:c r="T65" s="16" t="str">
        <x:v>y7k50Qux9Hc</x:v>
      </x:c>
      <x:c r="U65" s="17" t="str">
        <x:v>Weights &amp; Biases Interviews</x:v>
      </x:c>
      <x:c r="V65" s="151" t="n">
        <x:v>20230410</x:v>
      </x:c>
      <x:c r="W65" s="17" t="str">
        <x:v>weights-and-biases-interviews</x:v>
      </x:c>
    </x:row>
    <x:row r="66" ht="42" customHeight="1">
      <x:c r="A66" s="22" t="str">
        <x:v>ST-065</x:v>
      </x:c>
      <x:c r="B66" s="22" t="str">
        <x:v>Interview</x:v>
      </x:c>
      <x:c r="C66" s="22" t="str">
        <x:v>Other</x:v>
      </x:c>
      <x:c r="D66" s="17" t="str">
        <x:v>Machine Learning / Engineering Practice</x:v>
      </x:c>
      <x:c r="E66" s="17" t="str">
        <x:v>Machine Learning</x:v>
      </x:c>
      <x:c r="F66" s="23" t="str">
        <x:v>English</x:v>
      </x:c>
      <x:c r="G66" s="17" t="str">
        <x:v>Studying Machine Intelligence with Been Kim - #571</x:v>
      </x:c>
      <x:c r="H66" s="17" t="str">
        <x:v>Been Kim - #571</x:v>
      </x:c>
      <x:c r="I66" s="17" t="str">
        <x:v>The TWIML AI Podcast with Sam Charrington</x:v>
      </x:c>
      <x:c r="J66" s="23" t="str">
        <x:v>In-depth Interview</x:v>
      </x:c>
      <x:c r="K66" s="24" t="n">
        <x:v>51</x:v>
      </x:c>
      <x:c r="L66" s="16" t="str">
        <x:v>https://www.youtube.com/watch?v=C8SuqeH_Mg0</x:v>
      </x:c>
      <x:c r="M66" s="22" t="str">
        <x:v>YouTube</x:v>
      </x:c>
      <x:c r="N66" s="25" t="n">
        <x:v>1060</x:v>
      </x:c>
      <x:c r="O66" s="23" t="str">
        <x:v>A | Official / Original Creator / Organizer</x:v>
      </x:c>
      <x:c r="P66" s="23" t="str">
        <x:v>Core</x:v>
      </x:c>
      <x:c r="Q66" s="23" t="str">
        <x:v>Verified</x:v>
      </x:c>
      <x:c r="R66" s="26" t="n">
        <x:v>46244</x:v>
      </x:c>
      <x:c r="S66" s="17" t="str">
        <x:v>Matched to the target official channel; public metadata accessible.</x:v>
      </x:c>
      <x:c r="T66" s="16" t="str">
        <x:v>C8SuqeH_Mg0</x:v>
      </x:c>
      <x:c r="U66" s="17" t="str">
        <x:v>The TWIML AI Podcast</x:v>
      </x:c>
      <x:c r="V66" s="151" t="n">
        <x:v>20220509</x:v>
      </x:c>
      <x:c r="W66" s="17" t="str">
        <x:v>twiml-ai-podcast</x:v>
      </x:c>
    </x:row>
    <x:row r="67" ht="42" customHeight="1">
      <x:c r="A67" s="22" t="str">
        <x:v>ST-066</x:v>
      </x:c>
      <x:c r="B67" s="22" t="str">
        <x:v>Interview</x:v>
      </x:c>
      <x:c r="C67" s="22" t="str">
        <x:v>Other</x:v>
      </x:c>
      <x:c r="D67" s="17" t="str">
        <x:v>AI Industry / Startups</x:v>
      </x:c>
      <x:c r="E67" s="17" t="str">
        <x:v>AI Industry</x:v>
      </x:c>
      <x:c r="F67" s="23" t="str">
        <x:v>English</x:v>
      </x:c>
      <x:c r="G67" s="17" t="str">
        <x:v>How Celonis Uses AI to Optimize Business Processes | Manuel Haug</x:v>
      </x:c>
      <x:c r="H67" s="17" t="str">
        <x:v>To be added</x:v>
      </x:c>
      <x:c r="I67" s="17" t="str">
        <x:v>Eye on AI</x:v>
      </x:c>
      <x:c r="J67" s="23" t="str">
        <x:v>In-depth Interview</x:v>
      </x:c>
      <x:c r="K67" s="24" t="n">
        <x:v>44</x:v>
      </x:c>
      <x:c r="L67" s="16" t="str">
        <x:v>https://www.youtube.com/watch?v=PtZGHdDdWmY</x:v>
      </x:c>
      <x:c r="M67" s="22" t="str">
        <x:v>YouTube</x:v>
      </x:c>
      <x:c r="N67" s="25" t="n">
        <x:v>1668</x:v>
      </x:c>
      <x:c r="O67" s="23" t="str">
        <x:v>A | Official / Original Creator / Organizer</x:v>
      </x:c>
      <x:c r="P67" s="23" t="str">
        <x:v>Core</x:v>
      </x:c>
      <x:c r="Q67" s="23" t="str">
        <x:v>Verified</x:v>
      </x:c>
      <x:c r="R67" s="26" t="n">
        <x:v>46244</x:v>
      </x:c>
      <x:c r="S67" s="17" t="str">
        <x:v>Matched to the target official channel; public metadata accessible.</x:v>
      </x:c>
      <x:c r="T67" s="16" t="str">
        <x:v>PtZGHdDdWmY</x:v>
      </x:c>
      <x:c r="U67" s="17" t="str">
        <x:v>Eye on AI</x:v>
      </x:c>
      <x:c r="V67" s="151" t="n">
        <x:v>20241023</x:v>
      </x:c>
      <x:c r="W67" s="17" t="str">
        <x:v>eye-on-ai-podcast</x:v>
      </x:c>
    </x:row>
    <x:row r="68" ht="42" customHeight="1">
      <x:c r="A68" s="22" t="str">
        <x:v>ST-067</x:v>
      </x:c>
      <x:c r="B68" s="22" t="str">
        <x:v>Interview</x:v>
      </x:c>
      <x:c r="C68" s="22" t="str">
        <x:v>Other</x:v>
      </x:c>
      <x:c r="D68" s="17" t="str">
        <x:v>Machine Learning / Engineering Practice</x:v>
      </x:c>
      <x:c r="E68" s="17" t="str">
        <x:v>Large Language Models; Natural Language Processing</x:v>
      </x:c>
      <x:c r="F68" s="23" t="str">
        <x:v>English</x:v>
      </x:c>
      <x:c r="G68" s="17" t="str">
        <x:v>Language Understanding and LLMs with Christopher Manning - 686</x:v>
      </x:c>
      <x:c r="H68" s="17" t="str">
        <x:v>Christopher Manning</x:v>
      </x:c>
      <x:c r="I68" s="17" t="str">
        <x:v>The TWIML AI Podcast with Sam Charrington</x:v>
      </x:c>
      <x:c r="J68" s="23" t="str">
        <x:v>In-depth Interview</x:v>
      </x:c>
      <x:c r="K68" s="24" t="n">
        <x:v>56</x:v>
      </x:c>
      <x:c r="L68" s="16" t="str">
        <x:v>https://www.youtube.com/watch?v=VIZwxufxg28</x:v>
      </x:c>
      <x:c r="M68" s="22" t="str">
        <x:v>YouTube</x:v>
      </x:c>
      <x:c r="N68" s="25" t="n">
        <x:v>5162</x:v>
      </x:c>
      <x:c r="O68" s="23" t="str">
        <x:v>A | Official / Original Creator / Organizer</x:v>
      </x:c>
      <x:c r="P68" s="23" t="str">
        <x:v>Core</x:v>
      </x:c>
      <x:c r="Q68" s="23" t="str">
        <x:v>Verified</x:v>
      </x:c>
      <x:c r="R68" s="26" t="n">
        <x:v>46244</x:v>
      </x:c>
      <x:c r="S68" s="17" t="str">
        <x:v>Matched to the target official channel; public metadata accessible.</x:v>
      </x:c>
      <x:c r="T68" s="16" t="str">
        <x:v>VIZwxufxg28</x:v>
      </x:c>
      <x:c r="U68" s="17" t="str">
        <x:v>The TWIML AI Podcast</x:v>
      </x:c>
      <x:c r="V68" s="151" t="n">
        <x:v>20240527</x:v>
      </x:c>
      <x:c r="W68" s="17" t="str">
        <x:v>twiml-ai-podcast</x:v>
      </x:c>
    </x:row>
    <x:row r="69" ht="42" customHeight="1">
      <x:c r="A69" s="22" t="str">
        <x:v>ST-068</x:v>
      </x:c>
      <x:c r="B69" s="22" t="str">
        <x:v>Interview</x:v>
      </x:c>
      <x:c r="C69" s="22" t="str">
        <x:v>Other</x:v>
      </x:c>
      <x:c r="D69" s="17" t="str">
        <x:v>Machine Learning / Engineering Practice</x:v>
      </x:c>
      <x:c r="E69" s="17" t="str">
        <x:v>Machine Learning</x:v>
      </x:c>
      <x:c r="F69" s="23" t="str">
        <x:v>English</x:v>
      </x:c>
      <x:c r="G69" s="17" t="str">
        <x:v>AI Research at JPMorgan Chase with Manuela Veloso - #371</x:v>
      </x:c>
      <x:c r="H69" s="17" t="str">
        <x:v>Manuela Veloso - #371</x:v>
      </x:c>
      <x:c r="I69" s="17" t="str">
        <x:v>The TWIML AI Podcast with Sam Charrington</x:v>
      </x:c>
      <x:c r="J69" s="23" t="str">
        <x:v>In-depth Interview</x:v>
      </x:c>
      <x:c r="K69" s="24" t="n">
        <x:v>46</x:v>
      </x:c>
      <x:c r="L69" s="16" t="str">
        <x:v>https://www.youtube.com/watch?v=uJ4l0awqAYA</x:v>
      </x:c>
      <x:c r="M69" s="22" t="str">
        <x:v>YouTube</x:v>
      </x:c>
      <x:c r="N69" s="25" t="n">
        <x:v>1627</x:v>
      </x:c>
      <x:c r="O69" s="23" t="str">
        <x:v>A | Official / Original Creator / Organizer</x:v>
      </x:c>
      <x:c r="P69" s="23" t="str">
        <x:v>Core</x:v>
      </x:c>
      <x:c r="Q69" s="23" t="str">
        <x:v>Verified</x:v>
      </x:c>
      <x:c r="R69" s="26" t="n">
        <x:v>46244</x:v>
      </x:c>
      <x:c r="S69" s="17" t="str">
        <x:v>Matched to the target official channel; public metadata accessible.</x:v>
      </x:c>
      <x:c r="T69" s="16" t="str">
        <x:v>uJ4l0awqAYA</x:v>
      </x:c>
      <x:c r="U69" s="17" t="str">
        <x:v>The TWIML AI Podcast</x:v>
      </x:c>
      <x:c r="V69" s="151" t="n">
        <x:v>20200430</x:v>
      </x:c>
      <x:c r="W69" s="17" t="str">
        <x:v>twiml-ai-podcast</x:v>
      </x:c>
    </x:row>
    <x:row r="70" ht="42" customHeight="1">
      <x:c r="A70" s="22" t="str">
        <x:v>ST-069</x:v>
      </x:c>
      <x:c r="B70" s="22" t="str">
        <x:v>Interview</x:v>
      </x:c>
      <x:c r="C70" s="22" t="str">
        <x:v>Agent</x:v>
      </x:c>
      <x:c r="D70" s="17" t="str">
        <x:v>Machine Learning / Engineering Practice</x:v>
      </x:c>
      <x:c r="E70" s="17" t="str">
        <x:v>Generative AI; Agents</x:v>
      </x:c>
      <x:c r="F70" s="23" t="str">
        <x:v>English</x:v>
      </x:c>
      <x:c r="G70" s="17" t="str">
        <x:v>Modeling Human Behavior with Generative Agents with Joon Sung Park - 632</x:v>
      </x:c>
      <x:c r="H70" s="17" t="str">
        <x:v>Generative Agents with Joon Sung Park</x:v>
      </x:c>
      <x:c r="I70" s="17" t="str">
        <x:v>The TWIML AI Podcast with Sam Charrington</x:v>
      </x:c>
      <x:c r="J70" s="23" t="str">
        <x:v>In-depth Interview</x:v>
      </x:c>
      <x:c r="K70" s="24" t="n">
        <x:v>51</x:v>
      </x:c>
      <x:c r="L70" s="16" t="str">
        <x:v>https://www.youtube.com/watch?v=Pb_dJ6nUeBE</x:v>
      </x:c>
      <x:c r="M70" s="22" t="str">
        <x:v>YouTube</x:v>
      </x:c>
      <x:c r="N70" s="25" t="n">
        <x:v>2680</x:v>
      </x:c>
      <x:c r="O70" s="23" t="str">
        <x:v>A | Official / Original Creator / Organizer</x:v>
      </x:c>
      <x:c r="P70" s="23" t="str">
        <x:v>Core</x:v>
      </x:c>
      <x:c r="Q70" s="23" t="str">
        <x:v>Verified</x:v>
      </x:c>
      <x:c r="R70" s="26" t="n">
        <x:v>46244</x:v>
      </x:c>
      <x:c r="S70" s="17" t="str">
        <x:v>Matched to the target official channel; public metadata accessible.</x:v>
      </x:c>
      <x:c r="T70" s="16" t="str">
        <x:v>Pb_dJ6nUeBE</x:v>
      </x:c>
      <x:c r="U70" s="17" t="str">
        <x:v>The TWIML AI Podcast</x:v>
      </x:c>
      <x:c r="V70" s="151" t="n">
        <x:v>20230605</x:v>
      </x:c>
      <x:c r="W70" s="17" t="str">
        <x:v>twiml-ai-podcast</x:v>
      </x:c>
    </x:row>
    <x:row r="71" ht="42" customHeight="1">
      <x:c r="A71" s="22" t="str">
        <x:v>ST-070</x:v>
      </x:c>
      <x:c r="B71" s="22" t="str">
        <x:v>Interview</x:v>
      </x:c>
      <x:c r="C71" s="22" t="str">
        <x:v>Other</x:v>
      </x:c>
      <x:c r="D71" s="17" t="str">
        <x:v>AI Industry / Startups</x:v>
      </x:c>
      <x:c r="E71" s="17" t="str">
        <x:v>AI Industry</x:v>
      </x:c>
      <x:c r="F71" s="23" t="str">
        <x:v>English</x:v>
      </x:c>
      <x:c r="G71" s="17" t="str">
        <x:v>Deep Dive Into The Breakthroughs &amp; Challenges of AI Research</x:v>
      </x:c>
      <x:c r="H71" s="17" t="str">
        <x:v>To be added</x:v>
      </x:c>
      <x:c r="I71" s="17" t="str">
        <x:v>Eye on AI</x:v>
      </x:c>
      <x:c r="J71" s="23" t="str">
        <x:v>In-depth Interview</x:v>
      </x:c>
      <x:c r="K71" s="24" t="n">
        <x:v>61</x:v>
      </x:c>
      <x:c r="L71" s="16" t="str">
        <x:v>https://www.youtube.com/watch?v=eTzhu0wEF3o</x:v>
      </x:c>
      <x:c r="M71" s="22" t="str">
        <x:v>YouTube</x:v>
      </x:c>
      <x:c r="N71" s="25" t="n">
        <x:v>3147</x:v>
      </x:c>
      <x:c r="O71" s="23" t="str">
        <x:v>A | Official / Original Creator / Organizer</x:v>
      </x:c>
      <x:c r="P71" s="23" t="str">
        <x:v>Core</x:v>
      </x:c>
      <x:c r="Q71" s="23" t="str">
        <x:v>Verified</x:v>
      </x:c>
      <x:c r="R71" s="26" t="n">
        <x:v>46244</x:v>
      </x:c>
      <x:c r="S71" s="17" t="str">
        <x:v>Matched to the target official channel; public metadata accessible.</x:v>
      </x:c>
      <x:c r="T71" s="16" t="str">
        <x:v>eTzhu0wEF3o</x:v>
      </x:c>
      <x:c r="U71" s="17" t="str">
        <x:v>Eye on AI</x:v>
      </x:c>
      <x:c r="V71" s="151" t="n">
        <x:v>20240109</x:v>
      </x:c>
      <x:c r="W71" s="17" t="str">
        <x:v>eye-on-ai-podcast</x:v>
      </x:c>
    </x:row>
    <x:row r="72" ht="42" customHeight="1">
      <x:c r="A72" s="22" t="str">
        <x:v>ST-071</x:v>
      </x:c>
      <x:c r="B72" s="22" t="str">
        <x:v>Interview</x:v>
      </x:c>
      <x:c r="C72" s="22" t="str">
        <x:v>Other</x:v>
      </x:c>
      <x:c r="D72" s="17" t="str">
        <x:v>AI Systems / Accelerated Computing</x:v>
      </x:c>
      <x:c r="E72" s="17" t="str">
        <x:v>AI Systems / MLOps</x:v>
      </x:c>
      <x:c r="F72" s="23" t="str">
        <x:v>English</x:v>
      </x:c>
      <x:c r="G72" s="17" t="str">
        <x:v>Nvidia’s Jensen Huang on the AI revolution, job losses and what drives him | Full interview</x:v>
      </x:c>
      <x:c r="H72" s="17" t="str">
        <x:v>To be added</x:v>
      </x:c>
      <x:c r="I72" s="17" t="str">
        <x:v>CNA</x:v>
      </x:c>
      <x:c r="J72" s="23" t="str">
        <x:v>In-depth Interview</x:v>
      </x:c>
      <x:c r="K72" s="24" t="n">
        <x:v>56</x:v>
      </x:c>
      <x:c r="L72" s="16" t="str">
        <x:v>https://www.youtube.com/watch?v=XVoyL8rzhWs</x:v>
      </x:c>
      <x:c r="M72" s="22" t="str">
        <x:v>YouTube</x:v>
      </x:c>
      <x:c r="N72" s="25" t="n">
        <x:v>236923</x:v>
      </x:c>
      <x:c r="O72" s="23" t="str">
        <x:v>B | University / Conference / Institution</x:v>
      </x:c>
      <x:c r="P72" s="23" t="str">
        <x:v>Recommended</x:v>
      </x:c>
      <x:c r="Q72" s="23" t="str">
        <x:v>Verified</x:v>
      </x:c>
      <x:c r="R72" s="26" t="n">
        <x:v>46244</x:v>
      </x:c>
      <x:c r="S72" s="17" t="str">
        <x:v>Title, channel, and public metadata reviewed.</x:v>
      </x:c>
      <x:c r="T72" s="16" t="str">
        <x:v>XVoyL8rzhWs</x:v>
      </x:c>
      <x:c r="U72" s="17" t="str"/>
      <x:c r="V72" s="151"/>
      <x:c r="W72" s="17" t="str"/>
    </x:row>
    <x:row r="73" ht="42" customHeight="1">
      <x:c r="A73" s="22" t="str">
        <x:v>ST-072</x:v>
      </x:c>
      <x:c r="B73" s="22" t="str">
        <x:v>Interview</x:v>
      </x:c>
      <x:c r="C73" s="22" t="str">
        <x:v>Other</x:v>
      </x:c>
      <x:c r="D73" s="17" t="str">
        <x:v>AI Systems / Accelerated Computing</x:v>
      </x:c>
      <x:c r="E73" s="17" t="str">
        <x:v>AI Systems / MLOps</x:v>
      </x:c>
      <x:c r="F73" s="23" t="str">
        <x:v>English</x:v>
      </x:c>
      <x:c r="G73" s="17" t="str">
        <x:v>NVIDIA CEO Jensen Huang's Vision for the Future</x:v>
      </x:c>
      <x:c r="H73" s="17" t="str">
        <x:v>To be added</x:v>
      </x:c>
      <x:c r="I73" s="17" t="str">
        <x:v>Cleo Abram</x:v>
      </x:c>
      <x:c r="J73" s="23" t="str">
        <x:v>In-depth Interview</x:v>
      </x:c>
      <x:c r="K73" s="24" t="n">
        <x:v>63</x:v>
      </x:c>
      <x:c r="L73" s="16" t="str">
        <x:v>https://www.youtube.com/watch?v=7ARBJQn6QkM</x:v>
      </x:c>
      <x:c r="M73" s="22" t="str">
        <x:v>YouTube</x:v>
      </x:c>
      <x:c r="N73" s="25" t="n">
        <x:v>5239340</x:v>
      </x:c>
      <x:c r="O73" s="23" t="str">
        <x:v>B | University / Conference / Institution</x:v>
      </x:c>
      <x:c r="P73" s="23" t="str">
        <x:v>Recommended</x:v>
      </x:c>
      <x:c r="Q73" s="23" t="str">
        <x:v>Verified</x:v>
      </x:c>
      <x:c r="R73" s="26" t="n">
        <x:v>46244</x:v>
      </x:c>
      <x:c r="S73" s="17" t="str">
        <x:v>Title, channel, and public metadata reviewed.</x:v>
      </x:c>
      <x:c r="T73" s="16" t="str">
        <x:v>7ARBJQn6QkM</x:v>
      </x:c>
      <x:c r="U73" s="17" t="str"/>
      <x:c r="V73" s="151"/>
      <x:c r="W73" s="17" t="str"/>
    </x:row>
    <x:row r="74" ht="42" customHeight="1">
      <x:c r="A74" s="22" t="str">
        <x:v>ST-073</x:v>
      </x:c>
      <x:c r="B74" s="22" t="str">
        <x:v>Interview</x:v>
      </x:c>
      <x:c r="C74" s="22" t="str">
        <x:v>Other</x:v>
      </x:c>
      <x:c r="D74" s="17" t="str">
        <x:v>Chinese AI Researchers / Industry</x:v>
      </x:c>
      <x:c r="E74" s="17" t="str">
        <x:v>Large Language Models</x:v>
      </x:c>
      <x:c r="F74" s="23" t="str">
        <x:v>Chinese</x:v>
      </x:c>
      <x:c r="G74" s="17" t="str">
        <x:v>Podcast with Tian Yuandong：Inside Meta，LLM Realities, and the "AI Flood" Theory｜与田渊栋的播客访谈</x:v>
      </x:c>
      <x:c r="H74" s="17" t="str">
        <x:v>To be added</x:v>
      </x:c>
      <x:c r="I74" s="17" t="str">
        <x:v>卫诗婕_漫谈Light the Star</x:v>
      </x:c>
      <x:c r="J74" s="23" t="str">
        <x:v>Podcast Interview</x:v>
      </x:c>
      <x:c r="K74" s="24" t="n">
        <x:v>70</x:v>
      </x:c>
      <x:c r="L74" s="16" t="str">
        <x:v>https://www.youtube.com/watch?v=s0Pn3GGNUQM</x:v>
      </x:c>
      <x:c r="M74" s="22" t="str">
        <x:v>YouTube</x:v>
      </x:c>
      <x:c r="N74" s="25" t="n">
        <x:v>975</x:v>
      </x:c>
      <x:c r="O74" s="23" t="str">
        <x:v>C | Community Selection</x:v>
      </x:c>
      <x:c r="P74" s="23" t="str">
        <x:v>Recommended</x:v>
      </x:c>
      <x:c r="Q74" s="23" t="str">
        <x:v>Verified</x:v>
      </x:c>
      <x:c r="R74" s="26" t="n">
        <x:v>46244</x:v>
      </x:c>
      <x:c r="S74" s="17" t="str">
        <x:v>Title, channel, and public metadata reviewed.</x:v>
      </x:c>
      <x:c r="T74" s="16" t="str">
        <x:v>s0Pn3GGNUQM</x:v>
      </x:c>
      <x:c r="U74" s="17" t="str"/>
      <x:c r="V74" s="151"/>
      <x:c r="W74" s="17" t="str"/>
    </x:row>
    <x:row r="75" ht="42" customHeight="1">
      <x:c r="A75" s="22" t="str">
        <x:v>ST-074</x:v>
      </x:c>
      <x:c r="B75" s="22" t="str">
        <x:v>Interview</x:v>
      </x:c>
      <x:c r="C75" s="22" t="str">
        <x:v>World Model</x:v>
      </x:c>
      <x:c r="D75" s="17" t="str">
        <x:v>Chinese AI Researchers / Industry</x:v>
      </x:c>
      <x:c r="E75" s="17" t="str">
        <x:v>Foundation Models / World Models</x:v>
      </x:c>
      <x:c r="F75" s="23" t="str">
        <x:v>Chinese</x:v>
      </x:c>
      <x:c r="G75" s="17" t="str">
        <x:v>全面解析“世界模型”：定义、路线、实践与AGI的更近一步</x:v>
      </x:c>
      <x:c r="H75" s="17" t="str">
        <x:v>To be added</x:v>
      </x:c>
      <x:c r="I75" s="17" t="str">
        <x:v>硅谷101</x:v>
      </x:c>
      <x:c r="J75" s="23" t="str">
        <x:v>In-depth Interview</x:v>
      </x:c>
      <x:c r="K75" s="24" t="n">
        <x:v>50</x:v>
      </x:c>
      <x:c r="L75" s="16" t="str">
        <x:v>https://www.youtube.com/watch?v=SYuSZIIYOfI</x:v>
      </x:c>
      <x:c r="M75" s="22" t="str">
        <x:v>YouTube</x:v>
      </x:c>
      <x:c r="N75" s="25" t="n">
        <x:v>326474</x:v>
      </x:c>
      <x:c r="O75" s="23" t="str">
        <x:v>C | Community Selection</x:v>
      </x:c>
      <x:c r="P75" s="23" t="str">
        <x:v>Recommended</x:v>
      </x:c>
      <x:c r="Q75" s="23" t="str">
        <x:v>Verified</x:v>
      </x:c>
      <x:c r="R75" s="26" t="n">
        <x:v>46244</x:v>
      </x:c>
      <x:c r="S75" s="17" t="str">
        <x:v>Title, channel, and public metadata reviewed.</x:v>
      </x:c>
      <x:c r="T75" s="16" t="str">
        <x:v>SYuSZIIYOfI</x:v>
      </x:c>
      <x:c r="U75" s="17" t="str">
        <x:v>硅谷101｜AI Conversations</x:v>
      </x:c>
      <x:c r="V75" s="151" t="n">
        <x:v>20260306</x:v>
      </x:c>
      <x:c r="W75" s="17" t="str">
        <x:v>silicon-valley-101-ai-conversations</x:v>
      </x:c>
    </x:row>
    <x:row r="76" ht="42" customHeight="1">
      <x:c r="A76" s="22" t="str">
        <x:v>ST-075</x:v>
      </x:c>
      <x:c r="B76" s="22" t="str">
        <x:v>Interview</x:v>
      </x:c>
      <x:c r="C76" s="22" t="str">
        <x:v>Other</x:v>
      </x:c>
      <x:c r="D76" s="17" t="str">
        <x:v>Chinese AI Researchers / Industry</x:v>
      </x:c>
      <x:c r="E76" s="17" t="str">
        <x:v>Chinese AI Researchers</x:v>
      </x:c>
      <x:c r="F76" s="23" t="str">
        <x:v>Chinese</x:v>
      </x:c>
      <x:c r="G76" s="17" t="str">
        <x:v>AI下一站：顶尖学者分享AI研究新机遇 ｜ 俞舟教授访谈_上</x:v>
      </x:c>
      <x:c r="H76" s="17" t="str">
        <x:v>To be added</x:v>
      </x:c>
      <x:c r="I76" s="17" t="str">
        <x:v>课代表立正</x:v>
      </x:c>
      <x:c r="J76" s="23" t="str">
        <x:v>In-depth Interview</x:v>
      </x:c>
      <x:c r="K76" s="24" t="n">
        <x:v>23</x:v>
      </x:c>
      <x:c r="L76" s="16" t="str">
        <x:v>https://www.youtube.com/watch?v=UndcL0uEmYs</x:v>
      </x:c>
      <x:c r="M76" s="22" t="str">
        <x:v>YouTube</x:v>
      </x:c>
      <x:c r="N76" s="25" t="n">
        <x:v>14239</x:v>
      </x:c>
      <x:c r="O76" s="23" t="str">
        <x:v>C | Community Selection</x:v>
      </x:c>
      <x:c r="P76" s="23" t="str">
        <x:v>Recommended</x:v>
      </x:c>
      <x:c r="Q76" s="23" t="str">
        <x:v>Verified</x:v>
      </x:c>
      <x:c r="R76" s="26" t="n">
        <x:v>46244</x:v>
      </x:c>
      <x:c r="S76" s="17" t="str">
        <x:v>Title, channel, and public metadata reviewed.</x:v>
      </x:c>
      <x:c r="T76" s="16" t="str">
        <x:v>UndcL0uEmYs</x:v>
      </x:c>
      <x:c r="U76" s="17" t="str"/>
      <x:c r="V76" s="151"/>
      <x:c r="W76" s="17" t="str"/>
    </x:row>
    <x:row r="77" ht="42" customHeight="1">
      <x:c r="A77" s="22" t="str">
        <x:v>ST-076</x:v>
      </x:c>
      <x:c r="B77" s="22" t="str">
        <x:v>Course</x:v>
      </x:c>
      <x:c r="C77" s="22" t="str">
        <x:v>Other</x:v>
      </x:c>
      <x:c r="D77" s="17" t="str">
        <x:v>Machine Learning Foundations</x:v>
      </x:c>
      <x:c r="E77" s="17" t="str">
        <x:v>AI Education</x:v>
      </x:c>
      <x:c r="F77" s="23" t="str">
        <x:v>English</x:v>
      </x:c>
      <x:c r="G77" s="17" t="str">
        <x:v>Stanford CS229: Machine Learning Lecture 1 - Andrew Ng (Autumn 2018)</x:v>
      </x:c>
      <x:c r="H77" s="17" t="str">
        <x:v>Andrew Ng / Stanford course team</x:v>
      </x:c>
      <x:c r="I77" s="17" t="str">
        <x:v>Stanford Online</x:v>
      </x:c>
      <x:c r="J77" s="23" t="str">
        <x:v>Course Lecture</x:v>
      </x:c>
      <x:c r="K77" s="24" t="n">
        <x:v>75</x:v>
      </x:c>
      <x:c r="L77" s="16" t="str">
        <x:v>https://www.youtube.com/watch?v=jGwO_UgTS7I</x:v>
      </x:c>
      <x:c r="M77" s="22" t="str">
        <x:v>YouTube</x:v>
      </x:c>
      <x:c r="N77" s="25" t="n">
        <x:v>4659331</x:v>
      </x:c>
      <x:c r="O77" s="23" t="str">
        <x:v>A | Official / Original Creator / Organizer</x:v>
      </x:c>
      <x:c r="P77" s="23" t="str">
        <x:v>Core</x:v>
      </x:c>
      <x:c r="Q77" s="23" t="str">
        <x:v>Verified</x:v>
      </x:c>
      <x:c r="R77" s="26" t="n">
        <x:v>46244</x:v>
      </x:c>
      <x:c r="S77" s="17" t="str">
        <x:v>Matched to the target official channel; public metadata accessible.</x:v>
      </x:c>
      <x:c r="T77" s="16" t="str">
        <x:v>jGwO_UgTS7I</x:v>
      </x:c>
      <x:c r="U77" s="17" t="str">
        <x:v>Stanford CS229: Machine Learning — Autumn 2018</x:v>
      </x:c>
      <x:c r="V77" s="151" t="n">
        <x:v>1</x:v>
      </x:c>
      <x:c r="W77" s="17" t="str">
        <x:v>stanford-cs229-autumn-2018</x:v>
      </x:c>
    </x:row>
    <x:row r="78" ht="42" customHeight="1">
      <x:c r="A78" s="22" t="str">
        <x:v>ST-077</x:v>
      </x:c>
      <x:c r="B78" s="22" t="str">
        <x:v>Course</x:v>
      </x:c>
      <x:c r="C78" s="22" t="str">
        <x:v>Other</x:v>
      </x:c>
      <x:c r="D78" s="17" t="str">
        <x:v>Machine Learning Foundations</x:v>
      </x:c>
      <x:c r="E78" s="17" t="str">
        <x:v>Large Language Models; AI Education</x:v>
      </x:c>
      <x:c r="F78" s="23" t="str">
        <x:v>English</x:v>
      </x:c>
      <x:c r="G78" s="17" t="str">
        <x:v>Stanford CS229 I Machine Learning I Building Large Language Models (LLMs)</x:v>
      </x:c>
      <x:c r="H78" s="17" t="str">
        <x:v>Andrew Ng / Stanford course team</x:v>
      </x:c>
      <x:c r="I78" s="17" t="str">
        <x:v>Stanford Online</x:v>
      </x:c>
      <x:c r="J78" s="23" t="str">
        <x:v>Specialized Course</x:v>
      </x:c>
      <x:c r="K78" s="24" t="n">
        <x:v>105</x:v>
      </x:c>
      <x:c r="L78" s="16" t="str">
        <x:v>https://www.youtube.com/watch?v=9vM4p9NN0Ts</x:v>
      </x:c>
      <x:c r="M78" s="22" t="str">
        <x:v>YouTube</x:v>
      </x:c>
      <x:c r="N78" s="25" t="n">
        <x:v>2646761</x:v>
      </x:c>
      <x:c r="O78" s="23" t="str">
        <x:v>A | Official / Original Creator / Organizer</x:v>
      </x:c>
      <x:c r="P78" s="23" t="str">
        <x:v>Core</x:v>
      </x:c>
      <x:c r="Q78" s="23" t="str">
        <x:v>Verified</x:v>
      </x:c>
      <x:c r="R78" s="26" t="n">
        <x:v>46244</x:v>
      </x:c>
      <x:c r="S78" s="17" t="str">
        <x:v>Matched to the target official channel; public metadata accessible.</x:v>
      </x:c>
      <x:c r="T78" s="16" t="str">
        <x:v>9vM4p9NN0Ts</x:v>
      </x:c>
      <x:c r="U78" s="17" t="str"/>
      <x:c r="V78" s="151"/>
      <x:c r="W78" s="17" t="str"/>
    </x:row>
    <x:row r="79" ht="42" customHeight="1">
      <x:c r="A79" s="22" t="str">
        <x:v>ST-078</x:v>
      </x:c>
      <x:c r="B79" s="22" t="str">
        <x:v>Course</x:v>
      </x:c>
      <x:c r="C79" s="22" t="str">
        <x:v>Other</x:v>
      </x:c>
      <x:c r="D79" s="17" t="str">
        <x:v>AI Foundations</x:v>
      </x:c>
      <x:c r="E79" s="17" t="str">
        <x:v>AI Foundations</x:v>
      </x:c>
      <x:c r="F79" s="23" t="str">
        <x:v>English</x:v>
      </x:c>
      <x:c r="G79" s="17" t="str">
        <x:v>Search - Lecture 0 - CS50's Introduction to Artificial Intelligence with Python 2020</x:v>
      </x:c>
      <x:c r="H79" s="17" t="str">
        <x:v>Brian Yu / CS50 course team</x:v>
      </x:c>
      <x:c r="I79" s="17" t="str">
        <x:v>CS50</x:v>
      </x:c>
      <x:c r="J79" s="23" t="str">
        <x:v>Course Lecture</x:v>
      </x:c>
      <x:c r="K79" s="24" t="n">
        <x:v>110</x:v>
      </x:c>
      <x:c r="L79" s="16" t="str">
        <x:v>https://www.youtube.com/watch?v=WbzNRTTrX0g</x:v>
      </x:c>
      <x:c r="M79" s="22" t="str">
        <x:v>YouTube</x:v>
      </x:c>
      <x:c r="N79" s="25" t="n">
        <x:v>972699</x:v>
      </x:c>
      <x:c r="O79" s="23" t="str">
        <x:v>A | Official / Original Creator / Organizer</x:v>
      </x:c>
      <x:c r="P79" s="23" t="str">
        <x:v>Core</x:v>
      </x:c>
      <x:c r="Q79" s="23" t="str">
        <x:v>Verified</x:v>
      </x:c>
      <x:c r="R79" s="26" t="n">
        <x:v>46244</x:v>
      </x:c>
      <x:c r="S79" s="17" t="str">
        <x:v>Matched to the target official channel; public metadata accessible.</x:v>
      </x:c>
      <x:c r="T79" s="16" t="str">
        <x:v>WbzNRTTrX0g</x:v>
      </x:c>
      <x:c r="U79" s="17" t="str">
        <x:v>CS50's Introduction to Artificial Intelligence with Python — 2020</x:v>
      </x:c>
      <x:c r="V79" s="151" t="n">
        <x:v>0</x:v>
      </x:c>
      <x:c r="W79" s="17" t="str">
        <x:v>cs50-ai-python-2020</x:v>
      </x:c>
    </x:row>
    <x:row r="80" ht="42" customHeight="1">
      <x:c r="A80" s="22" t="str">
        <x:v>ST-079</x:v>
      </x:c>
      <x:c r="B80" s="22" t="str">
        <x:v>Course</x:v>
      </x:c>
      <x:c r="C80" s="22" t="str">
        <x:v>Other</x:v>
      </x:c>
      <x:c r="D80" s="17" t="str">
        <x:v>Natural Language Processing</x:v>
      </x:c>
      <x:c r="E80" s="17" t="str">
        <x:v>Natural Language Processing; AI Education</x:v>
      </x:c>
      <x:c r="F80" s="23" t="str">
        <x:v>English</x:v>
      </x:c>
      <x:c r="G80" s="17" t="str">
        <x:v>Stanford CS224N: NLP with Deep Learning | Winter 2021 | Lecture 1 - Intro &amp; Word Vectors</x:v>
      </x:c>
      <x:c r="H80" s="17" t="str">
        <x:v>Christopher Manning / Stanford course team</x:v>
      </x:c>
      <x:c r="I80" s="17" t="str">
        <x:v>Stanford Online</x:v>
      </x:c>
      <x:c r="J80" s="23" t="str">
        <x:v>Course Lecture</x:v>
      </x:c>
      <x:c r="K80" s="24" t="n">
        <x:v>84</x:v>
      </x:c>
      <x:c r="L80" s="16" t="str">
        <x:v>https://www.youtube.com/watch?v=rmVRLeJRkl4</x:v>
      </x:c>
      <x:c r="M80" s="22" t="str">
        <x:v>YouTube</x:v>
      </x:c>
      <x:c r="N80" s="25" t="n">
        <x:v>803065</x:v>
      </x:c>
      <x:c r="O80" s="23" t="str">
        <x:v>A | Official / Original Creator / Organizer</x:v>
      </x:c>
      <x:c r="P80" s="23" t="str">
        <x:v>Core</x:v>
      </x:c>
      <x:c r="Q80" s="23" t="str">
        <x:v>Verified</x:v>
      </x:c>
      <x:c r="R80" s="26" t="n">
        <x:v>46244</x:v>
      </x:c>
      <x:c r="S80" s="17" t="str">
        <x:v>Matched to the target official channel; public metadata accessible.</x:v>
      </x:c>
      <x:c r="T80" s="16" t="str">
        <x:v>rmVRLeJRkl4</x:v>
      </x:c>
      <x:c r="U80" s="17" t="str"/>
      <x:c r="V80" s="151"/>
      <x:c r="W80" s="17" t="str"/>
    </x:row>
    <x:row r="81" ht="42" customHeight="1">
      <x:c r="A81" s="22" t="str">
        <x:v>ST-080</x:v>
      </x:c>
      <x:c r="B81" s="22" t="str">
        <x:v>Course</x:v>
      </x:c>
      <x:c r="C81" s="22" t="str">
        <x:v>Other</x:v>
      </x:c>
      <x:c r="D81" s="17" t="str">
        <x:v>Reinforcement Learning</x:v>
      </x:c>
      <x:c r="E81" s="17" t="str">
        <x:v>Reinforcement Learning; AI Education</x:v>
      </x:c>
      <x:c r="F81" s="23" t="str">
        <x:v>English</x:v>
      </x:c>
      <x:c r="G81" s="17" t="str">
        <x:v>Stanford CS234: Reinforcement Learning | Winter 2019 | Lecture 1 - Introduction - Emma Brunskill</x:v>
      </x:c>
      <x:c r="H81" s="17" t="str">
        <x:v>Emma Brunskill / Stanford course team</x:v>
      </x:c>
      <x:c r="I81" s="17" t="str">
        <x:v>Stanford Online</x:v>
      </x:c>
      <x:c r="J81" s="23" t="str">
        <x:v>Course Lecture</x:v>
      </x:c>
      <x:c r="K81" s="24" t="n">
        <x:v>66</x:v>
      </x:c>
      <x:c r="L81" s="16" t="str">
        <x:v>https://www.youtube.com/watch?v=FgzM3zpZ55o</x:v>
      </x:c>
      <x:c r="M81" s="22" t="str">
        <x:v>YouTube</x:v>
      </x:c>
      <x:c r="N81" s="25" t="n">
        <x:v>749032</x:v>
      </x:c>
      <x:c r="O81" s="23" t="str">
        <x:v>A | Official / Original Creator / Organizer</x:v>
      </x:c>
      <x:c r="P81" s="23" t="str">
        <x:v>Core</x:v>
      </x:c>
      <x:c r="Q81" s="23" t="str">
        <x:v>Verified</x:v>
      </x:c>
      <x:c r="R81" s="26" t="n">
        <x:v>46244</x:v>
      </x:c>
      <x:c r="S81" s="17" t="str">
        <x:v>Matched to the target official channel; public metadata accessible.</x:v>
      </x:c>
      <x:c r="T81" s="16" t="str">
        <x:v>FgzM3zpZ55o</x:v>
      </x:c>
      <x:c r="U81" s="17" t="str">
        <x:v>Stanford CS234: Reinforcement Learning — Winter 2019</x:v>
      </x:c>
      <x:c r="V81" s="151" t="n">
        <x:v>1</x:v>
      </x:c>
      <x:c r="W81" s="17" t="str">
        <x:v>stanford-cs234-winter-2019</x:v>
      </x:c>
    </x:row>
    <x:row r="82" ht="42" customHeight="1">
      <x:c r="A82" s="22" t="str">
        <x:v>ST-081</x:v>
      </x:c>
      <x:c r="B82" s="22" t="str">
        <x:v>Course</x:v>
      </x:c>
      <x:c r="C82" s="22" t="str">
        <x:v>Other</x:v>
      </x:c>
      <x:c r="D82" s="17" t="str">
        <x:v>Natural Language Processing</x:v>
      </x:c>
      <x:c r="E82" s="17" t="str">
        <x:v>Natural Language Processing; AI Education</x:v>
      </x:c>
      <x:c r="F82" s="23" t="str">
        <x:v>English</x:v>
      </x:c>
      <x:c r="G82" s="17" t="str">
        <x:v>Stanford CS224N: NLP with Deep Learning | Winter 2019 | Lecture 1 – Introduction and Word Vectors</x:v>
      </x:c>
      <x:c r="H82" s="17" t="str">
        <x:v>Christopher Manning / Stanford course team</x:v>
      </x:c>
      <x:c r="I82" s="17" t="str">
        <x:v>Stanford Online</x:v>
      </x:c>
      <x:c r="J82" s="23" t="str">
        <x:v>Course Lecture</x:v>
      </x:c>
      <x:c r="K82" s="24" t="n">
        <x:v>82</x:v>
      </x:c>
      <x:c r="L82" s="16" t="str">
        <x:v>https://www.youtube.com/watch?v=8rXD5-xhemo</x:v>
      </x:c>
      <x:c r="M82" s="22" t="str">
        <x:v>YouTube</x:v>
      </x:c>
      <x:c r="N82" s="25" t="n">
        <x:v>835209</x:v>
      </x:c>
      <x:c r="O82" s="23" t="str">
        <x:v>A | Official / Original Creator / Organizer</x:v>
      </x:c>
      <x:c r="P82" s="23" t="str">
        <x:v>Core</x:v>
      </x:c>
      <x:c r="Q82" s="23" t="str">
        <x:v>Verified</x:v>
      </x:c>
      <x:c r="R82" s="26" t="n">
        <x:v>46244</x:v>
      </x:c>
      <x:c r="S82" s="17" t="str">
        <x:v>Matched to the target official channel; public metadata accessible.</x:v>
      </x:c>
      <x:c r="T82" s="16" t="str">
        <x:v>8rXD5-xhemo</x:v>
      </x:c>
      <x:c r="U82" s="17" t="str"/>
      <x:c r="V82" s="151"/>
      <x:c r="W82" s="17" t="str"/>
    </x:row>
    <x:row r="83" ht="42" customHeight="1">
      <x:c r="A83" s="22" t="str">
        <x:v>ST-082</x:v>
      </x:c>
      <x:c r="B83" s="22" t="str">
        <x:v>Course</x:v>
      </x:c>
      <x:c r="C83" s="22" t="str">
        <x:v>Other</x:v>
      </x:c>
      <x:c r="D83" s="17" t="str">
        <x:v>Transformers / Large Models</x:v>
      </x:c>
      <x:c r="E83" s="17" t="str">
        <x:v>Large Language Models</x:v>
      </x:c>
      <x:c r="F83" s="23" t="str">
        <x:v>English</x:v>
      </x:c>
      <x:c r="G83" s="17" t="str">
        <x:v>Stanford CS25: V2 I Introduction to Transformers w/ Andrej Karpathy</x:v>
      </x:c>
      <x:c r="H83" s="17" t="str">
        <x:v>Stanford guest speakers</x:v>
      </x:c>
      <x:c r="I83" s="17" t="str">
        <x:v>Stanford Online</x:v>
      </x:c>
      <x:c r="J83" s="23" t="str">
        <x:v>Specialized Course</x:v>
      </x:c>
      <x:c r="K83" s="24" t="n">
        <x:v>72</x:v>
      </x:c>
      <x:c r="L83" s="16" t="str">
        <x:v>https://www.youtube.com/watch?v=XfpMkf4rD6E</x:v>
      </x:c>
      <x:c r="M83" s="22" t="str">
        <x:v>YouTube</x:v>
      </x:c>
      <x:c r="N83" s="25" t="n">
        <x:v>1009444</x:v>
      </x:c>
      <x:c r="O83" s="23" t="str">
        <x:v>A | Official / Original Creator / Organizer</x:v>
      </x:c>
      <x:c r="P83" s="23" t="str">
        <x:v>Core</x:v>
      </x:c>
      <x:c r="Q83" s="23" t="str">
        <x:v>Verified</x:v>
      </x:c>
      <x:c r="R83" s="26" t="n">
        <x:v>46244</x:v>
      </x:c>
      <x:c r="S83" s="17" t="str">
        <x:v>Matched to the target official channel; public metadata accessible.</x:v>
      </x:c>
      <x:c r="T83" s="16" t="str">
        <x:v>XfpMkf4rD6E</x:v>
      </x:c>
      <x:c r="U83" s="17" t="str">
        <x:v>Stanford CS25: Transformers United</x:v>
      </x:c>
      <x:c r="V83" s="151" t="n">
        <x:v>200</x:v>
      </x:c>
      <x:c r="W83" s="17" t="str">
        <x:v>stanford-cs25-transformers-united</x:v>
      </x:c>
    </x:row>
    <x:row r="84" ht="42" customHeight="1">
      <x:c r="A84" s="22" t="str">
        <x:v>ST-083</x:v>
      </x:c>
      <x:c r="B84" s="22" t="str">
        <x:v>Course</x:v>
      </x:c>
      <x:c r="C84" s="22" t="str">
        <x:v>Vision</x:v>
      </x:c>
      <x:c r="D84" s="17" t="str">
        <x:v>Computer Vision</x:v>
      </x:c>
      <x:c r="E84" s="17" t="str">
        <x:v>Computer Vision; AI Systems / MLOps; AI Education</x:v>
      </x:c>
      <x:c r="F84" s="23" t="str">
        <x:v>English</x:v>
      </x:c>
      <x:c r="G84" s="17" t="str">
        <x:v>Stanford CS231N Deep Learning for Computer Vision | Spring 2025 | Lecture 1: Introduction</x:v>
      </x:c>
      <x:c r="H84" s="17" t="str">
        <x:v>Stanford Online course team</x:v>
      </x:c>
      <x:c r="I84" s="17" t="str">
        <x:v>Stanford Online</x:v>
      </x:c>
      <x:c r="J84" s="23" t="str">
        <x:v>Course Lecture</x:v>
      </x:c>
      <x:c r="K84" s="24" t="n">
        <x:v>63</x:v>
      </x:c>
      <x:c r="L84" s="16" t="str">
        <x:v>https://www.youtube.com/watch?v=2fq9wYslV0A</x:v>
      </x:c>
      <x:c r="M84" s="22" t="str">
        <x:v>YouTube</x:v>
      </x:c>
      <x:c r="N84" s="25" t="n">
        <x:v>668704</x:v>
      </x:c>
      <x:c r="O84" s="23" t="str">
        <x:v>A | Official / Original Creator / Organizer</x:v>
      </x:c>
      <x:c r="P84" s="23" t="str">
        <x:v>Core</x:v>
      </x:c>
      <x:c r="Q84" s="23" t="str">
        <x:v>Verified</x:v>
      </x:c>
      <x:c r="R84" s="26" t="n">
        <x:v>46244</x:v>
      </x:c>
      <x:c r="S84" s="17" t="str">
        <x:v>Matched to the target official channel; public metadata accessible.</x:v>
      </x:c>
      <x:c r="T84" s="16" t="str">
        <x:v>2fq9wYslV0A</x:v>
      </x:c>
      <x:c r="U84" s="17" t="str">
        <x:v>Stanford CS231N: Deep Learning for Computer Vision — Spring 2025</x:v>
      </x:c>
      <x:c r="V84" s="151" t="n">
        <x:v>1</x:v>
      </x:c>
      <x:c r="W84" s="17" t="str">
        <x:v>stanford-cs231n-spring-2025</x:v>
      </x:c>
    </x:row>
    <x:row r="85" ht="42" customHeight="1">
      <x:c r="A85" s="22" t="str">
        <x:v>ST-084</x:v>
      </x:c>
      <x:c r="B85" s="22" t="str">
        <x:v>Course</x:v>
      </x:c>
      <x:c r="C85" s="22" t="str">
        <x:v>Other</x:v>
      </x:c>
      <x:c r="D85" s="17" t="str">
        <x:v>Natural Language Processing</x:v>
      </x:c>
      <x:c r="E85" s="17" t="str">
        <x:v>Natural Language Processing; AI Education</x:v>
      </x:c>
      <x:c r="F85" s="23" t="str">
        <x:v>English</x:v>
      </x:c>
      <x:c r="G85" s="17" t="str">
        <x:v>Stanford CS224N: NLP with Deep Learning | Spring 2024 | Lecture 1 - Intro and Word Vectors</x:v>
      </x:c>
      <x:c r="H85" s="17" t="str">
        <x:v>Christopher Manning / Stanford course team</x:v>
      </x:c>
      <x:c r="I85" s="17" t="str">
        <x:v>Stanford Online</x:v>
      </x:c>
      <x:c r="J85" s="23" t="str">
        <x:v>Course Lecture</x:v>
      </x:c>
      <x:c r="K85" s="24" t="n">
        <x:v>80</x:v>
      </x:c>
      <x:c r="L85" s="16" t="str">
        <x:v>https://www.youtube.com/watch?v=DzpHeXVSC5I</x:v>
      </x:c>
      <x:c r="M85" s="22" t="str">
        <x:v>YouTube</x:v>
      </x:c>
      <x:c r="N85" s="25" t="n">
        <x:v>237135</x:v>
      </x:c>
      <x:c r="O85" s="23" t="str">
        <x:v>A | Official / Original Creator / Organizer</x:v>
      </x:c>
      <x:c r="P85" s="23" t="str">
        <x:v>Core</x:v>
      </x:c>
      <x:c r="Q85" s="23" t="str">
        <x:v>Verified</x:v>
      </x:c>
      <x:c r="R85" s="26" t="n">
        <x:v>46244</x:v>
      </x:c>
      <x:c r="S85" s="17" t="str">
        <x:v>Matched to the target official channel; public metadata accessible.</x:v>
      </x:c>
      <x:c r="T85" s="16" t="str">
        <x:v>DzpHeXVSC5I</x:v>
      </x:c>
      <x:c r="U85" s="17" t="str"/>
      <x:c r="V85" s="151"/>
      <x:c r="W85" s="17" t="str"/>
    </x:row>
    <x:row r="86" ht="42" customHeight="1">
      <x:c r="A86" s="22" t="str">
        <x:v>ST-085</x:v>
      </x:c>
      <x:c r="B86" s="22" t="str">
        <x:v>Course</x:v>
      </x:c>
      <x:c r="C86" s="22" t="str">
        <x:v>Other</x:v>
      </x:c>
      <x:c r="D86" s="17" t="str">
        <x:v>Machine Learning Foundations</x:v>
      </x:c>
      <x:c r="E86" s="17" t="str">
        <x:v>AI Education</x:v>
      </x:c>
      <x:c r="F86" s="23" t="str">
        <x:v>English</x:v>
      </x:c>
      <x:c r="G86" s="17" t="str">
        <x:v>Stanford CS229 Machine Learning I Introduction I 2022 I Lecture 1</x:v>
      </x:c>
      <x:c r="H86" s="17" t="str">
        <x:v>Andrew Ng / Stanford course team</x:v>
      </x:c>
      <x:c r="I86" s="17" t="str">
        <x:v>Stanford Online</x:v>
      </x:c>
      <x:c r="J86" s="23" t="str">
        <x:v>Course Lecture</x:v>
      </x:c>
      <x:c r="K86" s="24" t="n">
        <x:v>79</x:v>
      </x:c>
      <x:c r="L86" s="16" t="str">
        <x:v>https://www.youtube.com/watch?v=Bl4Feh_Mjvo</x:v>
      </x:c>
      <x:c r="M86" s="22" t="str">
        <x:v>YouTube</x:v>
      </x:c>
      <x:c r="N86" s="25" t="n">
        <x:v>396290</x:v>
      </x:c>
      <x:c r="O86" s="23" t="str">
        <x:v>A | Official / Original Creator / Organizer</x:v>
      </x:c>
      <x:c r="P86" s="23" t="str">
        <x:v>Core</x:v>
      </x:c>
      <x:c r="Q86" s="23" t="str">
        <x:v>Verified</x:v>
      </x:c>
      <x:c r="R86" s="26" t="n">
        <x:v>46244</x:v>
      </x:c>
      <x:c r="S86" s="17" t="str">
        <x:v>Matched to the target official channel; public metadata accessible.</x:v>
      </x:c>
      <x:c r="T86" s="16" t="str">
        <x:v>Bl4Feh_Mjvo</x:v>
      </x:c>
      <x:c r="U86" s="17" t="str"/>
      <x:c r="V86" s="151"/>
      <x:c r="W86" s="17" t="str"/>
    </x:row>
    <x:row r="87" ht="42" customHeight="1">
      <x:c r="A87" s="22" t="str">
        <x:v>ST-086</x:v>
      </x:c>
      <x:c r="B87" s="22" t="str">
        <x:v>Course</x:v>
      </x:c>
      <x:c r="C87" s="22" t="str">
        <x:v>Other</x:v>
      </x:c>
      <x:c r="D87" s="17" t="str">
        <x:v>AI Foundations</x:v>
      </x:c>
      <x:c r="E87" s="17" t="str">
        <x:v>AI Foundations</x:v>
      </x:c>
      <x:c r="F87" s="23" t="str">
        <x:v>English</x:v>
      </x:c>
      <x:c r="G87" s="17" t="str">
        <x:v>Knowledge - Lecture 1 - CS50's Introduction to Artificial Intelligence with Python 2020</x:v>
      </x:c>
      <x:c r="H87" s="17" t="str">
        <x:v>Brian Yu / CS50 course team</x:v>
      </x:c>
      <x:c r="I87" s="17" t="str">
        <x:v>CS50</x:v>
      </x:c>
      <x:c r="J87" s="23" t="str">
        <x:v>Course Lecture</x:v>
      </x:c>
      <x:c r="K87" s="24" t="n">
        <x:v>108</x:v>
      </x:c>
      <x:c r="L87" s="16" t="str">
        <x:v>https://www.youtube.com/watch?v=HWQLez87vqM</x:v>
      </x:c>
      <x:c r="M87" s="22" t="str">
        <x:v>YouTube</x:v>
      </x:c>
      <x:c r="N87" s="25" t="n">
        <x:v>385718</x:v>
      </x:c>
      <x:c r="O87" s="23" t="str">
        <x:v>A | Official / Original Creator / Organizer</x:v>
      </x:c>
      <x:c r="P87" s="23" t="str">
        <x:v>Core</x:v>
      </x:c>
      <x:c r="Q87" s="23" t="str">
        <x:v>Verified</x:v>
      </x:c>
      <x:c r="R87" s="26" t="n">
        <x:v>46244</x:v>
      </x:c>
      <x:c r="S87" s="17" t="str">
        <x:v>Matched to the target official channel; public metadata accessible.</x:v>
      </x:c>
      <x:c r="T87" s="16" t="str">
        <x:v>HWQLez87vqM</x:v>
      </x:c>
      <x:c r="U87" s="17" t="str">
        <x:v>CS50's Introduction to Artificial Intelligence with Python — 2020</x:v>
      </x:c>
      <x:c r="V87" s="151" t="n">
        <x:v>1</x:v>
      </x:c>
      <x:c r="W87" s="17" t="str">
        <x:v>cs50-ai-python-2020</x:v>
      </x:c>
    </x:row>
    <x:row r="88" ht="42" customHeight="1">
      <x:c r="A88" s="22" t="str">
        <x:v>ST-087</x:v>
      </x:c>
      <x:c r="B88" s="22" t="str">
        <x:v>Course</x:v>
      </x:c>
      <x:c r="C88" s="22" t="str">
        <x:v>Other</x:v>
      </x:c>
      <x:c r="D88" s="17" t="str">
        <x:v>Reinforcement Learning</x:v>
      </x:c>
      <x:c r="E88" s="17" t="str">
        <x:v>Reinforcement Learning; AI Education</x:v>
      </x:c>
      <x:c r="F88" s="23" t="str">
        <x:v>English</x:v>
      </x:c>
      <x:c r="G88" s="17" t="str">
        <x:v>Stanford CS234 Reinforcement Learning I Introduction to Reinforcement Learning I 2024 I Lecture 1</x:v>
      </x:c>
      <x:c r="H88" s="17" t="str">
        <x:v>Emma Brunskill / Stanford course team</x:v>
      </x:c>
      <x:c r="I88" s="17" t="str">
        <x:v>Stanford Online</x:v>
      </x:c>
      <x:c r="J88" s="23" t="str">
        <x:v>Course Lecture</x:v>
      </x:c>
      <x:c r="K88" s="24" t="n">
        <x:v>79</x:v>
      </x:c>
      <x:c r="L88" s="16" t="str">
        <x:v>https://www.youtube.com/watch?v=WsvFL-LjA6U</x:v>
      </x:c>
      <x:c r="M88" s="22" t="str">
        <x:v>YouTube</x:v>
      </x:c>
      <x:c r="N88" s="25" t="n">
        <x:v>170685</x:v>
      </x:c>
      <x:c r="O88" s="23" t="str">
        <x:v>A | Official / Original Creator / Organizer</x:v>
      </x:c>
      <x:c r="P88" s="23" t="str">
        <x:v>Core</x:v>
      </x:c>
      <x:c r="Q88" s="23" t="str">
        <x:v>Verified</x:v>
      </x:c>
      <x:c r="R88" s="26" t="n">
        <x:v>46244</x:v>
      </x:c>
      <x:c r="S88" s="17" t="str">
        <x:v>Matched to the target official channel; public metadata accessible.</x:v>
      </x:c>
      <x:c r="T88" s="16" t="str">
        <x:v>WsvFL-LjA6U</x:v>
      </x:c>
      <x:c r="U88" s="17" t="str">
        <x:v>Stanford CS234: Reinforcement Learning — 2024</x:v>
      </x:c>
      <x:c r="V88" s="151" t="n">
        <x:v>1</x:v>
      </x:c>
      <x:c r="W88" s="17" t="str">
        <x:v>stanford-cs234-2024</x:v>
      </x:c>
    </x:row>
    <x:row r="89" ht="42" customHeight="1">
      <x:c r="A89" s="22" t="str">
        <x:v>ST-088</x:v>
      </x:c>
      <x:c r="B89" s="22" t="str">
        <x:v>Course</x:v>
      </x:c>
      <x:c r="C89" s="22" t="str">
        <x:v>Other</x:v>
      </x:c>
      <x:c r="D89" s="17" t="str">
        <x:v>AI Foundations</x:v>
      </x:c>
      <x:c r="E89" s="17" t="str">
        <x:v>AI Foundations</x:v>
      </x:c>
      <x:c r="F89" s="23" t="str">
        <x:v>English</x:v>
      </x:c>
      <x:c r="G89" s="17" t="str">
        <x:v>CS50x - Artificial Intelligence</x:v>
      </x:c>
      <x:c r="H89" s="17" t="str">
        <x:v>Brian Yu / CS50 course team</x:v>
      </x:c>
      <x:c r="I89" s="17" t="str">
        <x:v>CS50</x:v>
      </x:c>
      <x:c r="J89" s="23" t="str">
        <x:v>Specialized Course</x:v>
      </x:c>
      <x:c r="K89" s="24" t="n">
        <x:v>48</x:v>
      </x:c>
      <x:c r="L89" s="16" t="str">
        <x:v>https://www.youtube.com/watch?v=-9bo8HlSxwQ</x:v>
      </x:c>
      <x:c r="M89" s="22" t="str">
        <x:v>YouTube</x:v>
      </x:c>
      <x:c r="N89" s="25" t="n">
        <x:v>263428</x:v>
      </x:c>
      <x:c r="O89" s="23" t="str">
        <x:v>A | Official / Original Creator / Organizer</x:v>
      </x:c>
      <x:c r="P89" s="23" t="str">
        <x:v>Core</x:v>
      </x:c>
      <x:c r="Q89" s="23" t="str">
        <x:v>Verified</x:v>
      </x:c>
      <x:c r="R89" s="26" t="n">
        <x:v>46244</x:v>
      </x:c>
      <x:c r="S89" s="17" t="str">
        <x:v>Matched to the target official channel; public metadata accessible.</x:v>
      </x:c>
      <x:c r="T89" s="16" t="str">
        <x:v>-9bo8HlSxwQ</x:v>
      </x:c>
      <x:c r="U89" s="17" t="str"/>
      <x:c r="V89" s="151"/>
      <x:c r="W89" s="17" t="str"/>
    </x:row>
    <x:row r="90" ht="42" customHeight="1">
      <x:c r="A90" s="22" t="str">
        <x:v>ST-089</x:v>
      </x:c>
      <x:c r="B90" s="22" t="str">
        <x:v>Course</x:v>
      </x:c>
      <x:c r="C90" s="22" t="str">
        <x:v>Other</x:v>
      </x:c>
      <x:c r="D90" s="17" t="str">
        <x:v>Transformers / Large Models</x:v>
      </x:c>
      <x:c r="E90" s="17" t="str">
        <x:v>Large Language Models; Multimodal Learning</x:v>
      </x:c>
      <x:c r="F90" s="23" t="str">
        <x:v>English</x:v>
      </x:c>
      <x:c r="G90" s="17" t="str">
        <x:v>Stanford CS25: Transformers United V6 I From Language Models to Native Multimodal Intelligence</x:v>
      </x:c>
      <x:c r="H90" s="17" t="str">
        <x:v>Stanford CS25 guest speakers</x:v>
      </x:c>
      <x:c r="I90" s="17" t="str">
        <x:v>Stanford Online</x:v>
      </x:c>
      <x:c r="J90" s="23" t="str">
        <x:v>Specialized Course</x:v>
      </x:c>
      <x:c r="K90" s="24" t="n">
        <x:v>65</x:v>
      </x:c>
      <x:c r="L90" s="16" t="str">
        <x:v>https://www.youtube.com/watch?v=NDdc39KYqDU</x:v>
      </x:c>
      <x:c r="M90" s="22" t="str">
        <x:v>YouTube</x:v>
      </x:c>
      <x:c r="N90" s="25" t="n">
        <x:v>113596</x:v>
      </x:c>
      <x:c r="O90" s="23" t="str">
        <x:v>A | Official / Original Creator / Organizer</x:v>
      </x:c>
      <x:c r="P90" s="23" t="str">
        <x:v>Core</x:v>
      </x:c>
      <x:c r="Q90" s="23" t="str">
        <x:v>Verified</x:v>
      </x:c>
      <x:c r="R90" s="26" t="n">
        <x:v>46244</x:v>
      </x:c>
      <x:c r="S90" s="17" t="str">
        <x:v>Matched to the target official channel; public metadata accessible. Metadata and series placement refined in the 2026-08-15 latest-gap audit.</x:v>
      </x:c>
      <x:c r="T90" s="16" t="str">
        <x:v>NDdc39KYqDU</x:v>
      </x:c>
      <x:c r="U90" s="17" t="str">
        <x:v>Stanford CS25: Transformers United</x:v>
      </x:c>
      <x:c r="V90" s="151" t="n">
        <x:v>603</x:v>
      </x:c>
      <x:c r="W90" s="17" t="str">
        <x:v>stanford-cs25-transformers-united</x:v>
      </x:c>
    </x:row>
    <x:row r="91" ht="42" customHeight="1">
      <x:c r="A91" s="22" t="str">
        <x:v>ST-090</x:v>
      </x:c>
      <x:c r="B91" s="22" t="str">
        <x:v>Course</x:v>
      </x:c>
      <x:c r="C91" s="22" t="str">
        <x:v>Other</x:v>
      </x:c>
      <x:c r="D91" s="17" t="str">
        <x:v>AI Foundations</x:v>
      </x:c>
      <x:c r="E91" s="17" t="str">
        <x:v>AI Foundations</x:v>
      </x:c>
      <x:c r="F91" s="23" t="str">
        <x:v>English</x:v>
      </x:c>
      <x:c r="G91" s="17" t="str">
        <x:v>Neural Networks - Lecture 5 - CS50's Introduction to Artificial Intelligence with Python 2020</x:v>
      </x:c>
      <x:c r="H91" s="17" t="str">
        <x:v>Brian Yu / CS50 course team</x:v>
      </x:c>
      <x:c r="I91" s="17" t="str">
        <x:v>CS50</x:v>
      </x:c>
      <x:c r="J91" s="23" t="str">
        <x:v>Course Lecture</x:v>
      </x:c>
      <x:c r="K91" s="24" t="n">
        <x:v>101</x:v>
      </x:c>
      <x:c r="L91" s="16" t="str">
        <x:v>https://www.youtube.com/watch?v=J1QD9hLDEDY</x:v>
      </x:c>
      <x:c r="M91" s="22" t="str">
        <x:v>YouTube</x:v>
      </x:c>
      <x:c r="N91" s="25" t="n">
        <x:v>179432</x:v>
      </x:c>
      <x:c r="O91" s="23" t="str">
        <x:v>A | Official / Original Creator / Organizer</x:v>
      </x:c>
      <x:c r="P91" s="23" t="str">
        <x:v>Core</x:v>
      </x:c>
      <x:c r="Q91" s="23" t="str">
        <x:v>Verified</x:v>
      </x:c>
      <x:c r="R91" s="26" t="n">
        <x:v>46244</x:v>
      </x:c>
      <x:c r="S91" s="17" t="str">
        <x:v>Matched to the target official channel; public metadata accessible.</x:v>
      </x:c>
      <x:c r="T91" s="16" t="str">
        <x:v>J1QD9hLDEDY</x:v>
      </x:c>
      <x:c r="U91" s="17" t="str">
        <x:v>CS50's Introduction to Artificial Intelligence with Python — 2020</x:v>
      </x:c>
      <x:c r="V91" s="151" t="n">
        <x:v>5</x:v>
      </x:c>
      <x:c r="W91" s="17" t="str">
        <x:v>cs50-ai-python-2020</x:v>
      </x:c>
    </x:row>
    <x:row r="92" ht="42" customHeight="1">
      <x:c r="A92" s="22" t="str">
        <x:v>ST-091</x:v>
      </x:c>
      <x:c r="B92" s="22" t="str">
        <x:v>Course</x:v>
      </x:c>
      <x:c r="C92" s="22" t="str">
        <x:v>Vision</x:v>
      </x:c>
      <x:c r="D92" s="17" t="str">
        <x:v>Transformers / Large Models</x:v>
      </x:c>
      <x:c r="E92" s="17" t="str">
        <x:v>Large Language Models; Computer Vision; Natural Language Processing; Reinforcement Learning</x:v>
      </x:c>
      <x:c r="F92" s="23" t="str">
        <x:v>English</x:v>
      </x:c>
      <x:c r="G92" s="17" t="str">
        <x:v>Stanford CS25: V1 I Transformers United: DL Models that have revolutionized NLP, CV, RL</x:v>
      </x:c>
      <x:c r="H92" s="17" t="str">
        <x:v>Stanford guest speakers</x:v>
      </x:c>
      <x:c r="I92" s="17" t="str">
        <x:v>Stanford Online</x:v>
      </x:c>
      <x:c r="J92" s="23" t="str">
        <x:v>Specialized Course</x:v>
      </x:c>
      <x:c r="K92" s="24" t="n">
        <x:v>23</x:v>
      </x:c>
      <x:c r="L92" s="16" t="str">
        <x:v>https://www.youtube.com/watch?v=P127jhj-8-Y</x:v>
      </x:c>
      <x:c r="M92" s="22" t="str">
        <x:v>YouTube</x:v>
      </x:c>
      <x:c r="N92" s="25" t="n">
        <x:v>196054</x:v>
      </x:c>
      <x:c r="O92" s="23" t="str">
        <x:v>A | Official / Original Creator / Organizer</x:v>
      </x:c>
      <x:c r="P92" s="23" t="str">
        <x:v>Core</x:v>
      </x:c>
      <x:c r="Q92" s="23" t="str">
        <x:v>Verified</x:v>
      </x:c>
      <x:c r="R92" s="26" t="n">
        <x:v>46244</x:v>
      </x:c>
      <x:c r="S92" s="17" t="str">
        <x:v>Matched to the target official channel; public metadata accessible.</x:v>
      </x:c>
      <x:c r="T92" s="16" t="str">
        <x:v>P127jhj-8-Y</x:v>
      </x:c>
      <x:c r="U92" s="17" t="str">
        <x:v>Stanford CS25: Transformers United</x:v>
      </x:c>
      <x:c r="V92" s="151" t="n">
        <x:v>100</x:v>
      </x:c>
      <x:c r="W92" s="17" t="str">
        <x:v>stanford-cs25-transformers-united</x:v>
      </x:c>
    </x:row>
    <x:row r="93" ht="42" customHeight="1">
      <x:c r="A93" s="22" t="str">
        <x:v>ST-092</x:v>
      </x:c>
      <x:c r="B93" s="22" t="str">
        <x:v>Course</x:v>
      </x:c>
      <x:c r="C93" s="22" t="str">
        <x:v>Other</x:v>
      </x:c>
      <x:c r="D93" s="17" t="str">
        <x:v>Natural Language Processing</x:v>
      </x:c>
      <x:c r="E93" s="17" t="str">
        <x:v>Large Language Models; Natural Language Processing</x:v>
      </x:c>
      <x:c r="F93" s="23" t="str">
        <x:v>English</x:v>
      </x:c>
      <x:c r="G93" s="17" t="str">
        <x:v>Stanford CME295 Transformers &amp; LLMs | Autumn 2025 | Lecture 1 - Transformer</x:v>
      </x:c>
      <x:c r="H93" s="17" t="str">
        <x:v>Stanford Online course team</x:v>
      </x:c>
      <x:c r="I93" s="17" t="str">
        <x:v>Stanford Online</x:v>
      </x:c>
      <x:c r="J93" s="23" t="str">
        <x:v>Course Lecture</x:v>
      </x:c>
      <x:c r="K93" s="24" t="n">
        <x:v>102</x:v>
      </x:c>
      <x:c r="L93" s="16" t="str">
        <x:v>https://www.youtube.com/watch?v=Ub3GoFaUcds</x:v>
      </x:c>
      <x:c r="M93" s="22" t="str">
        <x:v>YouTube</x:v>
      </x:c>
      <x:c r="N93" s="25" t="n">
        <x:v>907864</x:v>
      </x:c>
      <x:c r="O93" s="23" t="str">
        <x:v>A | Official / Original Creator / Organizer</x:v>
      </x:c>
      <x:c r="P93" s="23" t="str">
        <x:v>Core</x:v>
      </x:c>
      <x:c r="Q93" s="23" t="str">
        <x:v>Verified</x:v>
      </x:c>
      <x:c r="R93" s="26" t="n">
        <x:v>46244</x:v>
      </x:c>
      <x:c r="S93" s="17" t="str">
        <x:v>Matched to the target official channel; public metadata accessible.</x:v>
      </x:c>
      <x:c r="T93" s="16" t="str">
        <x:v>Ub3GoFaUcds</x:v>
      </x:c>
      <x:c r="U93" s="17" t="str">
        <x:v>Stanford CME295: Transformers &amp; LLMs — Autumn 2025</x:v>
      </x:c>
      <x:c r="V93" s="151" t="n">
        <x:v>1</x:v>
      </x:c>
      <x:c r="W93" s="17" t="str">
        <x:v>stanford-cme295-autumn-2025</x:v>
      </x:c>
    </x:row>
    <x:row r="94" ht="42" customHeight="1">
      <x:c r="A94" s="22" t="str">
        <x:v>ST-093</x:v>
      </x:c>
      <x:c r="B94" s="22" t="str">
        <x:v>Course</x:v>
      </x:c>
      <x:c r="C94" s="22" t="str">
        <x:v>World Model</x:v>
      </x:c>
      <x:c r="D94" s="17" t="str">
        <x:v>Transformers / Large Models</x:v>
      </x:c>
      <x:c r="E94" s="17" t="str">
        <x:v>Large Language Models; Foundation Models / World Models; AI Education</x:v>
      </x:c>
      <x:c r="F94" s="23" t="str">
        <x:v>English</x:v>
      </x:c>
      <x:c r="G94" s="17" t="str">
        <x:v>Stanford CS25: Transformers United V6 I From Representation Learning to World Modeling</x:v>
      </x:c>
      <x:c r="H94" s="17" t="str">
        <x:v>Stanford CS25 guest speakers</x:v>
      </x:c>
      <x:c r="I94" s="17" t="str">
        <x:v>Stanford Online</x:v>
      </x:c>
      <x:c r="J94" s="23" t="str">
        <x:v>Specialized Course</x:v>
      </x:c>
      <x:c r="K94" s="24" t="n">
        <x:v>71</x:v>
      </x:c>
      <x:c r="L94" s="16" t="str">
        <x:v>https://www.youtube.com/watch?v=GBd7iuJkW08</x:v>
      </x:c>
      <x:c r="M94" s="22" t="str">
        <x:v>YouTube</x:v>
      </x:c>
      <x:c r="N94" s="25" t="n">
        <x:v>97183</x:v>
      </x:c>
      <x:c r="O94" s="23" t="str">
        <x:v>A | Official / Original Creator / Organizer</x:v>
      </x:c>
      <x:c r="P94" s="23" t="str">
        <x:v>Core</x:v>
      </x:c>
      <x:c r="Q94" s="23" t="str">
        <x:v>Verified</x:v>
      </x:c>
      <x:c r="R94" s="26" t="n">
        <x:v>46244</x:v>
      </x:c>
      <x:c r="S94" s="17" t="str">
        <x:v>Matched to the target official channel; public metadata accessible. Metadata and series placement refined in the 2026-08-15 latest-gap audit.</x:v>
      </x:c>
      <x:c r="T94" s="16" t="str">
        <x:v>GBd7iuJkW08</x:v>
      </x:c>
      <x:c r="U94" s="17" t="str">
        <x:v>Stanford CS25: Transformers United</x:v>
      </x:c>
      <x:c r="V94" s="151" t="n">
        <x:v>602</x:v>
      </x:c>
      <x:c r="W94" s="17" t="str">
        <x:v>stanford-cs25-transformers-united</x:v>
      </x:c>
    </x:row>
    <x:row r="95" ht="42" customHeight="1">
      <x:c r="A95" s="22" t="str">
        <x:v>ST-094</x:v>
      </x:c>
      <x:c r="B95" s="22" t="str">
        <x:v>Course</x:v>
      </x:c>
      <x:c r="C95" s="22" t="str">
        <x:v>Other</x:v>
      </x:c>
      <x:c r="D95" s="17" t="str">
        <x:v>Machine Learning Foundations</x:v>
      </x:c>
      <x:c r="E95" s="17" t="str">
        <x:v>AI Education</x:v>
      </x:c>
      <x:c r="F95" s="23" t="str">
        <x:v>English</x:v>
      </x:c>
      <x:c r="G95" s="17" t="str">
        <x:v>Lecture 10 - Introduction to Neural Networks | Stanford CS229: Machine Learning (Autumn 2018)</x:v>
      </x:c>
      <x:c r="H95" s="17" t="str">
        <x:v>Andrew Ng / Stanford course team</x:v>
      </x:c>
      <x:c r="I95" s="17" t="str">
        <x:v>Stanford Online</x:v>
      </x:c>
      <x:c r="J95" s="23" t="str">
        <x:v>Course Lecture</x:v>
      </x:c>
      <x:c r="K95" s="24" t="n">
        <x:v>80</x:v>
      </x:c>
      <x:c r="L95" s="16" t="str">
        <x:v>https://www.youtube.com/watch?v=MfIjxPh6Pys</x:v>
      </x:c>
      <x:c r="M95" s="22" t="str">
        <x:v>YouTube</x:v>
      </x:c>
      <x:c r="N95" s="25" t="n">
        <x:v>304771</x:v>
      </x:c>
      <x:c r="O95" s="23" t="str">
        <x:v>A | Official / Original Creator / Organizer</x:v>
      </x:c>
      <x:c r="P95" s="23" t="str">
        <x:v>Core</x:v>
      </x:c>
      <x:c r="Q95" s="23" t="str">
        <x:v>Verified</x:v>
      </x:c>
      <x:c r="R95" s="26" t="n">
        <x:v>46244</x:v>
      </x:c>
      <x:c r="S95" s="17" t="str">
        <x:v>Matched to the target official channel; public metadata accessible.</x:v>
      </x:c>
      <x:c r="T95" s="16" t="str">
        <x:v>MfIjxPh6Pys</x:v>
      </x:c>
      <x:c r="U95" s="17" t="str">
        <x:v>Stanford CS229: Machine Learning — Autumn 2018</x:v>
      </x:c>
      <x:c r="V95" s="151" t="n">
        <x:v>10</x:v>
      </x:c>
      <x:c r="W95" s="17" t="str">
        <x:v>stanford-cs229-autumn-2018</x:v>
      </x:c>
    </x:row>
    <x:row r="96" ht="42" customHeight="1">
      <x:c r="A96" s="22" t="str">
        <x:v>ST-095</x:v>
      </x:c>
      <x:c r="B96" s="22" t="str">
        <x:v>Course</x:v>
      </x:c>
      <x:c r="C96" s="22" t="str">
        <x:v>Other</x:v>
      </x:c>
      <x:c r="D96" s="17" t="str">
        <x:v>AI Foundations</x:v>
      </x:c>
      <x:c r="E96" s="17" t="str">
        <x:v>AI Foundations</x:v>
      </x:c>
      <x:c r="F96" s="23" t="str">
        <x:v>English</x:v>
      </x:c>
      <x:c r="G96" s="17" t="str">
        <x:v>Uncertainty - Lecture 2 - CS50's Introduction to Artificial Intelligence with Python 2020</x:v>
      </x:c>
      <x:c r="H96" s="17" t="str">
        <x:v>Brian Yu / CS50 course team</x:v>
      </x:c>
      <x:c r="I96" s="17" t="str">
        <x:v>CS50</x:v>
      </x:c>
      <x:c r="J96" s="23" t="str">
        <x:v>Course Lecture</x:v>
      </x:c>
      <x:c r="K96" s="24" t="n">
        <x:v>115</x:v>
      </x:c>
      <x:c r="L96" s="16" t="str">
        <x:v>https://www.youtube.com/watch?v=D8RRq3TbtHU</x:v>
      </x:c>
      <x:c r="M96" s="22" t="str">
        <x:v>YouTube</x:v>
      </x:c>
      <x:c r="N96" s="25" t="n">
        <x:v>242930</x:v>
      </x:c>
      <x:c r="O96" s="23" t="str">
        <x:v>A | Official / Original Creator / Organizer</x:v>
      </x:c>
      <x:c r="P96" s="23" t="str">
        <x:v>Core</x:v>
      </x:c>
      <x:c r="Q96" s="23" t="str">
        <x:v>Verified</x:v>
      </x:c>
      <x:c r="R96" s="26" t="n">
        <x:v>46244</x:v>
      </x:c>
      <x:c r="S96" s="17" t="str">
        <x:v>Matched to the target official channel; public metadata accessible.</x:v>
      </x:c>
      <x:c r="T96" s="16" t="str">
        <x:v>D8RRq3TbtHU</x:v>
      </x:c>
      <x:c r="U96" s="17" t="str">
        <x:v>CS50's Introduction to Artificial Intelligence with Python — 2020</x:v>
      </x:c>
      <x:c r="V96" s="151" t="n">
        <x:v>2</x:v>
      </x:c>
      <x:c r="W96" s="17" t="str">
        <x:v>cs50-ai-python-2020</x:v>
      </x:c>
    </x:row>
    <x:row r="97" ht="42" customHeight="1">
      <x:c r="A97" s="22" t="str">
        <x:v>ST-096</x:v>
      </x:c>
      <x:c r="B97" s="22" t="str">
        <x:v>Course</x:v>
      </x:c>
      <x:c r="C97" s="22" t="str">
        <x:v>Other</x:v>
      </x:c>
      <x:c r="D97" s="17" t="str">
        <x:v>Machine Learning Foundations</x:v>
      </x:c>
      <x:c r="E97" s="17" t="str">
        <x:v>AI Education</x:v>
      </x:c>
      <x:c r="F97" s="23" t="str">
        <x:v>English</x:v>
      </x:c>
      <x:c r="G97" s="17" t="str">
        <x:v>Locally Weighted &amp; Logistic Regression | Stanford CS229: Machine Learning - Lecture 3 (Autumn 2018)</x:v>
      </x:c>
      <x:c r="H97" s="17" t="str">
        <x:v>Andrew Ng / Stanford course team</x:v>
      </x:c>
      <x:c r="I97" s="17" t="str">
        <x:v>Stanford Online</x:v>
      </x:c>
      <x:c r="J97" s="23" t="str">
        <x:v>Course Lecture</x:v>
      </x:c>
      <x:c r="K97" s="24" t="n">
        <x:v>80</x:v>
      </x:c>
      <x:c r="L97" s="16" t="str">
        <x:v>https://www.youtube.com/watch?v=het9HFqo1TQ</x:v>
      </x:c>
      <x:c r="M97" s="22" t="str">
        <x:v>YouTube</x:v>
      </x:c>
      <x:c r="N97" s="25" t="n">
        <x:v>897241</x:v>
      </x:c>
      <x:c r="O97" s="23" t="str">
        <x:v>A | Official / Original Creator / Organizer</x:v>
      </x:c>
      <x:c r="P97" s="23" t="str">
        <x:v>Core</x:v>
      </x:c>
      <x:c r="Q97" s="23" t="str">
        <x:v>Verified</x:v>
      </x:c>
      <x:c r="R97" s="26" t="n">
        <x:v>46244</x:v>
      </x:c>
      <x:c r="S97" s="17" t="str">
        <x:v>Matched to the target official channel; public metadata accessible.</x:v>
      </x:c>
      <x:c r="T97" s="16" t="str">
        <x:v>het9HFqo1TQ</x:v>
      </x:c>
      <x:c r="U97" s="17" t="str">
        <x:v>Stanford CS229: Machine Learning — Autumn 2018</x:v>
      </x:c>
      <x:c r="V97" s="151" t="n">
        <x:v>3</x:v>
      </x:c>
      <x:c r="W97" s="17" t="str">
        <x:v>stanford-cs229-autumn-2018</x:v>
      </x:c>
    </x:row>
    <x:row r="98" ht="42" customHeight="1">
      <x:c r="A98" s="22" t="str">
        <x:v>ST-097</x:v>
      </x:c>
      <x:c r="B98" s="22" t="str">
        <x:v>Course</x:v>
      </x:c>
      <x:c r="C98" s="22" t="str">
        <x:v>Other</x:v>
      </x:c>
      <x:c r="D98" s="17" t="str">
        <x:v>Reinforcement Learning</x:v>
      </x:c>
      <x:c r="E98" s="17" t="str">
        <x:v>Reinforcement Learning; AI Education</x:v>
      </x:c>
      <x:c r="F98" s="23" t="str">
        <x:v>English</x:v>
      </x:c>
      <x:c r="G98" s="17" t="str">
        <x:v>Stanford CS234 Reinforcement Learning I Tabular MDP Planning I 2024 I Lecture 2</x:v>
      </x:c>
      <x:c r="H98" s="17" t="str">
        <x:v>Emma Brunskill / Stanford course team</x:v>
      </x:c>
      <x:c r="I98" s="17" t="str">
        <x:v>Stanford Online</x:v>
      </x:c>
      <x:c r="J98" s="23" t="str">
        <x:v>Course Lecture</x:v>
      </x:c>
      <x:c r="K98" s="24" t="n">
        <x:v>73</x:v>
      </x:c>
      <x:c r="L98" s="16" t="str">
        <x:v>https://www.youtube.com/watch?v=gHdsUUGcBC0</x:v>
      </x:c>
      <x:c r="M98" s="22" t="str">
        <x:v>YouTube</x:v>
      </x:c>
      <x:c r="N98" s="25" t="n">
        <x:v>59351</x:v>
      </x:c>
      <x:c r="O98" s="23" t="str">
        <x:v>A | Official / Original Creator / Organizer</x:v>
      </x:c>
      <x:c r="P98" s="23" t="str">
        <x:v>Core</x:v>
      </x:c>
      <x:c r="Q98" s="23" t="str">
        <x:v>Verified</x:v>
      </x:c>
      <x:c r="R98" s="26" t="n">
        <x:v>46244</x:v>
      </x:c>
      <x:c r="S98" s="17" t="str">
        <x:v>Matched to the target official channel; public metadata accessible.</x:v>
      </x:c>
      <x:c r="T98" s="16" t="str">
        <x:v>gHdsUUGcBC0</x:v>
      </x:c>
      <x:c r="U98" s="17" t="str">
        <x:v>Stanford CS234: Reinforcement Learning — 2024</x:v>
      </x:c>
      <x:c r="V98" s="151" t="n">
        <x:v>2</x:v>
      </x:c>
      <x:c r="W98" s="17" t="str">
        <x:v>stanford-cs234-2024</x:v>
      </x:c>
    </x:row>
    <x:row r="99" ht="42" customHeight="1">
      <x:c r="A99" s="22" t="str">
        <x:v>ST-098</x:v>
      </x:c>
      <x:c r="B99" s="22" t="str">
        <x:v>Course</x:v>
      </x:c>
      <x:c r="C99" s="22" t="str">
        <x:v>Vision</x:v>
      </x:c>
      <x:c r="D99" s="17" t="str">
        <x:v>Computer Vision</x:v>
      </x:c>
      <x:c r="E99" s="17" t="str">
        <x:v>Computer Vision</x:v>
      </x:c>
      <x:c r="F99" s="23" t="str">
        <x:v>English</x:v>
      </x:c>
      <x:c r="G99" s="17" t="str">
        <x:v>Stanford CS231N | Spring 2025 | Lecture 3: Regularization and Optimization</x:v>
      </x:c>
      <x:c r="H99" s="17" t="str">
        <x:v>Stanford Online course team</x:v>
      </x:c>
      <x:c r="I99" s="17" t="str">
        <x:v>Stanford Online</x:v>
      </x:c>
      <x:c r="J99" s="23" t="str">
        <x:v>Course Lecture</x:v>
      </x:c>
      <x:c r="K99" s="24" t="n">
        <x:v>69</x:v>
      </x:c>
      <x:c r="L99" s="16" t="str">
        <x:v>https://www.youtube.com/watch?v=dyNGd06MWn4</x:v>
      </x:c>
      <x:c r="M99" s="22" t="str">
        <x:v>YouTube</x:v>
      </x:c>
      <x:c r="N99" s="25" t="n">
        <x:v>73231</x:v>
      </x:c>
      <x:c r="O99" s="23" t="str">
        <x:v>A | Official / Original Creator / Organizer</x:v>
      </x:c>
      <x:c r="P99" s="23" t="str">
        <x:v>Core</x:v>
      </x:c>
      <x:c r="Q99" s="23" t="str">
        <x:v>Verified</x:v>
      </x:c>
      <x:c r="R99" s="26" t="n">
        <x:v>46244</x:v>
      </x:c>
      <x:c r="S99" s="17" t="str">
        <x:v>Matched to the target official channel; public metadata accessible.</x:v>
      </x:c>
      <x:c r="T99" s="16" t="str">
        <x:v>dyNGd06MWn4</x:v>
      </x:c>
      <x:c r="U99" s="17" t="str">
        <x:v>Stanford CS231N: Deep Learning for Computer Vision — Spring 2025</x:v>
      </x:c>
      <x:c r="V99" s="151" t="n">
        <x:v>3</x:v>
      </x:c>
      <x:c r="W99" s="17" t="str">
        <x:v>stanford-cs231n-spring-2025</x:v>
      </x:c>
    </x:row>
    <x:row r="100" ht="42" customHeight="1">
      <x:c r="A100" s="22" t="str">
        <x:v>ST-099</x:v>
      </x:c>
      <x:c r="B100" s="22" t="str">
        <x:v>Course</x:v>
      </x:c>
      <x:c r="C100" s="22" t="str">
        <x:v>Other</x:v>
      </x:c>
      <x:c r="D100" s="17" t="str">
        <x:v>Reinforcement Learning</x:v>
      </x:c>
      <x:c r="E100" s="17" t="str">
        <x:v>Reinforcement Learning; AI Education</x:v>
      </x:c>
      <x:c r="F100" s="23" t="str">
        <x:v>English</x:v>
      </x:c>
      <x:c r="G100" s="17" t="str">
        <x:v>Stanford CS234: Reinforcement Learning | Winter 2019 | Lecture 3 -  Model-Free Policy Evaluation</x:v>
      </x:c>
      <x:c r="H100" s="17" t="str">
        <x:v>Emma Brunskill / Stanford course team</x:v>
      </x:c>
      <x:c r="I100" s="17" t="str">
        <x:v>Stanford Online</x:v>
      </x:c>
      <x:c r="J100" s="23" t="str">
        <x:v>Course Lecture</x:v>
      </x:c>
      <x:c r="K100" s="24" t="n">
        <x:v>73</x:v>
      </x:c>
      <x:c r="L100" s="16" t="str">
        <x:v>https://www.youtube.com/watch?v=dRIhrn8cc9w</x:v>
      </x:c>
      <x:c r="M100" s="22" t="str">
        <x:v>YouTube</x:v>
      </x:c>
      <x:c r="N100" s="25" t="n">
        <x:v>126946</x:v>
      </x:c>
      <x:c r="O100" s="23" t="str">
        <x:v>A | Official / Original Creator / Organizer</x:v>
      </x:c>
      <x:c r="P100" s="23" t="str">
        <x:v>Core</x:v>
      </x:c>
      <x:c r="Q100" s="23" t="str">
        <x:v>Verified</x:v>
      </x:c>
      <x:c r="R100" s="26" t="n">
        <x:v>46244</x:v>
      </x:c>
      <x:c r="S100" s="17" t="str">
        <x:v>Matched to the target official channel; public metadata accessible.</x:v>
      </x:c>
      <x:c r="T100" s="16" t="str">
        <x:v>dRIhrn8cc9w</x:v>
      </x:c>
      <x:c r="U100" s="17" t="str">
        <x:v>Stanford CS234: Reinforcement Learning — Winter 2019</x:v>
      </x:c>
      <x:c r="V100" s="151" t="n">
        <x:v>3</x:v>
      </x:c>
      <x:c r="W100" s="17" t="str">
        <x:v>stanford-cs234-winter-2019</x:v>
      </x:c>
    </x:row>
    <x:row r="101" ht="42" customHeight="1">
      <x:c r="A101" s="22" t="str">
        <x:v>ST-100</x:v>
      </x:c>
      <x:c r="B101" s="22" t="str">
        <x:v>Course</x:v>
      </x:c>
      <x:c r="C101" s="22" t="str">
        <x:v>Vision</x:v>
      </x:c>
      <x:c r="D101" s="17" t="str">
        <x:v>Computer Vision</x:v>
      </x:c>
      <x:c r="E101" s="17" t="str">
        <x:v>Computer Vision; AI Systems / MLOps; AI Education</x:v>
      </x:c>
      <x:c r="F101" s="23" t="str">
        <x:v>English</x:v>
      </x:c>
      <x:c r="G101" s="17" t="str">
        <x:v>Stanford CS231N Deep Learning for Computer Vision | Spring 2025 | Lecture 6: CNN Architectures</x:v>
      </x:c>
      <x:c r="H101" s="17" t="str">
        <x:v>Stanford Online course team</x:v>
      </x:c>
      <x:c r="I101" s="17" t="str">
        <x:v>Stanford Online</x:v>
      </x:c>
      <x:c r="J101" s="23" t="str">
        <x:v>Course Lecture</x:v>
      </x:c>
      <x:c r="K101" s="24" t="n">
        <x:v>71</x:v>
      </x:c>
      <x:c r="L101" s="16" t="str">
        <x:v>https://www.youtube.com/watch?v=aVJy4O5TOk8</x:v>
      </x:c>
      <x:c r="M101" s="22" t="str">
        <x:v>YouTube</x:v>
      </x:c>
      <x:c r="N101" s="25" t="n">
        <x:v>44216</x:v>
      </x:c>
      <x:c r="O101" s="23" t="str">
        <x:v>A | Official / Original Creator / Organizer</x:v>
      </x:c>
      <x:c r="P101" s="23" t="str">
        <x:v>Core</x:v>
      </x:c>
      <x:c r="Q101" s="23" t="str">
        <x:v>Verified</x:v>
      </x:c>
      <x:c r="R101" s="26" t="n">
        <x:v>46244</x:v>
      </x:c>
      <x:c r="S101" s="17" t="str">
        <x:v>Matched to the target official channel; public metadata accessible.</x:v>
      </x:c>
      <x:c r="T101" s="16" t="str">
        <x:v>aVJy4O5TOk8</x:v>
      </x:c>
      <x:c r="U101" s="17" t="str">
        <x:v>Stanford CS231N: Deep Learning for Computer Vision — Spring 2025</x:v>
      </x:c>
      <x:c r="V101" s="151" t="n">
        <x:v>6</x:v>
      </x:c>
      <x:c r="W101" s="17" t="str">
        <x:v>stanford-cs231n-spring-2025</x:v>
      </x:c>
    </x:row>
    <x:row r="102" ht="42" customHeight="1">
      <x:c r="A102" s="22" t="str">
        <x:v>ST-101</x:v>
      </x:c>
      <x:c r="B102" s="22" t="str">
        <x:v>Course</x:v>
      </x:c>
      <x:c r="C102" s="22" t="str">
        <x:v>Other</x:v>
      </x:c>
      <x:c r="D102" s="17" t="str">
        <x:v>Transformers / Large Models</x:v>
      </x:c>
      <x:c r="E102" s="17" t="str">
        <x:v>Large Language Models</x:v>
      </x:c>
      <x:c r="F102" s="23" t="str">
        <x:v>English</x:v>
      </x:c>
      <x:c r="G102" s="17" t="str">
        <x:v>Stanford CS25: Transformers United V6 I Overview of Transformers</x:v>
      </x:c>
      <x:c r="H102" s="17" t="str">
        <x:v>Stanford CS25 guest speakers</x:v>
      </x:c>
      <x:c r="I102" s="17" t="str">
        <x:v>Stanford Online</x:v>
      </x:c>
      <x:c r="J102" s="23" t="str">
        <x:v>Specialized Course</x:v>
      </x:c>
      <x:c r="K102" s="24" t="n">
        <x:v>77</x:v>
      </x:c>
      <x:c r="L102" s="16" t="str">
        <x:v>https://www.youtube.com/watch?v=bHSDPgZYie0</x:v>
      </x:c>
      <x:c r="M102" s="22" t="str">
        <x:v>YouTube</x:v>
      </x:c>
      <x:c r="N102" s="25" t="n">
        <x:v>10108</x:v>
      </x:c>
      <x:c r="O102" s="23" t="str">
        <x:v>A | Official / Original Creator / Organizer</x:v>
      </x:c>
      <x:c r="P102" s="23" t="str">
        <x:v>Core</x:v>
      </x:c>
      <x:c r="Q102" s="23" t="str">
        <x:v>Verified</x:v>
      </x:c>
      <x:c r="R102" s="26" t="n">
        <x:v>46244</x:v>
      </x:c>
      <x:c r="S102" s="17" t="str">
        <x:v>Matched to the target official channel; public metadata accessible. Metadata and series placement refined in the 2026-08-15 latest-gap audit.</x:v>
      </x:c>
      <x:c r="T102" s="16" t="str">
        <x:v>bHSDPgZYie0</x:v>
      </x:c>
      <x:c r="U102" s="17" t="str">
        <x:v>Stanford CS25: Transformers United</x:v>
      </x:c>
      <x:c r="V102" s="151" t="n">
        <x:v>601</x:v>
      </x:c>
      <x:c r="W102" s="17" t="str">
        <x:v>stanford-cs25-transformers-united</x:v>
      </x:c>
    </x:row>
    <x:row r="103" ht="42" customHeight="1">
      <x:c r="A103" s="22" t="str">
        <x:v>ST-102</x:v>
      </x:c>
      <x:c r="B103" s="22" t="str">
        <x:v>Course</x:v>
      </x:c>
      <x:c r="C103" s="22" t="str">
        <x:v>Other</x:v>
      </x:c>
      <x:c r="D103" s="17" t="str">
        <x:v>Reinforcement Learning</x:v>
      </x:c>
      <x:c r="E103" s="17" t="str">
        <x:v>Reinforcement Learning; AI Education</x:v>
      </x:c>
      <x:c r="F103" s="23" t="str">
        <x:v>English</x:v>
      </x:c>
      <x:c r="G103" s="17" t="str">
        <x:v>Stanford CS234 Reinforcement Learning I Q learning and Function Approximation I 2024 I Lecture 4</x:v>
      </x:c>
      <x:c r="H103" s="17" t="str">
        <x:v>Emma Brunskill / Stanford course team</x:v>
      </x:c>
      <x:c r="I103" s="17" t="str">
        <x:v>Stanford Online</x:v>
      </x:c>
      <x:c r="J103" s="23" t="str">
        <x:v>Course Lecture</x:v>
      </x:c>
      <x:c r="K103" s="24" t="n">
        <x:v>79</x:v>
      </x:c>
      <x:c r="L103" s="16" t="str">
        <x:v>https://www.youtube.com/watch?v=b_wvosA70f8</x:v>
      </x:c>
      <x:c r="M103" s="22" t="str">
        <x:v>YouTube</x:v>
      </x:c>
      <x:c r="N103" s="25" t="n">
        <x:v>21282</x:v>
      </x:c>
      <x:c r="O103" s="23" t="str">
        <x:v>A | Official / Original Creator / Organizer</x:v>
      </x:c>
      <x:c r="P103" s="23" t="str">
        <x:v>Core</x:v>
      </x:c>
      <x:c r="Q103" s="23" t="str">
        <x:v>Verified</x:v>
      </x:c>
      <x:c r="R103" s="26" t="n">
        <x:v>46244</x:v>
      </x:c>
      <x:c r="S103" s="17" t="str">
        <x:v>Matched to the target official channel; public metadata accessible.</x:v>
      </x:c>
      <x:c r="T103" s="16" t="str">
        <x:v>b_wvosA70f8</x:v>
      </x:c>
      <x:c r="U103" s="17" t="str">
        <x:v>Stanford CS234: Reinforcement Learning — 2024</x:v>
      </x:c>
      <x:c r="V103" s="151" t="n">
        <x:v>4</x:v>
      </x:c>
      <x:c r="W103" s="17" t="str">
        <x:v>stanford-cs234-2024</x:v>
      </x:c>
    </x:row>
    <x:row r="104" ht="42" customHeight="1">
      <x:c r="A104" s="22" t="str">
        <x:v>ST-103</x:v>
      </x:c>
      <x:c r="B104" s="22" t="str">
        <x:v>Course</x:v>
      </x:c>
      <x:c r="C104" s="22" t="str">
        <x:v>Vision</x:v>
      </x:c>
      <x:c r="D104" s="17" t="str">
        <x:v>Computer Vision</x:v>
      </x:c>
      <x:c r="E104" s="17" t="str">
        <x:v>Computer Vision</x:v>
      </x:c>
      <x:c r="F104" s="23" t="str">
        <x:v>English</x:v>
      </x:c>
      <x:c r="G104" s="17" t="str">
        <x:v>Stanford CS231N | Spring 2025 | Lecture 9: Object Detection, Image Segmentation, Visualizing</x:v>
      </x:c>
      <x:c r="H104" s="17" t="str">
        <x:v>Stanford Online course team</x:v>
      </x:c>
      <x:c r="I104" s="17" t="str">
        <x:v>Stanford Online</x:v>
      </x:c>
      <x:c r="J104" s="23" t="str">
        <x:v>Course Lecture</x:v>
      </x:c>
      <x:c r="K104" s="24" t="n">
        <x:v>74</x:v>
      </x:c>
      <x:c r="L104" s="16" t="str">
        <x:v>https://www.youtube.com/watch?v=PTypu6GqEd4</x:v>
      </x:c>
      <x:c r="M104" s="22" t="str">
        <x:v>YouTube</x:v>
      </x:c>
      <x:c r="N104" s="25" t="n">
        <x:v>32497</x:v>
      </x:c>
      <x:c r="O104" s="23" t="str">
        <x:v>A | Official / Original Creator / Organizer</x:v>
      </x:c>
      <x:c r="P104" s="23" t="str">
        <x:v>Core</x:v>
      </x:c>
      <x:c r="Q104" s="23" t="str">
        <x:v>Verified</x:v>
      </x:c>
      <x:c r="R104" s="26" t="n">
        <x:v>46244</x:v>
      </x:c>
      <x:c r="S104" s="17" t="str">
        <x:v>Matched to the target official channel; public metadata accessible.</x:v>
      </x:c>
      <x:c r="T104" s="16" t="str">
        <x:v>PTypu6GqEd4</x:v>
      </x:c>
      <x:c r="U104" s="17" t="str">
        <x:v>Stanford CS231N: Deep Learning for Computer Vision — Spring 2025</x:v>
      </x:c>
      <x:c r="V104" s="151" t="n">
        <x:v>9</x:v>
      </x:c>
      <x:c r="W104" s="17" t="str">
        <x:v>stanford-cs231n-spring-2025</x:v>
      </x:c>
    </x:row>
    <x:row r="105" ht="42" customHeight="1">
      <x:c r="A105" s="22" t="str">
        <x:v>ST-104</x:v>
      </x:c>
      <x:c r="B105" s="22" t="str">
        <x:v>Course</x:v>
      </x:c>
      <x:c r="C105" s="22" t="str">
        <x:v>Vision</x:v>
      </x:c>
      <x:c r="D105" s="17" t="str">
        <x:v>Computer Vision</x:v>
      </x:c>
      <x:c r="E105" s="17" t="str">
        <x:v>Computer Vision; AI Education</x:v>
      </x:c>
      <x:c r="F105" s="23" t="str">
        <x:v>English</x:v>
      </x:c>
      <x:c r="G105" s="17" t="str">
        <x:v>Stanford CS231N | Spring 2025 | Lecture 12: Self-Supervised Learning</x:v>
      </x:c>
      <x:c r="H105" s="17" t="str">
        <x:v>Stanford Online course team</x:v>
      </x:c>
      <x:c r="I105" s="17" t="str">
        <x:v>Stanford Online</x:v>
      </x:c>
      <x:c r="J105" s="23" t="str">
        <x:v>Course Lecture</x:v>
      </x:c>
      <x:c r="K105" s="24" t="n">
        <x:v>75</x:v>
      </x:c>
      <x:c r="L105" s="16" t="str">
        <x:v>https://www.youtube.com/watch?v=4howBU7THbM</x:v>
      </x:c>
      <x:c r="M105" s="22" t="str">
        <x:v>YouTube</x:v>
      </x:c>
      <x:c r="N105" s="25" t="n">
        <x:v>24069</x:v>
      </x:c>
      <x:c r="O105" s="23" t="str">
        <x:v>A | Official / Original Creator / Organizer</x:v>
      </x:c>
      <x:c r="P105" s="23" t="str">
        <x:v>Core</x:v>
      </x:c>
      <x:c r="Q105" s="23" t="str">
        <x:v>Verified</x:v>
      </x:c>
      <x:c r="R105" s="26" t="n">
        <x:v>46244</x:v>
      </x:c>
      <x:c r="S105" s="17" t="str">
        <x:v>Matched to the target official channel; public metadata accessible.</x:v>
      </x:c>
      <x:c r="T105" s="16" t="str">
        <x:v>4howBU7THbM</x:v>
      </x:c>
      <x:c r="U105" s="17" t="str">
        <x:v>Stanford CS231N: Deep Learning for Computer Vision — Spring 2025</x:v>
      </x:c>
      <x:c r="V105" s="151" t="n">
        <x:v>12</x:v>
      </x:c>
      <x:c r="W105" s="17" t="str">
        <x:v>stanford-cs231n-spring-2025</x:v>
      </x:c>
    </x:row>
    <x:row r="106" ht="42" customHeight="1">
      <x:c r="A106" s="22" t="str">
        <x:v>ST-105</x:v>
      </x:c>
      <x:c r="B106" s="22" t="str">
        <x:v>Course</x:v>
      </x:c>
      <x:c r="C106" s="22" t="str">
        <x:v>Vision</x:v>
      </x:c>
      <x:c r="D106" s="17" t="str">
        <x:v>Computer Vision</x:v>
      </x:c>
      <x:c r="E106" s="17" t="str">
        <x:v>Large Language Models; Computer Vision</x:v>
      </x:c>
      <x:c r="F106" s="23" t="str">
        <x:v>English</x:v>
      </x:c>
      <x:c r="G106" s="17" t="str">
        <x:v>Stanford CS231N | Spring 2025 | Lecture 8: Attention and Transformers</x:v>
      </x:c>
      <x:c r="H106" s="17" t="str">
        <x:v>Stanford Online course team</x:v>
      </x:c>
      <x:c r="I106" s="17" t="str">
        <x:v>Stanford Online</x:v>
      </x:c>
      <x:c r="J106" s="23" t="str">
        <x:v>Course Lecture</x:v>
      </x:c>
      <x:c r="K106" s="24" t="n">
        <x:v>67</x:v>
      </x:c>
      <x:c r="L106" s="16" t="str">
        <x:v>https://www.youtube.com/watch?v=RQowiOF_FvQ</x:v>
      </x:c>
      <x:c r="M106" s="22" t="str">
        <x:v>YouTube</x:v>
      </x:c>
      <x:c r="N106" s="25" t="n">
        <x:v>62352</x:v>
      </x:c>
      <x:c r="O106" s="23" t="str">
        <x:v>A | Official / Original Creator / Organizer</x:v>
      </x:c>
      <x:c r="P106" s="23" t="str">
        <x:v>Core</x:v>
      </x:c>
      <x:c r="Q106" s="23" t="str">
        <x:v>Verified</x:v>
      </x:c>
      <x:c r="R106" s="26" t="n">
        <x:v>46244</x:v>
      </x:c>
      <x:c r="S106" s="17" t="str">
        <x:v>Matched to the target official channel; public metadata accessible.</x:v>
      </x:c>
      <x:c r="T106" s="16" t="str">
        <x:v>RQowiOF_FvQ</x:v>
      </x:c>
      <x:c r="U106" s="17" t="str">
        <x:v>Stanford CS231N: Deep Learning for Computer Vision — Spring 2025</x:v>
      </x:c>
      <x:c r="V106" s="151" t="n">
        <x:v>8</x:v>
      </x:c>
      <x:c r="W106" s="17" t="str">
        <x:v>stanford-cs231n-spring-2025</x:v>
      </x:c>
    </x:row>
    <x:row r="107" ht="42" customHeight="1">
      <x:c r="A107" s="22" t="str">
        <x:v>ST-106</x:v>
      </x:c>
      <x:c r="B107" s="22" t="str">
        <x:v>Course</x:v>
      </x:c>
      <x:c r="C107" s="22" t="str">
        <x:v>Other</x:v>
      </x:c>
      <x:c r="D107" s="17" t="str">
        <x:v>Neural Network Foundations</x:v>
      </x:c>
      <x:c r="E107" s="17" t="str">
        <x:v>Neural Network Foundations</x:v>
      </x:c>
      <x:c r="F107" s="23" t="str">
        <x:v>English</x:v>
      </x:c>
      <x:c r="G107" s="17" t="str">
        <x:v>The spelled-out intro to neural networks and backpropagation: building micrograd</x:v>
      </x:c>
      <x:c r="H107" s="17" t="str">
        <x:v>Andrej Karpathy</x:v>
      </x:c>
      <x:c r="I107" s="17" t="str">
        <x:v>Andrej Karpathy</x:v>
      </x:c>
      <x:c r="J107" s="23" t="str">
        <x:v>Specialized Course</x:v>
      </x:c>
      <x:c r="K107" s="24" t="n">
        <x:v>146</x:v>
      </x:c>
      <x:c r="L107" s="16" t="str">
        <x:v>https://www.youtube.com/watch?v=VMj-3S1tku0</x:v>
      </x:c>
      <x:c r="M107" s="22" t="str">
        <x:v>YouTube</x:v>
      </x:c>
      <x:c r="N107" s="25" t="n">
        <x:v>3898342</x:v>
      </x:c>
      <x:c r="O107" s="23" t="str">
        <x:v>A | Official / Original Creator / Organizer</x:v>
      </x:c>
      <x:c r="P107" s="23" t="str">
        <x:v>Core</x:v>
      </x:c>
      <x:c r="Q107" s="23" t="str">
        <x:v>Verified</x:v>
      </x:c>
      <x:c r="R107" s="26" t="n">
        <x:v>46244</x:v>
      </x:c>
      <x:c r="S107" s="17" t="str">
        <x:v>Matched to the target official channel; public metadata accessible.</x:v>
      </x:c>
      <x:c r="T107" s="16" t="str">
        <x:v>VMj-3S1tku0</x:v>
      </x:c>
      <x:c r="U107" s="17" t="str"/>
      <x:c r="V107" s="151"/>
      <x:c r="W107" s="17" t="str"/>
    </x:row>
    <x:row r="108" ht="42" customHeight="1">
      <x:c r="A108" s="22" t="str">
        <x:v>ST-107</x:v>
      </x:c>
      <x:c r="B108" s="22" t="str">
        <x:v>Course</x:v>
      </x:c>
      <x:c r="C108" s="22" t="str">
        <x:v>Other</x:v>
      </x:c>
      <x:c r="D108" s="17" t="str">
        <x:v>Deep Learning Foundations</x:v>
      </x:c>
      <x:c r="E108" s="17" t="str">
        <x:v>AI Education</x:v>
      </x:c>
      <x:c r="F108" s="23" t="str">
        <x:v>English</x:v>
      </x:c>
      <x:c r="G108" s="17" t="str">
        <x:v>MIT Introduction to Deep Learning (2025) | 6.S191</x:v>
      </x:c>
      <x:c r="H108" s="17" t="str">
        <x:v>Alexander Amini / MIT course team</x:v>
      </x:c>
      <x:c r="I108" s="17" t="str">
        <x:v>Alexander Amini</x:v>
      </x:c>
      <x:c r="J108" s="23" t="str">
        <x:v>Specialized Course</x:v>
      </x:c>
      <x:c r="K108" s="24" t="n">
        <x:v>69</x:v>
      </x:c>
      <x:c r="L108" s="16" t="str">
        <x:v>https://www.youtube.com/watch?v=alfdI7S6wCY</x:v>
      </x:c>
      <x:c r="M108" s="22" t="str">
        <x:v>YouTube</x:v>
      </x:c>
      <x:c r="N108" s="25" t="n">
        <x:v>1021825</x:v>
      </x:c>
      <x:c r="O108" s="23" t="str">
        <x:v>A | Official / Original Creator / Organizer</x:v>
      </x:c>
      <x:c r="P108" s="23" t="str">
        <x:v>Core</x:v>
      </x:c>
      <x:c r="Q108" s="23" t="str">
        <x:v>Verified</x:v>
      </x:c>
      <x:c r="R108" s="26" t="n">
        <x:v>46244</x:v>
      </x:c>
      <x:c r="S108" s="17" t="str">
        <x:v>Matched to the target official channel; public metadata accessible.</x:v>
      </x:c>
      <x:c r="T108" s="16" t="str">
        <x:v>alfdI7S6wCY</x:v>
      </x:c>
      <x:c r="U108" s="17" t="str">
        <x:v>MIT 6.S191: Introduction to Deep Learning — Editions</x:v>
      </x:c>
      <x:c r="V108" s="151" t="n">
        <x:v>2025</x:v>
      </x:c>
      <x:c r="W108" s="17" t="str">
        <x:v>mit-6s191-introduction-to-deep-learning</x:v>
      </x:c>
    </x:row>
    <x:row r="109" ht="42" customHeight="1">
      <x:c r="A109" s="22" t="str">
        <x:v>ST-108</x:v>
      </x:c>
      <x:c r="B109" s="22" t="str">
        <x:v>Course</x:v>
      </x:c>
      <x:c r="C109" s="22" t="str">
        <x:v>Other</x:v>
      </x:c>
      <x:c r="D109" s="17" t="str">
        <x:v>Deep Learning Foundations</x:v>
      </x:c>
      <x:c r="E109" s="17" t="str">
        <x:v>AI Education</x:v>
      </x:c>
      <x:c r="F109" s="23" t="str">
        <x:v>English</x:v>
      </x:c>
      <x:c r="G109" s="17" t="str">
        <x:v>MIT 6.S191 (2020): Introduction to Deep Learning</x:v>
      </x:c>
      <x:c r="H109" s="17" t="str">
        <x:v>Alexander Amini / MIT course team</x:v>
      </x:c>
      <x:c r="I109" s="17" t="str">
        <x:v>Alexander Amini</x:v>
      </x:c>
      <x:c r="J109" s="23" t="str">
        <x:v>Specialized Course</x:v>
      </x:c>
      <x:c r="K109" s="24" t="n">
        <x:v>53</x:v>
      </x:c>
      <x:c r="L109" s="16" t="str">
        <x:v>https://www.youtube.com/watch?v=njKP3FqW3Sk</x:v>
      </x:c>
      <x:c r="M109" s="22" t="str">
        <x:v>YouTube</x:v>
      </x:c>
      <x:c r="N109" s="25" t="n">
        <x:v>1243758</x:v>
      </x:c>
      <x:c r="O109" s="23" t="str">
        <x:v>A | Official / Original Creator / Organizer</x:v>
      </x:c>
      <x:c r="P109" s="23" t="str">
        <x:v>Core</x:v>
      </x:c>
      <x:c r="Q109" s="23" t="str">
        <x:v>Verified</x:v>
      </x:c>
      <x:c r="R109" s="26" t="n">
        <x:v>46244</x:v>
      </x:c>
      <x:c r="S109" s="17" t="str">
        <x:v>Matched to the target official channel; public metadata accessible.</x:v>
      </x:c>
      <x:c r="T109" s="16" t="str">
        <x:v>njKP3FqW3Sk</x:v>
      </x:c>
      <x:c r="U109" s="17" t="str">
        <x:v>MIT 6.S191: Introduction to Deep Learning — Editions</x:v>
      </x:c>
      <x:c r="V109" s="151" t="n">
        <x:v>2020</x:v>
      </x:c>
      <x:c r="W109" s="17" t="str">
        <x:v>mit-6s191-introduction-to-deep-learning</x:v>
      </x:c>
    </x:row>
    <x:row r="110" ht="42" customHeight="1">
      <x:c r="A110" s="22" t="str">
        <x:v>ST-109</x:v>
      </x:c>
      <x:c r="B110" s="22" t="str">
        <x:v>Course</x:v>
      </x:c>
      <x:c r="C110" s="22" t="str">
        <x:v>Other</x:v>
      </x:c>
      <x:c r="D110" s="17" t="str">
        <x:v>Deep Learning Foundations</x:v>
      </x:c>
      <x:c r="E110" s="17" t="str">
        <x:v>AI Education</x:v>
      </x:c>
      <x:c r="F110" s="23" t="str">
        <x:v>English</x:v>
      </x:c>
      <x:c r="G110" s="17" t="str">
        <x:v>MIT Introduction to Deep Learning (2023) | 6.S191</x:v>
      </x:c>
      <x:c r="H110" s="17" t="str">
        <x:v>Alexander Amini / MIT course team</x:v>
      </x:c>
      <x:c r="I110" s="17" t="str">
        <x:v>Alexander Amini</x:v>
      </x:c>
      <x:c r="J110" s="23" t="str">
        <x:v>Specialized Course</x:v>
      </x:c>
      <x:c r="K110" s="24" t="n">
        <x:v>58</x:v>
      </x:c>
      <x:c r="L110" s="16" t="str">
        <x:v>https://www.youtube.com/watch?v=QDX-1M5Nj7s</x:v>
      </x:c>
      <x:c r="M110" s="22" t="str">
        <x:v>YouTube</x:v>
      </x:c>
      <x:c r="N110" s="25" t="n">
        <x:v>2063734</x:v>
      </x:c>
      <x:c r="O110" s="23" t="str">
        <x:v>A | Official / Original Creator / Organizer</x:v>
      </x:c>
      <x:c r="P110" s="23" t="str">
        <x:v>Core</x:v>
      </x:c>
      <x:c r="Q110" s="23" t="str">
        <x:v>Verified</x:v>
      </x:c>
      <x:c r="R110" s="26" t="n">
        <x:v>46244</x:v>
      </x:c>
      <x:c r="S110" s="17" t="str">
        <x:v>Matched to the target official channel; public metadata accessible.</x:v>
      </x:c>
      <x:c r="T110" s="16" t="str">
        <x:v>QDX-1M5Nj7s</x:v>
      </x:c>
      <x:c r="U110" s="17" t="str">
        <x:v>MIT 6.S191: Introduction to Deep Learning — Editions</x:v>
      </x:c>
      <x:c r="V110" s="151" t="n">
        <x:v>2023</x:v>
      </x:c>
      <x:c r="W110" s="17" t="str">
        <x:v>mit-6s191-introduction-to-deep-learning</x:v>
      </x:c>
    </x:row>
    <x:row r="111" ht="42" customHeight="1">
      <x:c r="A111" s="22" t="str">
        <x:v>ST-110</x:v>
      </x:c>
      <x:c r="B111" s="22" t="str">
        <x:v>Course</x:v>
      </x:c>
      <x:c r="C111" s="22" t="str">
        <x:v>Other</x:v>
      </x:c>
      <x:c r="D111" s="17" t="str">
        <x:v>Deep Learning Foundations</x:v>
      </x:c>
      <x:c r="E111" s="17" t="str">
        <x:v>AI Education</x:v>
      </x:c>
      <x:c r="F111" s="23" t="str">
        <x:v>English</x:v>
      </x:c>
      <x:c r="G111" s="17" t="str">
        <x:v>MIT Introduction to Deep Learning (2024) | 6.S191</x:v>
      </x:c>
      <x:c r="H111" s="17" t="str">
        <x:v>Alexander Amini / MIT course team</x:v>
      </x:c>
      <x:c r="I111" s="17" t="str">
        <x:v>Alexander Amini</x:v>
      </x:c>
      <x:c r="J111" s="23" t="str">
        <x:v>Specialized Course</x:v>
      </x:c>
      <x:c r="K111" s="24" t="n">
        <x:v>70</x:v>
      </x:c>
      <x:c r="L111" s="16" t="str">
        <x:v>https://www.youtube.com/watch?v=ErnWZxJovaM</x:v>
      </x:c>
      <x:c r="M111" s="22" t="str">
        <x:v>YouTube</x:v>
      </x:c>
      <x:c r="N111" s="25" t="n">
        <x:v>1031188</x:v>
      </x:c>
      <x:c r="O111" s="23" t="str">
        <x:v>A | Official / Original Creator / Organizer</x:v>
      </x:c>
      <x:c r="P111" s="23" t="str">
        <x:v>Core</x:v>
      </x:c>
      <x:c r="Q111" s="23" t="str">
        <x:v>Verified</x:v>
      </x:c>
      <x:c r="R111" s="26" t="n">
        <x:v>46244</x:v>
      </x:c>
      <x:c r="S111" s="17" t="str">
        <x:v>Matched to the target official channel; public metadata accessible.</x:v>
      </x:c>
      <x:c r="T111" s="16" t="str">
        <x:v>ErnWZxJovaM</x:v>
      </x:c>
      <x:c r="U111" s="17" t="str">
        <x:v>MIT 6.S191: Introduction to Deep Learning — Editions</x:v>
      </x:c>
      <x:c r="V111" s="151" t="n">
        <x:v>2024</x:v>
      </x:c>
      <x:c r="W111" s="17" t="str">
        <x:v>mit-6s191-introduction-to-deep-learning</x:v>
      </x:c>
    </x:row>
    <x:row r="112" ht="42" customHeight="1">
      <x:c r="A112" s="22" t="str">
        <x:v>ST-111</x:v>
      </x:c>
      <x:c r="B112" s="22" t="str">
        <x:v>Course</x:v>
      </x:c>
      <x:c r="C112" s="22" t="str">
        <x:v>Other</x:v>
      </x:c>
      <x:c r="D112" s="17" t="str">
        <x:v>Deep Learning Foundations</x:v>
      </x:c>
      <x:c r="E112" s="17" t="str">
        <x:v>AI Education</x:v>
      </x:c>
      <x:c r="F112" s="23" t="str">
        <x:v>English</x:v>
      </x:c>
      <x:c r="G112" s="17" t="str">
        <x:v>Lec 01. Introduction to Deep Learning</x:v>
      </x:c>
      <x:c r="H112" s="17" t="str">
        <x:v>MIT OpenCourseWare course team</x:v>
      </x:c>
      <x:c r="I112" s="17" t="str">
        <x:v>MIT OpenCourseWare</x:v>
      </x:c>
      <x:c r="J112" s="23" t="str">
        <x:v>Specialized Course</x:v>
      </x:c>
      <x:c r="K112" s="24" t="n">
        <x:v>61</x:v>
      </x:c>
      <x:c r="L112" s="16" t="str">
        <x:v>https://www.youtube.com/watch?v=6FkRvTtUc-o</x:v>
      </x:c>
      <x:c r="M112" s="22" t="str">
        <x:v>YouTube</x:v>
      </x:c>
      <x:c r="N112" s="25" t="n">
        <x:v>464706</x:v>
      </x:c>
      <x:c r="O112" s="23" t="str">
        <x:v>A | Official / Original Creator / Organizer</x:v>
      </x:c>
      <x:c r="P112" s="23" t="str">
        <x:v>Core</x:v>
      </x:c>
      <x:c r="Q112" s="23" t="str">
        <x:v>Verified</x:v>
      </x:c>
      <x:c r="R112" s="26" t="n">
        <x:v>46244</x:v>
      </x:c>
      <x:c r="S112" s="17" t="str">
        <x:v>Matched to the target official channel; public metadata accessible.</x:v>
      </x:c>
      <x:c r="T112" s="16" t="str">
        <x:v>6FkRvTtUc-o</x:v>
      </x:c>
      <x:c r="U112" s="17" t="str"/>
      <x:c r="V112" s="151"/>
      <x:c r="W112" s="17" t="str"/>
    </x:row>
    <x:row r="113" ht="42" customHeight="1">
      <x:c r="A113" s="22" t="str">
        <x:v>ST-112</x:v>
      </x:c>
      <x:c r="B113" s="22" t="str">
        <x:v>Course</x:v>
      </x:c>
      <x:c r="C113" s="22" t="str">
        <x:v>Other</x:v>
      </x:c>
      <x:c r="D113" s="17" t="str">
        <x:v>Deep Learning / Representation Learning</x:v>
      </x:c>
      <x:c r="E113" s="17" t="str">
        <x:v>AI Education</x:v>
      </x:c>
      <x:c r="F113" s="23" t="str">
        <x:v>English</x:v>
      </x:c>
      <x:c r="G113" s="17" t="str">
        <x:v>Week 1 – Lecture: History, motivation, and evolution of Deep Learning</x:v>
      </x:c>
      <x:c r="H113" s="17" t="str">
        <x:v>Yann LeCun / Alfredo Canziani</x:v>
      </x:c>
      <x:c r="I113" s="17" t="str">
        <x:v>Alfredo Canziani (冷在)</x:v>
      </x:c>
      <x:c r="J113" s="23" t="str">
        <x:v>Course Lecture</x:v>
      </x:c>
      <x:c r="K113" s="24" t="n">
        <x:v>99</x:v>
      </x:c>
      <x:c r="L113" s="16" t="str">
        <x:v>https://www.youtube.com/watch?v=0bMe_vCZo30</x:v>
      </x:c>
      <x:c r="M113" s="22" t="str">
        <x:v>YouTube</x:v>
      </x:c>
      <x:c r="N113" s="25" t="n">
        <x:v>277512</x:v>
      </x:c>
      <x:c r="O113" s="23" t="str">
        <x:v>A | Official / Original Creator / Organizer</x:v>
      </x:c>
      <x:c r="P113" s="23" t="str">
        <x:v>Core</x:v>
      </x:c>
      <x:c r="Q113" s="23" t="str">
        <x:v>Verified</x:v>
      </x:c>
      <x:c r="R113" s="26" t="n">
        <x:v>46244</x:v>
      </x:c>
      <x:c r="S113" s="17" t="str">
        <x:v>Matched to the target official channel; public metadata accessible.</x:v>
      </x:c>
      <x:c r="T113" s="16" t="str">
        <x:v>0bMe_vCZo30</x:v>
      </x:c>
      <x:c r="U113" s="17" t="str">
        <x:v>NYU Deep Learning — 2020</x:v>
      </x:c>
      <x:c r="V113" s="151" t="n">
        <x:v>1</x:v>
      </x:c>
      <x:c r="W113" s="17" t="str">
        <x:v>nyu-deep-learning-2020</x:v>
      </x:c>
    </x:row>
    <x:row r="114" ht="42" customHeight="1">
      <x:c r="A114" s="22" t="str">
        <x:v>ST-113</x:v>
      </x:c>
      <x:c r="B114" s="22" t="str">
        <x:v>Course</x:v>
      </x:c>
      <x:c r="C114" s="22" t="str">
        <x:v>Other</x:v>
      </x:c>
      <x:c r="D114" s="17" t="str">
        <x:v>Edge AI / TinyML</x:v>
      </x:c>
      <x:c r="E114" s="17" t="str">
        <x:v>AI Systems / MLOps</x:v>
      </x:c>
      <x:c r="F114" s="23" t="str">
        <x:v>English</x:v>
      </x:c>
      <x:c r="G114" s="17" t="str">
        <x:v>EfficientML.ai Lecture 1 - Introduction (MIT 6.5940, Fall 2023)</x:v>
      </x:c>
      <x:c r="H114" s="17" t="str">
        <x:v>Song Han / MIT HAN Lab</x:v>
      </x:c>
      <x:c r="I114" s="17" t="str">
        <x:v>MIT HAN Lab</x:v>
      </x:c>
      <x:c r="J114" s="23" t="str">
        <x:v>Course Lecture</x:v>
      </x:c>
      <x:c r="K114" s="24" t="n">
        <x:v>77</x:v>
      </x:c>
      <x:c r="L114" s="16" t="str">
        <x:v>https://www.youtube.com/watch?v=rCFvPEQTxKI</x:v>
      </x:c>
      <x:c r="M114" s="22" t="str">
        <x:v>YouTube</x:v>
      </x:c>
      <x:c r="N114" s="25" t="n">
        <x:v>91350</x:v>
      </x:c>
      <x:c r="O114" s="23" t="str">
        <x:v>A | Official / Original Creator / Organizer</x:v>
      </x:c>
      <x:c r="P114" s="23" t="str">
        <x:v>Core</x:v>
      </x:c>
      <x:c r="Q114" s="23" t="str">
        <x:v>Verified</x:v>
      </x:c>
      <x:c r="R114" s="26" t="n">
        <x:v>46244</x:v>
      </x:c>
      <x:c r="S114" s="17" t="str">
        <x:v>Matched to the target official channel; public metadata accessible.</x:v>
      </x:c>
      <x:c r="T114" s="16" t="str">
        <x:v>rCFvPEQTxKI</x:v>
      </x:c>
      <x:c r="U114" s="17" t="str">
        <x:v>MIT 6.5940: EfficientML.ai — Fall 2023</x:v>
      </x:c>
      <x:c r="V114" s="151" t="n">
        <x:v>1</x:v>
      </x:c>
      <x:c r="W114" s="17" t="str">
        <x:v>mit-6-5940-efficientml-fall-2023</x:v>
      </x:c>
    </x:row>
    <x:row r="115" ht="42" customHeight="1">
      <x:c r="A115" s="22" t="str">
        <x:v>ST-114</x:v>
      </x:c>
      <x:c r="B115" s="22" t="str">
        <x:v>Course</x:v>
      </x:c>
      <x:c r="C115" s="22" t="str">
        <x:v>Other</x:v>
      </x:c>
      <x:c r="D115" s="17" t="str">
        <x:v>MLOps / AI Product Engineering</x:v>
      </x:c>
      <x:c r="E115" s="17" t="str">
        <x:v>AI Systems / MLOps; AI Education</x:v>
      </x:c>
      <x:c r="F115" s="23" t="str">
        <x:v>English</x:v>
      </x:c>
      <x:c r="G115" s="17" t="str">
        <x:v>Lecture 01: When to Use ML and Course Vision (FSDL 2022)</x:v>
      </x:c>
      <x:c r="H115" s="17" t="str">
        <x:v>Full Stack Deep Learning team</x:v>
      </x:c>
      <x:c r="I115" s="17" t="str">
        <x:v>The Full Stack</x:v>
      </x:c>
      <x:c r="J115" s="23" t="str">
        <x:v>Course Lecture</x:v>
      </x:c>
      <x:c r="K115" s="24" t="n">
        <x:v>54</x:v>
      </x:c>
      <x:c r="L115" s="16" t="str">
        <x:v>https://www.youtube.com/watch?v=-Iob-FW5jVM</x:v>
      </x:c>
      <x:c r="M115" s="22" t="str">
        <x:v>YouTube</x:v>
      </x:c>
      <x:c r="N115" s="25" t="n">
        <x:v>43449</x:v>
      </x:c>
      <x:c r="O115" s="23" t="str">
        <x:v>A | Official / Original Creator / Organizer</x:v>
      </x:c>
      <x:c r="P115" s="23" t="str">
        <x:v>Core</x:v>
      </x:c>
      <x:c r="Q115" s="23" t="str">
        <x:v>Verified</x:v>
      </x:c>
      <x:c r="R115" s="26" t="n">
        <x:v>46244</x:v>
      </x:c>
      <x:c r="S115" s="17" t="str">
        <x:v>Matched to the target official channel; public metadata accessible.</x:v>
      </x:c>
      <x:c r="T115" s="16" t="str">
        <x:v>-Iob-FW5jVM</x:v>
      </x:c>
      <x:c r="U115" s="17" t="str">
        <x:v>Full Stack Deep Learning — 2022</x:v>
      </x:c>
      <x:c r="V115" s="151" t="n">
        <x:v>1</x:v>
      </x:c>
      <x:c r="W115" s="17" t="str">
        <x:v>full-stack-deep-learning-2022</x:v>
      </x:c>
    </x:row>
    <x:row r="116" ht="42" customHeight="1">
      <x:c r="A116" s="22" t="str">
        <x:v>ST-115</x:v>
      </x:c>
      <x:c r="B116" s="22" t="str">
        <x:v>Course</x:v>
      </x:c>
      <x:c r="C116" s="22" t="str">
        <x:v>Other</x:v>
      </x:c>
      <x:c r="D116" s="17" t="str">
        <x:v>Edge AI / TinyML</x:v>
      </x:c>
      <x:c r="E116" s="17" t="str">
        <x:v>AI Systems / MLOps</x:v>
      </x:c>
      <x:c r="F116" s="23" t="str">
        <x:v>English</x:v>
      </x:c>
      <x:c r="G116" s="17" t="str">
        <x:v>EfficientML.ai Lecture 1 - Introduction (MIT 6.5940, Fall 2023, Zoom recording)</x:v>
      </x:c>
      <x:c r="H116" s="17" t="str">
        <x:v>Song Han / MIT HAN Lab</x:v>
      </x:c>
      <x:c r="I116" s="17" t="str">
        <x:v>MIT HAN Lab</x:v>
      </x:c>
      <x:c r="J116" s="23" t="str">
        <x:v>Course Lecture</x:v>
      </x:c>
      <x:c r="K116" s="24" t="n">
        <x:v>77</x:v>
      </x:c>
      <x:c r="L116" s="16" t="str">
        <x:v>https://www.youtube.com/watch?v=6cAmS-_vEh8</x:v>
      </x:c>
      <x:c r="M116" s="22" t="str">
        <x:v>YouTube</x:v>
      </x:c>
      <x:c r="N116" s="25" t="n">
        <x:v>20855</x:v>
      </x:c>
      <x:c r="O116" s="23" t="str">
        <x:v>A | Official / Original Creator / Organizer</x:v>
      </x:c>
      <x:c r="P116" s="23" t="str">
        <x:v>Core</x:v>
      </x:c>
      <x:c r="Q116" s="23" t="str">
        <x:v>Verified</x:v>
      </x:c>
      <x:c r="R116" s="26" t="n">
        <x:v>46244</x:v>
      </x:c>
      <x:c r="S116" s="17" t="str">
        <x:v>Matched to the target official channel; public metadata accessible.</x:v>
      </x:c>
      <x:c r="T116" s="16" t="str">
        <x:v>6cAmS-_vEh8</x:v>
      </x:c>
      <x:c r="U116" s="17" t="str">
        <x:v>MIT 6.5940: EfficientML.ai — Fall 2023</x:v>
      </x:c>
      <x:c r="V116" s="151" t="n">
        <x:v>1.1</x:v>
      </x:c>
      <x:c r="W116" s="17" t="str">
        <x:v>mit-6-5940-efficientml-fall-2023</x:v>
      </x:c>
    </x:row>
    <x:row r="117" ht="42" customHeight="1">
      <x:c r="A117" s="22" t="str">
        <x:v>ST-116</x:v>
      </x:c>
      <x:c r="B117" s="22" t="str">
        <x:v>Course</x:v>
      </x:c>
      <x:c r="C117" s="22" t="str">
        <x:v>Other</x:v>
      </x:c>
      <x:c r="D117" s="17" t="str">
        <x:v>Deep Reinforcement Learning</x:v>
      </x:c>
      <x:c r="E117" s="17" t="str">
        <x:v>Reinforcement Learning</x:v>
      </x:c>
      <x:c r="F117" s="23" t="str">
        <x:v>English</x:v>
      </x:c>
      <x:c r="G117" s="17" t="str">
        <x:v>CS 285: Lecture 5, Part 1</x:v>
      </x:c>
      <x:c r="H117" s="17" t="str">
        <x:v>Sergey Levine / Berkeley RAIL</x:v>
      </x:c>
      <x:c r="I117" s="17" t="str">
        <x:v>RAIL</x:v>
      </x:c>
      <x:c r="J117" s="23" t="str">
        <x:v>Course Lecture</x:v>
      </x:c>
      <x:c r="K117" s="24" t="n">
        <x:v>14</x:v>
      </x:c>
      <x:c r="L117" s="16" t="str">
        <x:v>https://www.youtube.com/watch?v=GKoKNYaBvM0</x:v>
      </x:c>
      <x:c r="M117" s="22" t="str">
        <x:v>YouTube</x:v>
      </x:c>
      <x:c r="N117" s="25" t="n">
        <x:v>44627</x:v>
      </x:c>
      <x:c r="O117" s="23" t="str">
        <x:v>A | Official / Original Creator / Organizer</x:v>
      </x:c>
      <x:c r="P117" s="23" t="str">
        <x:v>Core</x:v>
      </x:c>
      <x:c r="Q117" s="23" t="str">
        <x:v>Verified</x:v>
      </x:c>
      <x:c r="R117" s="26" t="n">
        <x:v>46244</x:v>
      </x:c>
      <x:c r="S117" s="17" t="str">
        <x:v>Matched to the target official channel; public metadata accessible.</x:v>
      </x:c>
      <x:c r="T117" s="16" t="str">
        <x:v>GKoKNYaBvM0</x:v>
      </x:c>
      <x:c r="U117" s="17" t="str">
        <x:v>UC Berkeley CS285: Deep Reinforcement Learning — Fall 2020</x:v>
      </x:c>
      <x:c r="V117" s="151" t="n">
        <x:v>5.1</x:v>
      </x:c>
      <x:c r="W117" s="17" t="str">
        <x:v>berkeley-cs285-fall-2020</x:v>
      </x:c>
    </x:row>
    <x:row r="118" ht="42" customHeight="1">
      <x:c r="A118" s="22" t="str">
        <x:v>ST-117</x:v>
      </x:c>
      <x:c r="B118" s="22" t="str">
        <x:v>Course</x:v>
      </x:c>
      <x:c r="C118" s="22" t="str">
        <x:v>Other</x:v>
      </x:c>
      <x:c r="D118" s="17" t="str">
        <x:v>Deep Learning / Representation Learning</x:v>
      </x:c>
      <x:c r="E118" s="17" t="str">
        <x:v>AI Education</x:v>
      </x:c>
      <x:c r="F118" s="23" t="str">
        <x:v>English</x:v>
      </x:c>
      <x:c r="G118" s="17" t="str">
        <x:v>Lesson 01 – Course intro and McCulloch &amp; Pitts binary neuron</x:v>
      </x:c>
      <x:c r="H118" s="17" t="str">
        <x:v>Yann LeCun / Alfredo Canziani</x:v>
      </x:c>
      <x:c r="I118" s="17" t="str">
        <x:v>Alfredo Canziani (冷在)</x:v>
      </x:c>
      <x:c r="J118" s="23" t="str">
        <x:v>Course Lecture</x:v>
      </x:c>
      <x:c r="K118" s="24" t="n">
        <x:v>30</x:v>
      </x:c>
      <x:c r="L118" s="16" t="str">
        <x:v>https://www.youtube.com/watch?v=rg4QyMFONNQ</x:v>
      </x:c>
      <x:c r="M118" s="22" t="str">
        <x:v>YouTube</x:v>
      </x:c>
      <x:c r="N118" s="25" t="n">
        <x:v>15625</x:v>
      </x:c>
      <x:c r="O118" s="23" t="str">
        <x:v>A | Official / Original Creator / Organizer</x:v>
      </x:c>
      <x:c r="P118" s="23" t="str">
        <x:v>Core</x:v>
      </x:c>
      <x:c r="Q118" s="23" t="str">
        <x:v>Verified</x:v>
      </x:c>
      <x:c r="R118" s="26" t="n">
        <x:v>46244</x:v>
      </x:c>
      <x:c r="S118" s="17" t="str">
        <x:v>Matched to the target official channel; public metadata accessible.</x:v>
      </x:c>
      <x:c r="T118" s="16" t="str">
        <x:v>rg4QyMFONNQ</x:v>
      </x:c>
      <x:c r="U118" s="17" t="str">
        <x:v>NYU Deep Learning — 2026</x:v>
      </x:c>
      <x:c r="V118" s="151" t="n">
        <x:v>1</x:v>
      </x:c>
      <x:c r="W118" s="17" t="str">
        <x:v>nyu-deep-learning-2026</x:v>
      </x:c>
    </x:row>
    <x:row r="119" ht="42" customHeight="1">
      <x:c r="A119" s="22" t="str">
        <x:v>ST-118</x:v>
      </x:c>
      <x:c r="B119" s="22" t="str">
        <x:v>Course</x:v>
      </x:c>
      <x:c r="C119" s="22" t="str">
        <x:v>Vision</x:v>
      </x:c>
      <x:c r="D119" s="17" t="str">
        <x:v>Deep Learning / Representation Learning</x:v>
      </x:c>
      <x:c r="E119" s="17" t="str">
        <x:v>Computer Vision</x:v>
      </x:c>
      <x:c r="F119" s="23" t="str">
        <x:v>English</x:v>
      </x:c>
      <x:c r="G119" s="17" t="str">
        <x:v>Week 1 – Practicum: Classification, linear algebra, and visualisation</x:v>
      </x:c>
      <x:c r="H119" s="17" t="str">
        <x:v>Yann LeCun / Alfredo Canziani</x:v>
      </x:c>
      <x:c r="I119" s="17" t="str">
        <x:v>Alfredo Canziani (冷在)</x:v>
      </x:c>
      <x:c r="J119" s="23" t="str">
        <x:v>Hands-on Tutorial</x:v>
      </x:c>
      <x:c r="K119" s="24" t="n">
        <x:v>53</x:v>
      </x:c>
      <x:c r="L119" s="16" t="str">
        <x:v>https://www.youtube.com/watch?v=5_qrxVq1kvc</x:v>
      </x:c>
      <x:c r="M119" s="22" t="str">
        <x:v>YouTube</x:v>
      </x:c>
      <x:c r="N119" s="25" t="n">
        <x:v>67972</x:v>
      </x:c>
      <x:c r="O119" s="23" t="str">
        <x:v>A | Official / Original Creator / Organizer</x:v>
      </x:c>
      <x:c r="P119" s="23" t="str">
        <x:v>Core</x:v>
      </x:c>
      <x:c r="Q119" s="23" t="str">
        <x:v>Verified</x:v>
      </x:c>
      <x:c r="R119" s="26" t="n">
        <x:v>46244</x:v>
      </x:c>
      <x:c r="S119" s="17" t="str">
        <x:v>Matched to the target official channel; public metadata accessible.</x:v>
      </x:c>
      <x:c r="T119" s="16" t="str">
        <x:v>5_qrxVq1kvc</x:v>
      </x:c>
      <x:c r="U119" s="17" t="str">
        <x:v>NYU Deep Learning — 2020</x:v>
      </x:c>
      <x:c r="V119" s="151" t="n">
        <x:v>1.5</x:v>
      </x:c>
      <x:c r="W119" s="17" t="str">
        <x:v>nyu-deep-learning-2020</x:v>
      </x:c>
    </x:row>
    <x:row r="120" ht="42" customHeight="1">
      <x:c r="A120" s="22" t="str">
        <x:v>ST-119</x:v>
      </x:c>
      <x:c r="B120" s="22" t="str">
        <x:v>Course</x:v>
      </x:c>
      <x:c r="C120" s="22" t="str">
        <x:v>Other</x:v>
      </x:c>
      <x:c r="D120" s="17" t="str">
        <x:v>Deep Reinforcement Learning</x:v>
      </x:c>
      <x:c r="E120" s="17" t="str">
        <x:v>Reinforcement Learning</x:v>
      </x:c>
      <x:c r="F120" s="23" t="str">
        <x:v>English</x:v>
      </x:c>
      <x:c r="G120" s="17" t="str">
        <x:v>CS 285: Lecture 1, Part 2</x:v>
      </x:c>
      <x:c r="H120" s="17" t="str">
        <x:v>Sergey Levine / Berkeley RAIL</x:v>
      </x:c>
      <x:c r="I120" s="17" t="str">
        <x:v>RAIL</x:v>
      </x:c>
      <x:c r="J120" s="23" t="str">
        <x:v>Course Lecture</x:v>
      </x:c>
      <x:c r="K120" s="24" t="n">
        <x:v>13</x:v>
      </x:c>
      <x:c r="L120" s="16" t="str">
        <x:v>https://www.youtube.com/watch?v=IoF7D0qec0I</x:v>
      </x:c>
      <x:c r="M120" s="22" t="str">
        <x:v>YouTube</x:v>
      </x:c>
      <x:c r="N120" s="25" t="n">
        <x:v>38120</x:v>
      </x:c>
      <x:c r="O120" s="23" t="str">
        <x:v>A | Official / Original Creator / Organizer</x:v>
      </x:c>
      <x:c r="P120" s="23" t="str">
        <x:v>Core</x:v>
      </x:c>
      <x:c r="Q120" s="23" t="str">
        <x:v>Verified</x:v>
      </x:c>
      <x:c r="R120" s="26" t="n">
        <x:v>46244</x:v>
      </x:c>
      <x:c r="S120" s="17" t="str">
        <x:v>Matched to the target official channel; public metadata accessible.</x:v>
      </x:c>
      <x:c r="T120" s="16" t="str">
        <x:v>IoF7D0qec0I</x:v>
      </x:c>
      <x:c r="U120" s="17" t="str">
        <x:v>UC Berkeley CS285: Deep Reinforcement Learning — Fall 2020</x:v>
      </x:c>
      <x:c r="V120" s="151" t="n">
        <x:v>1.2</x:v>
      </x:c>
      <x:c r="W120" s="17" t="str">
        <x:v>berkeley-cs285-fall-2020</x:v>
      </x:c>
    </x:row>
    <x:row r="121" ht="42" customHeight="1">
      <x:c r="A121" s="22" t="str">
        <x:v>ST-120</x:v>
      </x:c>
      <x:c r="B121" s="22" t="str">
        <x:v>Course</x:v>
      </x:c>
      <x:c r="C121" s="22" t="str">
        <x:v>Other</x:v>
      </x:c>
      <x:c r="D121" s="17" t="str">
        <x:v>Edge AI / TinyML</x:v>
      </x:c>
      <x:c r="E121" s="17" t="str">
        <x:v>AI Systems / MLOps</x:v>
      </x:c>
      <x:c r="F121" s="23" t="str">
        <x:v>English</x:v>
      </x:c>
      <x:c r="G121" s="17" t="str">
        <x:v>EfficientML.ai Lecture 2 - Basics of Neural Networks (MIT 6.5940, Fall 2023)</x:v>
      </x:c>
      <x:c r="H121" s="17" t="str">
        <x:v>Song Han / MIT HAN Lab</x:v>
      </x:c>
      <x:c r="I121" s="17" t="str">
        <x:v>MIT HAN Lab</x:v>
      </x:c>
      <x:c r="J121" s="23" t="str">
        <x:v>Course Lecture</x:v>
      </x:c>
      <x:c r="K121" s="24" t="n">
        <x:v>71</x:v>
      </x:c>
      <x:c r="L121" s="16" t="str">
        <x:v>https://www.youtube.com/watch?v=Q9bdjoVx_m4</x:v>
      </x:c>
      <x:c r="M121" s="22" t="str">
        <x:v>YouTube</x:v>
      </x:c>
      <x:c r="N121" s="25" t="n">
        <x:v>21100</x:v>
      </x:c>
      <x:c r="O121" s="23" t="str">
        <x:v>A | Official / Original Creator / Organizer</x:v>
      </x:c>
      <x:c r="P121" s="23" t="str">
        <x:v>Core</x:v>
      </x:c>
      <x:c r="Q121" s="23" t="str">
        <x:v>Verified</x:v>
      </x:c>
      <x:c r="R121" s="26" t="n">
        <x:v>46244</x:v>
      </x:c>
      <x:c r="S121" s="17" t="str">
        <x:v>Matched to the target official channel; public metadata accessible.</x:v>
      </x:c>
      <x:c r="T121" s="16" t="str">
        <x:v>Q9bdjoVx_m4</x:v>
      </x:c>
      <x:c r="U121" s="17" t="str">
        <x:v>MIT 6.5940: EfficientML.ai — Fall 2023</x:v>
      </x:c>
      <x:c r="V121" s="151" t="n">
        <x:v>2</x:v>
      </x:c>
      <x:c r="W121" s="17" t="str">
        <x:v>mit-6-5940-efficientml-fall-2023</x:v>
      </x:c>
    </x:row>
    <x:row r="122" ht="42" customHeight="1">
      <x:c r="A122" s="22" t="str">
        <x:v>ST-121</x:v>
      </x:c>
      <x:c r="B122" s="22" t="str">
        <x:v>Course</x:v>
      </x:c>
      <x:c r="C122" s="22" t="str">
        <x:v>Other</x:v>
      </x:c>
      <x:c r="D122" s="17" t="str">
        <x:v>Deep Learning / Speech</x:v>
      </x:c>
      <x:c r="E122" s="17" t="str">
        <x:v>Deep Learning</x:v>
      </x:c>
      <x:c r="F122" s="23" t="str">
        <x:v>English</x:v>
      </x:c>
      <x:c r="G122" s="17" t="str">
        <x:v>11-785 Spring 23 Lecture 1: Introduction</x:v>
      </x:c>
      <x:c r="H122" s="17" t="str">
        <x:v>CMU 11-785 course team</x:v>
      </x:c>
      <x:c r="I122" s="17" t="str">
        <x:v>Carnegie Mellon University Deep Learning</x:v>
      </x:c>
      <x:c r="J122" s="23" t="str">
        <x:v>Course Lecture</x:v>
      </x:c>
      <x:c r="K122" s="24" t="n">
        <x:v>78</x:v>
      </x:c>
      <x:c r="L122" s="16" t="str">
        <x:v>https://www.youtube.com/watch?v=Q3qCfSiRmQY</x:v>
      </x:c>
      <x:c r="M122" s="22" t="str">
        <x:v>YouTube</x:v>
      </x:c>
      <x:c r="N122" s="25" t="n">
        <x:v>13840</x:v>
      </x:c>
      <x:c r="O122" s="23" t="str">
        <x:v>A | Official / Original Creator / Organizer</x:v>
      </x:c>
      <x:c r="P122" s="23" t="str">
        <x:v>Core</x:v>
      </x:c>
      <x:c r="Q122" s="23" t="str">
        <x:v>Verified</x:v>
      </x:c>
      <x:c r="R122" s="26" t="n">
        <x:v>46244</x:v>
      </x:c>
      <x:c r="S122" s="17" t="str">
        <x:v>Matched to the target official channel; public metadata accessible.</x:v>
      </x:c>
      <x:c r="T122" s="16" t="str">
        <x:v>Q3qCfSiRmQY</x:v>
      </x:c>
      <x:c r="U122" s="17" t="str"/>
      <x:c r="V122" s="151"/>
      <x:c r="W122" s="17" t="str"/>
    </x:row>
    <x:row r="123" ht="42" customHeight="1">
      <x:c r="A123" s="22" t="str">
        <x:v>ST-122</x:v>
      </x:c>
      <x:c r="B123" s="22" t="str">
        <x:v>Course</x:v>
      </x:c>
      <x:c r="C123" s="22" t="str">
        <x:v>Other</x:v>
      </x:c>
      <x:c r="D123" s="17" t="str">
        <x:v>Edge AI / TinyML</x:v>
      </x:c>
      <x:c r="E123" s="17" t="str">
        <x:v>AI Systems / MLOps</x:v>
      </x:c>
      <x:c r="F123" s="23" t="str">
        <x:v>English</x:v>
      </x:c>
      <x:c r="G123" s="17" t="str">
        <x:v>EfficientML.ai Lecture 9 - Knowledge Distillation (MIT 6.5940, Fall 2023)</x:v>
      </x:c>
      <x:c r="H123" s="17" t="str">
        <x:v>Song Han / MIT HAN Lab</x:v>
      </x:c>
      <x:c r="I123" s="17" t="str">
        <x:v>MIT HAN Lab</x:v>
      </x:c>
      <x:c r="J123" s="23" t="str">
        <x:v>Course Lecture</x:v>
      </x:c>
      <x:c r="K123" s="24" t="n">
        <x:v>60</x:v>
      </x:c>
      <x:c r="L123" s="16" t="str">
        <x:v>https://www.youtube.com/watch?v=EkjVHToId7U</x:v>
      </x:c>
      <x:c r="M123" s="22" t="str">
        <x:v>YouTube</x:v>
      </x:c>
      <x:c r="N123" s="25" t="n">
        <x:v>13338</x:v>
      </x:c>
      <x:c r="O123" s="23" t="str">
        <x:v>A | Official / Original Creator / Organizer</x:v>
      </x:c>
      <x:c r="P123" s="23" t="str">
        <x:v>Core</x:v>
      </x:c>
      <x:c r="Q123" s="23" t="str">
        <x:v>Verified</x:v>
      </x:c>
      <x:c r="R123" s="26" t="n">
        <x:v>46244</x:v>
      </x:c>
      <x:c r="S123" s="17" t="str">
        <x:v>Matched to the target official channel; public metadata accessible.</x:v>
      </x:c>
      <x:c r="T123" s="16" t="str">
        <x:v>EkjVHToId7U</x:v>
      </x:c>
      <x:c r="U123" s="17" t="str">
        <x:v>MIT 6.5940: EfficientML.ai — Fall 2023</x:v>
      </x:c>
      <x:c r="V123" s="151" t="n">
        <x:v>9</x:v>
      </x:c>
      <x:c r="W123" s="17" t="str">
        <x:v>mit-6-5940-efficientml-fall-2023</x:v>
      </x:c>
    </x:row>
    <x:row r="124" ht="42" customHeight="1">
      <x:c r="A124" s="22" t="str">
        <x:v>ST-123</x:v>
      </x:c>
      <x:c r="B124" s="22" t="str">
        <x:v>Course</x:v>
      </x:c>
      <x:c r="C124" s="22" t="str">
        <x:v>Other</x:v>
      </x:c>
      <x:c r="D124" s="17" t="str">
        <x:v>MLOps / AI Product Engineering</x:v>
      </x:c>
      <x:c r="E124" s="17" t="str">
        <x:v>AI Systems / MLOps</x:v>
      </x:c>
      <x:c r="F124" s="23" t="str">
        <x:v>English</x:v>
      </x:c>
      <x:c r="G124" s="17" t="str">
        <x:v>Lecture 02: Development Infrastructure &amp; Tooling (FSDL 2022)</x:v>
      </x:c>
      <x:c r="H124" s="17" t="str">
        <x:v>Full Stack Deep Learning team</x:v>
      </x:c>
      <x:c r="I124" s="17" t="str">
        <x:v>The Full Stack</x:v>
      </x:c>
      <x:c r="J124" s="23" t="str">
        <x:v>Course Lecture</x:v>
      </x:c>
      <x:c r="K124" s="24" t="n">
        <x:v>52</x:v>
      </x:c>
      <x:c r="L124" s="16" t="str">
        <x:v>https://www.youtube.com/watch?v=BPYOsDCZbno</x:v>
      </x:c>
      <x:c r="M124" s="22" t="str">
        <x:v>YouTube</x:v>
      </x:c>
      <x:c r="N124" s="25" t="n">
        <x:v>14166</x:v>
      </x:c>
      <x:c r="O124" s="23" t="str">
        <x:v>A | Official / Original Creator / Organizer</x:v>
      </x:c>
      <x:c r="P124" s="23" t="str">
        <x:v>Core</x:v>
      </x:c>
      <x:c r="Q124" s="23" t="str">
        <x:v>Verified</x:v>
      </x:c>
      <x:c r="R124" s="26" t="n">
        <x:v>46244</x:v>
      </x:c>
      <x:c r="S124" s="17" t="str">
        <x:v>Matched to the target official channel; public metadata accessible.</x:v>
      </x:c>
      <x:c r="T124" s="16" t="str">
        <x:v>BPYOsDCZbno</x:v>
      </x:c>
      <x:c r="U124" s="17" t="str">
        <x:v>Full Stack Deep Learning — 2022</x:v>
      </x:c>
      <x:c r="V124" s="151" t="n">
        <x:v>2</x:v>
      </x:c>
      <x:c r="W124" s="17" t="str">
        <x:v>full-stack-deep-learning-2022</x:v>
      </x:c>
    </x:row>
    <x:row r="125" ht="42" customHeight="1">
      <x:c r="A125" s="22" t="str">
        <x:v>ST-124</x:v>
      </x:c>
      <x:c r="B125" s="22" t="str">
        <x:v>Course</x:v>
      </x:c>
      <x:c r="C125" s="22" t="str">
        <x:v>Other</x:v>
      </x:c>
      <x:c r="D125" s="17" t="str">
        <x:v>Deep Learning / Representation Learning</x:v>
      </x:c>
      <x:c r="E125" s="17" t="str">
        <x:v>Deep Learning</x:v>
      </x:c>
      <x:c r="F125" s="23" t="str">
        <x:v>English</x:v>
      </x:c>
      <x:c r="G125" s="17" t="str">
        <x:v>Lesson 02 – Programming a neural network</x:v>
      </x:c>
      <x:c r="H125" s="17" t="str">
        <x:v>Yann LeCun / Alfredo Canziani</x:v>
      </x:c>
      <x:c r="I125" s="17" t="str">
        <x:v>Alfredo Canziani (冷在)</x:v>
      </x:c>
      <x:c r="J125" s="23" t="str">
        <x:v>Course Lecture</x:v>
      </x:c>
      <x:c r="K125" s="24" t="n">
        <x:v>58</x:v>
      </x:c>
      <x:c r="L125" s="16" t="str">
        <x:v>https://www.youtube.com/watch?v=3_e0HVV3nMM</x:v>
      </x:c>
      <x:c r="M125" s="22" t="str">
        <x:v>YouTube</x:v>
      </x:c>
      <x:c r="N125" s="25" t="n">
        <x:v>6824</x:v>
      </x:c>
      <x:c r="O125" s="23" t="str">
        <x:v>A | Official / Original Creator / Organizer</x:v>
      </x:c>
      <x:c r="P125" s="23" t="str">
        <x:v>Core</x:v>
      </x:c>
      <x:c r="Q125" s="23" t="str">
        <x:v>Verified</x:v>
      </x:c>
      <x:c r="R125" s="26" t="n">
        <x:v>46244</x:v>
      </x:c>
      <x:c r="S125" s="17" t="str">
        <x:v>Matched to the target official channel; public metadata accessible.</x:v>
      </x:c>
      <x:c r="T125" s="16" t="str">
        <x:v>3_e0HVV3nMM</x:v>
      </x:c>
      <x:c r="U125" s="17" t="str">
        <x:v>NYU Deep Learning — 2026</x:v>
      </x:c>
      <x:c r="V125" s="151" t="n">
        <x:v>2</x:v>
      </x:c>
      <x:c r="W125" s="17" t="str">
        <x:v>nyu-deep-learning-2026</x:v>
      </x:c>
    </x:row>
    <x:row r="126" ht="42" customHeight="1">
      <x:c r="A126" s="22" t="str">
        <x:v>ST-125</x:v>
      </x:c>
      <x:c r="B126" s="22" t="str">
        <x:v>Course</x:v>
      </x:c>
      <x:c r="C126" s="22" t="str">
        <x:v>Other</x:v>
      </x:c>
      <x:c r="D126" s="17" t="str">
        <x:v>Deep Reinforcement Learning</x:v>
      </x:c>
      <x:c r="E126" s="17" t="str">
        <x:v>Reinforcement Learning; AI Education</x:v>
      </x:c>
      <x:c r="F126" s="23" t="str">
        <x:v>English</x:v>
      </x:c>
      <x:c r="G126" s="17" t="str">
        <x:v>CS 285: Lecture 2, Imitation Learning. Part 2</x:v>
      </x:c>
      <x:c r="H126" s="17" t="str">
        <x:v>Sergey Levine / Berkeley RAIL</x:v>
      </x:c>
      <x:c r="I126" s="17" t="str">
        <x:v>RAIL</x:v>
      </x:c>
      <x:c r="J126" s="23" t="str">
        <x:v>Course Lecture</x:v>
      </x:c>
      <x:c r="K126" s="24" t="n">
        <x:v>23</x:v>
      </x:c>
      <x:c r="L126" s="16" t="str">
        <x:v>https://www.youtube.com/watch?v=YivJ9KDjn-o</x:v>
      </x:c>
      <x:c r="M126" s="22" t="str">
        <x:v>YouTube</x:v>
      </x:c>
      <x:c r="N126" s="25" t="n">
        <x:v>26115</x:v>
      </x:c>
      <x:c r="O126" s="23" t="str">
        <x:v>A | Official / Original Creator / Organizer</x:v>
      </x:c>
      <x:c r="P126" s="23" t="str">
        <x:v>Core</x:v>
      </x:c>
      <x:c r="Q126" s="23" t="str">
        <x:v>Verified</x:v>
      </x:c>
      <x:c r="R126" s="26" t="n">
        <x:v>46244</x:v>
      </x:c>
      <x:c r="S126" s="17" t="str">
        <x:v>Matched to the target official channel; public metadata accessible.</x:v>
      </x:c>
      <x:c r="T126" s="16" t="str">
        <x:v>YivJ9KDjn-o</x:v>
      </x:c>
      <x:c r="U126" s="17" t="str">
        <x:v>UC Berkeley CS285: Deep Reinforcement Learning — Fall 2023</x:v>
      </x:c>
      <x:c r="V126" s="151" t="n">
        <x:v>2.2</x:v>
      </x:c>
      <x:c r="W126" s="17" t="str">
        <x:v>berkeley-cs285-fall-2023</x:v>
      </x:c>
    </x:row>
    <x:row r="127" ht="42" customHeight="1">
      <x:c r="A127" s="22" t="str">
        <x:v>ST-126</x:v>
      </x:c>
      <x:c r="B127" s="22" t="str">
        <x:v>Course</x:v>
      </x:c>
      <x:c r="C127" s="22" t="str">
        <x:v>Other</x:v>
      </x:c>
      <x:c r="D127" s="17" t="str">
        <x:v>Deep Reinforcement Learning</x:v>
      </x:c>
      <x:c r="E127" s="17" t="str">
        <x:v>Reinforcement Learning</x:v>
      </x:c>
      <x:c r="F127" s="23" t="str">
        <x:v>English</x:v>
      </x:c>
      <x:c r="G127" s="17" t="str">
        <x:v>CS 285: Lecture 1, Introduction. Part 2</x:v>
      </x:c>
      <x:c r="H127" s="17" t="str">
        <x:v>Sergey Levine / Berkeley RAIL</x:v>
      </x:c>
      <x:c r="I127" s="17" t="str">
        <x:v>RAIL</x:v>
      </x:c>
      <x:c r="J127" s="23" t="str">
        <x:v>Course Lecture</x:v>
      </x:c>
      <x:c r="K127" s="24" t="n">
        <x:v>18</x:v>
      </x:c>
      <x:c r="L127" s="16" t="str">
        <x:v>https://www.youtube.com/watch?v=BYh36cb92JQ</x:v>
      </x:c>
      <x:c r="M127" s="22" t="str">
        <x:v>YouTube</x:v>
      </x:c>
      <x:c r="N127" s="25" t="n">
        <x:v>27433</x:v>
      </x:c>
      <x:c r="O127" s="23" t="str">
        <x:v>A | Official / Original Creator / Organizer</x:v>
      </x:c>
      <x:c r="P127" s="23" t="str">
        <x:v>Core</x:v>
      </x:c>
      <x:c r="Q127" s="23" t="str">
        <x:v>Verified</x:v>
      </x:c>
      <x:c r="R127" s="26" t="n">
        <x:v>46244</x:v>
      </x:c>
      <x:c r="S127" s="17" t="str">
        <x:v>Matched to the target official channel; public metadata accessible.</x:v>
      </x:c>
      <x:c r="T127" s="16" t="str">
        <x:v>BYh36cb92JQ</x:v>
      </x:c>
      <x:c r="U127" s="17" t="str">
        <x:v>UC Berkeley CS285: Deep Reinforcement Learning — Fall 2023</x:v>
      </x:c>
      <x:c r="V127" s="151" t="n">
        <x:v>1.2</x:v>
      </x:c>
      <x:c r="W127" s="17" t="str">
        <x:v>berkeley-cs285-fall-2023</x:v>
      </x:c>
    </x:row>
    <x:row r="128" ht="42" customHeight="1">
      <x:c r="A128" s="22" t="str">
        <x:v>ST-127</x:v>
      </x:c>
      <x:c r="B128" s="22" t="str">
        <x:v>Course</x:v>
      </x:c>
      <x:c r="C128" s="22" t="str">
        <x:v>Other</x:v>
      </x:c>
      <x:c r="D128" s="17" t="str">
        <x:v>MLOps / AI Product Engineering</x:v>
      </x:c>
      <x:c r="E128" s="17" t="str">
        <x:v>AI Systems / MLOps</x:v>
      </x:c>
      <x:c r="F128" s="23" t="str">
        <x:v>English</x:v>
      </x:c>
      <x:c r="G128" s="17" t="str">
        <x:v>Lecture 05: Deployment (FSDL 2022)</x:v>
      </x:c>
      <x:c r="H128" s="17" t="str">
        <x:v>Full Stack Deep Learning team</x:v>
      </x:c>
      <x:c r="I128" s="17" t="str">
        <x:v>The Full Stack</x:v>
      </x:c>
      <x:c r="J128" s="23" t="str">
        <x:v>Course Lecture</x:v>
      </x:c>
      <x:c r="K128" s="24" t="n">
        <x:v>57</x:v>
      </x:c>
      <x:c r="L128" s="16" t="str">
        <x:v>https://www.youtube.com/watch?v=W3hKjXg7fXM</x:v>
      </x:c>
      <x:c r="M128" s="22" t="str">
        <x:v>YouTube</x:v>
      </x:c>
      <x:c r="N128" s="25" t="n">
        <x:v>6713</x:v>
      </x:c>
      <x:c r="O128" s="23" t="str">
        <x:v>A | Official / Original Creator / Organizer</x:v>
      </x:c>
      <x:c r="P128" s="23" t="str">
        <x:v>Core</x:v>
      </x:c>
      <x:c r="Q128" s="23" t="str">
        <x:v>Verified</x:v>
      </x:c>
      <x:c r="R128" s="26" t="n">
        <x:v>46244</x:v>
      </x:c>
      <x:c r="S128" s="17" t="str">
        <x:v>Matched to the target official channel; public metadata accessible.</x:v>
      </x:c>
      <x:c r="T128" s="16" t="str">
        <x:v>W3hKjXg7fXM</x:v>
      </x:c>
      <x:c r="U128" s="17" t="str">
        <x:v>Full Stack Deep Learning — 2022</x:v>
      </x:c>
      <x:c r="V128" s="151" t="n">
        <x:v>5</x:v>
      </x:c>
      <x:c r="W128" s="17" t="str">
        <x:v>full-stack-deep-learning-2022</x:v>
      </x:c>
    </x:row>
    <x:row r="129" ht="42" customHeight="1">
      <x:c r="A129" s="22" t="str">
        <x:v>ST-128</x:v>
      </x:c>
      <x:c r="B129" s="22" t="str">
        <x:v>Course</x:v>
      </x:c>
      <x:c r="C129" s="22" t="str">
        <x:v>Other</x:v>
      </x:c>
      <x:c r="D129" s="17" t="str">
        <x:v>Deep Learning Foundations</x:v>
      </x:c>
      <x:c r="E129" s="17" t="str">
        <x:v>AI Education</x:v>
      </x:c>
      <x:c r="F129" s="23" t="str">
        <x:v>English</x:v>
      </x:c>
      <x:c r="G129" s="17" t="str">
        <x:v>DL1: 1. Introduction and History of Deep Learning</x:v>
      </x:c>
      <x:c r="H129" s="17" t="str">
        <x:v>Yuki Asano course team</x:v>
      </x:c>
      <x:c r="I129" s="17" t="str">
        <x:v>Yuki Asano</x:v>
      </x:c>
      <x:c r="J129" s="23" t="str">
        <x:v>Specialized Course</x:v>
      </x:c>
      <x:c r="K129" s="24" t="n">
        <x:v>108</x:v>
      </x:c>
      <x:c r="L129" s="16" t="str">
        <x:v>https://www.youtube.com/watch?v=RYMwu7lwmvo</x:v>
      </x:c>
      <x:c r="M129" s="22" t="str">
        <x:v>YouTube</x:v>
      </x:c>
      <x:c r="N129" s="25" t="n">
        <x:v>4418</x:v>
      </x:c>
      <x:c r="O129" s="23" t="str">
        <x:v>A | Official / Original Creator / Organizer</x:v>
      </x:c>
      <x:c r="P129" s="23" t="str">
        <x:v>Core</x:v>
      </x:c>
      <x:c r="Q129" s="23" t="str">
        <x:v>Verified</x:v>
      </x:c>
      <x:c r="R129" s="26" t="n">
        <x:v>46244</x:v>
      </x:c>
      <x:c r="S129" s="17" t="str">
        <x:v>Matched to the target official channel; public metadata accessible.</x:v>
      </x:c>
      <x:c r="T129" s="16" t="str">
        <x:v>RYMwu7lwmvo</x:v>
      </x:c>
      <x:c r="U129" s="17" t="str">
        <x:v>DL1: Deep Learning</x:v>
      </x:c>
      <x:c r="V129" s="151" t="n">
        <x:v>1</x:v>
      </x:c>
      <x:c r="W129" s="17" t="str">
        <x:v>dl1-deep-learning</x:v>
      </x:c>
    </x:row>
    <x:row r="130" ht="42" customHeight="1">
      <x:c r="A130" s="22" t="str">
        <x:v>ST-129</x:v>
      </x:c>
      <x:c r="B130" s="22" t="str">
        <x:v>Course</x:v>
      </x:c>
      <x:c r="C130" s="22" t="str">
        <x:v>Other</x:v>
      </x:c>
      <x:c r="D130" s="17" t="str">
        <x:v>Deep Learning / Representation Learning</x:v>
      </x:c>
      <x:c r="E130" s="17" t="str">
        <x:v>Graph Machine Learning</x:v>
      </x:c>
      <x:c r="F130" s="23" t="str">
        <x:v>English</x:v>
      </x:c>
      <x:c r="G130" s="17" t="str">
        <x:v>Week 13 – Lecture: Graph Convolutional Networks (GCNs)</x:v>
      </x:c>
      <x:c r="H130" s="17" t="str">
        <x:v>Yann LeCun / Alfredo Canziani</x:v>
      </x:c>
      <x:c r="I130" s="17" t="str">
        <x:v>Alfredo Canziani (冷在)</x:v>
      </x:c>
      <x:c r="J130" s="23" t="str">
        <x:v>Course Lecture</x:v>
      </x:c>
      <x:c r="K130" s="24" t="n">
        <x:v>120</x:v>
      </x:c>
      <x:c r="L130" s="16" t="str">
        <x:v>https://www.youtube.com/watch?v=Iiv9R6BjxHM</x:v>
      </x:c>
      <x:c r="M130" s="22" t="str">
        <x:v>YouTube</x:v>
      </x:c>
      <x:c r="N130" s="25" t="n">
        <x:v>62756</x:v>
      </x:c>
      <x:c r="O130" s="23" t="str">
        <x:v>A | Official / Original Creator / Organizer</x:v>
      </x:c>
      <x:c r="P130" s="23" t="str">
        <x:v>Core</x:v>
      </x:c>
      <x:c r="Q130" s="23" t="str">
        <x:v>Verified</x:v>
      </x:c>
      <x:c r="R130" s="26" t="n">
        <x:v>46244</x:v>
      </x:c>
      <x:c r="S130" s="17" t="str">
        <x:v>Matched to the target official channel; public metadata accessible.</x:v>
      </x:c>
      <x:c r="T130" s="16" t="str">
        <x:v>Iiv9R6BjxHM</x:v>
      </x:c>
      <x:c r="U130" s="17" t="str">
        <x:v>NYU Deep Learning — 2020</x:v>
      </x:c>
      <x:c r="V130" s="151" t="n">
        <x:v>13</x:v>
      </x:c>
      <x:c r="W130" s="17" t="str">
        <x:v>nyu-deep-learning-2020</x:v>
      </x:c>
    </x:row>
    <x:row r="131" ht="42" customHeight="1">
      <x:c r="A131" s="22" t="str">
        <x:v>ST-130</x:v>
      </x:c>
      <x:c r="B131" s="22" t="str">
        <x:v>Course</x:v>
      </x:c>
      <x:c r="C131" s="22" t="str">
        <x:v>Other</x:v>
      </x:c>
      <x:c r="D131" s="17" t="str">
        <x:v>Deep Reinforcement Learning</x:v>
      </x:c>
      <x:c r="E131" s="17" t="str">
        <x:v>Reinforcement Learning; AI Education</x:v>
      </x:c>
      <x:c r="F131" s="23" t="str">
        <x:v>English</x:v>
      </x:c>
      <x:c r="G131" s="17" t="str">
        <x:v>CS 285: Lecture 2, Imitation Learning. Part 1</x:v>
      </x:c>
      <x:c r="H131" s="17" t="str">
        <x:v>Sergey Levine / Berkeley RAIL</x:v>
      </x:c>
      <x:c r="I131" s="17" t="str">
        <x:v>RAIL</x:v>
      </x:c>
      <x:c r="J131" s="23" t="str">
        <x:v>Course Lecture</x:v>
      </x:c>
      <x:c r="K131" s="24" t="n">
        <x:v>25</x:v>
      </x:c>
      <x:c r="L131" s="16" t="str">
        <x:v>https://www.youtube.com/watch?v=tbLaFtYpWWU</x:v>
      </x:c>
      <x:c r="M131" s="22" t="str">
        <x:v>YouTube</x:v>
      </x:c>
      <x:c r="N131" s="25" t="n">
        <x:v>32604</x:v>
      </x:c>
      <x:c r="O131" s="23" t="str">
        <x:v>A | Official / Original Creator / Organizer</x:v>
      </x:c>
      <x:c r="P131" s="23" t="str">
        <x:v>Core</x:v>
      </x:c>
      <x:c r="Q131" s="23" t="str">
        <x:v>Verified</x:v>
      </x:c>
      <x:c r="R131" s="26" t="n">
        <x:v>46244</x:v>
      </x:c>
      <x:c r="S131" s="17" t="str">
        <x:v>Matched to the target official channel; public metadata accessible.</x:v>
      </x:c>
      <x:c r="T131" s="16" t="str">
        <x:v>tbLaFtYpWWU</x:v>
      </x:c>
      <x:c r="U131" s="17" t="str">
        <x:v>UC Berkeley CS285: Deep Reinforcement Learning — Fall 2023</x:v>
      </x:c>
      <x:c r="V131" s="151" t="n">
        <x:v>2.1</x:v>
      </x:c>
      <x:c r="W131" s="17" t="str">
        <x:v>berkeley-cs285-fall-2023</x:v>
      </x:c>
    </x:row>
    <x:row r="132" ht="42" customHeight="1">
      <x:c r="A132" s="22" t="str">
        <x:v>ST-131</x:v>
      </x:c>
      <x:c r="B132" s="22" t="str">
        <x:v>Course</x:v>
      </x:c>
      <x:c r="C132" s="22" t="str">
        <x:v>Other</x:v>
      </x:c>
      <x:c r="D132" s="17" t="str">
        <x:v>MLOps / AI Product Engineering</x:v>
      </x:c>
      <x:c r="E132" s="17" t="str">
        <x:v>AI Systems / MLOps</x:v>
      </x:c>
      <x:c r="F132" s="23" t="str">
        <x:v>English</x:v>
      </x:c>
      <x:c r="G132" s="17" t="str">
        <x:v>Lecture 03: Troubleshooting &amp; Testing (FSDL 2022)</x:v>
      </x:c>
      <x:c r="H132" s="17" t="str">
        <x:v>Full Stack Deep Learning team</x:v>
      </x:c>
      <x:c r="I132" s="17" t="str">
        <x:v>The Full Stack</x:v>
      </x:c>
      <x:c r="J132" s="23" t="str">
        <x:v>Course Lecture</x:v>
      </x:c>
      <x:c r="K132" s="24" t="n">
        <x:v>43</x:v>
      </x:c>
      <x:c r="L132" s="16" t="str">
        <x:v>https://www.youtube.com/watch?v=RLemHNAO5Lw</x:v>
      </x:c>
      <x:c r="M132" s="22" t="str">
        <x:v>YouTube</x:v>
      </x:c>
      <x:c r="N132" s="25" t="n">
        <x:v>6174</x:v>
      </x:c>
      <x:c r="O132" s="23" t="str">
        <x:v>A | Official / Original Creator / Organizer</x:v>
      </x:c>
      <x:c r="P132" s="23" t="str">
        <x:v>Core</x:v>
      </x:c>
      <x:c r="Q132" s="23" t="str">
        <x:v>Verified</x:v>
      </x:c>
      <x:c r="R132" s="26" t="n">
        <x:v>46244</x:v>
      </x:c>
      <x:c r="S132" s="17" t="str">
        <x:v>Matched to the target official channel; public metadata accessible.</x:v>
      </x:c>
      <x:c r="T132" s="16" t="str">
        <x:v>RLemHNAO5Lw</x:v>
      </x:c>
      <x:c r="U132" s="17" t="str">
        <x:v>Full Stack Deep Learning — 2022</x:v>
      </x:c>
      <x:c r="V132" s="151" t="n">
        <x:v>3</x:v>
      </x:c>
      <x:c r="W132" s="17" t="str">
        <x:v>full-stack-deep-learning-2022</x:v>
      </x:c>
    </x:row>
    <x:row r="133" ht="42" customHeight="1">
      <x:c r="A133" s="22" t="str">
        <x:v>ST-132</x:v>
      </x:c>
      <x:c r="B133" s="22" t="str">
        <x:v>Course</x:v>
      </x:c>
      <x:c r="C133" s="22" t="str">
        <x:v>Other</x:v>
      </x:c>
      <x:c r="D133" s="17" t="str">
        <x:v>Deep Learning Foundations</x:v>
      </x:c>
      <x:c r="E133" s="17" t="str">
        <x:v>AI Education</x:v>
      </x:c>
      <x:c r="F133" s="23" t="str">
        <x:v>English</x:v>
      </x:c>
      <x:c r="G133" s="17" t="str">
        <x:v>Dive into Deep Learning: Coding Session #1 – Setup &amp; MLP (APAC)</x:v>
      </x:c>
      <x:c r="H133" s="17" t="str">
        <x:v>Aston Zhang 等 / MLT 社区</x:v>
      </x:c>
      <x:c r="I133" s="17" t="str">
        <x:v>MLT Artificial Intelligence</x:v>
      </x:c>
      <x:c r="J133" s="23" t="str">
        <x:v>Hands-on Tutorial</x:v>
      </x:c>
      <x:c r="K133" s="24" t="n">
        <x:v>84</x:v>
      </x:c>
      <x:c r="L133" s="16" t="str">
        <x:v>https://www.youtube.com/watch?v=_pxN-U2qL0I</x:v>
      </x:c>
      <x:c r="M133" s="22" t="str">
        <x:v>YouTube</x:v>
      </x:c>
      <x:c r="N133" s="25" t="n">
        <x:v>3883</x:v>
      </x:c>
      <x:c r="O133" s="23" t="str">
        <x:v>A | Official / Original Creator / Organizer</x:v>
      </x:c>
      <x:c r="P133" s="23" t="str">
        <x:v>Core</x:v>
      </x:c>
      <x:c r="Q133" s="23" t="str">
        <x:v>Verified</x:v>
      </x:c>
      <x:c r="R133" s="26" t="n">
        <x:v>46244</x:v>
      </x:c>
      <x:c r="S133" s="17" t="str">
        <x:v>Matched to the target official channel; public metadata accessible.</x:v>
      </x:c>
      <x:c r="T133" s="16" t="str">
        <x:v>_pxN-U2qL0I</x:v>
      </x:c>
      <x:c r="U133" s="17" t="str">
        <x:v>Dive into Deep Learning: Coding Sessions — 2021</x:v>
      </x:c>
      <x:c r="V133" s="151" t="n">
        <x:v>1</x:v>
      </x:c>
      <x:c r="W133" s="17" t="str">
        <x:v>dive-into-deep-learning-2021</x:v>
      </x:c>
    </x:row>
    <x:row r="134" ht="42" customHeight="1">
      <x:c r="A134" s="22" t="str">
        <x:v>ST-133</x:v>
      </x:c>
      <x:c r="B134" s="22" t="str">
        <x:v>Course</x:v>
      </x:c>
      <x:c r="C134" s="22" t="str">
        <x:v>Other</x:v>
      </x:c>
      <x:c r="D134" s="17" t="str">
        <x:v>MLOps / AI Product Engineering</x:v>
      </x:c>
      <x:c r="E134" s="17" t="str">
        <x:v>AI Systems / MLOps; AI Safety / Alignment / Ethics</x:v>
      </x:c>
      <x:c r="F134" s="23" t="str">
        <x:v>English</x:v>
      </x:c>
      <x:c r="G134" s="17" t="str">
        <x:v>Lecture 09: Ethics (FSDL 2022)</x:v>
      </x:c>
      <x:c r="H134" s="17" t="str">
        <x:v>Full Stack Deep Learning team</x:v>
      </x:c>
      <x:c r="I134" s="17" t="str">
        <x:v>The Full Stack</x:v>
      </x:c>
      <x:c r="J134" s="23" t="str">
        <x:v>Course Lecture</x:v>
      </x:c>
      <x:c r="K134" s="24" t="n">
        <x:v>85</x:v>
      </x:c>
      <x:c r="L134" s="16" t="str">
        <x:v>https://www.youtube.com/watch?v=7FQpbYTqjAA</x:v>
      </x:c>
      <x:c r="M134" s="22" t="str">
        <x:v>YouTube</x:v>
      </x:c>
      <x:c r="N134" s="25" t="n">
        <x:v>2424</x:v>
      </x:c>
      <x:c r="O134" s="23" t="str">
        <x:v>A | Official / Original Creator / Organizer</x:v>
      </x:c>
      <x:c r="P134" s="23" t="str">
        <x:v>Core</x:v>
      </x:c>
      <x:c r="Q134" s="23" t="str">
        <x:v>Verified</x:v>
      </x:c>
      <x:c r="R134" s="26" t="n">
        <x:v>46244</x:v>
      </x:c>
      <x:c r="S134" s="17" t="str">
        <x:v>Matched to the target official channel; public metadata accessible.</x:v>
      </x:c>
      <x:c r="T134" s="16" t="str">
        <x:v>7FQpbYTqjAA</x:v>
      </x:c>
      <x:c r="U134" s="17" t="str">
        <x:v>Full Stack Deep Learning — 2022</x:v>
      </x:c>
      <x:c r="V134" s="151" t="n">
        <x:v>9</x:v>
      </x:c>
      <x:c r="W134" s="17" t="str">
        <x:v>full-stack-deep-learning-2022</x:v>
      </x:c>
    </x:row>
    <x:row r="135" ht="42" customHeight="1">
      <x:c r="A135" s="22" t="str">
        <x:v>ST-134</x:v>
      </x:c>
      <x:c r="B135" s="22" t="str">
        <x:v>Course</x:v>
      </x:c>
      <x:c r="C135" s="22" t="str">
        <x:v>Other</x:v>
      </x:c>
      <x:c r="D135" s="17" t="str">
        <x:v>Deep Learning Foundations</x:v>
      </x:c>
      <x:c r="E135" s="17" t="str">
        <x:v>AI Education</x:v>
      </x:c>
      <x:c r="F135" s="23" t="str">
        <x:v>English</x:v>
      </x:c>
      <x:c r="G135" s="17" t="str">
        <x:v>Dive into Deep Learning: Coding Session #1 – Setup &amp; MLP (Americas/EMEA)</x:v>
      </x:c>
      <x:c r="H135" s="17" t="str">
        <x:v>Aston Zhang 等 / MLT 社区</x:v>
      </x:c>
      <x:c r="I135" s="17" t="str">
        <x:v>MLT Artificial Intelligence</x:v>
      </x:c>
      <x:c r="J135" s="23" t="str">
        <x:v>Hands-on Tutorial</x:v>
      </x:c>
      <x:c r="K135" s="24" t="n">
        <x:v>63</x:v>
      </x:c>
      <x:c r="L135" s="16" t="str">
        <x:v>https://www.youtube.com/watch?v=Bs9EXRNmnK4</x:v>
      </x:c>
      <x:c r="M135" s="22" t="str">
        <x:v>YouTube</x:v>
      </x:c>
      <x:c r="N135" s="25" t="n">
        <x:v>1988</x:v>
      </x:c>
      <x:c r="O135" s="23" t="str">
        <x:v>A | Official / Original Creator / Organizer</x:v>
      </x:c>
      <x:c r="P135" s="23" t="str">
        <x:v>Core</x:v>
      </x:c>
      <x:c r="Q135" s="23" t="str">
        <x:v>Verified</x:v>
      </x:c>
      <x:c r="R135" s="26" t="n">
        <x:v>46244</x:v>
      </x:c>
      <x:c r="S135" s="17" t="str">
        <x:v>Matched to the target official channel; public metadata accessible.</x:v>
      </x:c>
      <x:c r="T135" s="16" t="str">
        <x:v>Bs9EXRNmnK4</x:v>
      </x:c>
      <x:c r="U135" s="17" t="str">
        <x:v>Dive into Deep Learning: Coding Sessions — 2021</x:v>
      </x:c>
      <x:c r="V135" s="151" t="n">
        <x:v>1</x:v>
      </x:c>
      <x:c r="W135" s="17" t="str">
        <x:v>dive-into-deep-learning-2021</x:v>
      </x:c>
    </x:row>
    <x:row r="136" ht="42" customHeight="1">
      <x:c r="A136" s="22" t="str">
        <x:v>ST-135</x:v>
      </x:c>
      <x:c r="B136" s="22" t="str">
        <x:v>Course</x:v>
      </x:c>
      <x:c r="C136" s="22" t="str">
        <x:v>Other</x:v>
      </x:c>
      <x:c r="D136" s="17" t="str">
        <x:v>Deep Learning Foundations</x:v>
      </x:c>
      <x:c r="E136" s="17" t="str">
        <x:v>AI Education</x:v>
      </x:c>
      <x:c r="F136" s="23" t="str">
        <x:v>English</x:v>
      </x:c>
      <x:c r="G136" s="17" t="str">
        <x:v>Dive into Deep Learning: Coding Session #4 Attention Mechanism I (Americas/EMEA)</x:v>
      </x:c>
      <x:c r="H136" s="17" t="str">
        <x:v>Aston Zhang 等 / MLT 社区</x:v>
      </x:c>
      <x:c r="I136" s="17" t="str">
        <x:v>MLT Artificial Intelligence</x:v>
      </x:c>
      <x:c r="J136" s="23" t="str">
        <x:v>Hands-on Tutorial</x:v>
      </x:c>
      <x:c r="K136" s="24" t="n">
        <x:v>100</x:v>
      </x:c>
      <x:c r="L136" s="16" t="str">
        <x:v>https://www.youtube.com/watch?v=baEQGk-CTwk</x:v>
      </x:c>
      <x:c r="M136" s="22" t="str">
        <x:v>YouTube</x:v>
      </x:c>
      <x:c r="N136" s="25" t="n">
        <x:v>2171</x:v>
      </x:c>
      <x:c r="O136" s="23" t="str">
        <x:v>A | Official / Original Creator / Organizer</x:v>
      </x:c>
      <x:c r="P136" s="23" t="str">
        <x:v>Core</x:v>
      </x:c>
      <x:c r="Q136" s="23" t="str">
        <x:v>Verified</x:v>
      </x:c>
      <x:c r="R136" s="26" t="n">
        <x:v>46244</x:v>
      </x:c>
      <x:c r="S136" s="17" t="str">
        <x:v>Matched to the target official channel; public metadata accessible.</x:v>
      </x:c>
      <x:c r="T136" s="16" t="str">
        <x:v>baEQGk-CTwk</x:v>
      </x:c>
      <x:c r="U136" s="17" t="str">
        <x:v>Dive into Deep Learning: Coding Sessions — 2021</x:v>
      </x:c>
      <x:c r="V136" s="151" t="n">
        <x:v>4</x:v>
      </x:c>
      <x:c r="W136" s="17" t="str">
        <x:v>dive-into-deep-learning-2021</x:v>
      </x:c>
    </x:row>
    <x:row r="137" ht="42" customHeight="1">
      <x:c r="A137" s="22" t="str">
        <x:v>ST-136</x:v>
      </x:c>
      <x:c r="B137" s="22" t="str">
        <x:v>Course</x:v>
      </x:c>
      <x:c r="C137" s="22" t="str">
        <x:v>Other</x:v>
      </x:c>
      <x:c r="D137" s="17" t="str">
        <x:v>Neural Network Foundations</x:v>
      </x:c>
      <x:c r="E137" s="17" t="str">
        <x:v>Large Language Models</x:v>
      </x:c>
      <x:c r="F137" s="23" t="str">
        <x:v>English</x:v>
      </x:c>
      <x:c r="G137" s="17" t="str">
        <x:v>Let's build GPT: from scratch, in code, spelled out.</x:v>
      </x:c>
      <x:c r="H137" s="17" t="str">
        <x:v>Andrej Karpathy</x:v>
      </x:c>
      <x:c r="I137" s="17" t="str">
        <x:v>Andrej Karpathy</x:v>
      </x:c>
      <x:c r="J137" s="23" t="str">
        <x:v>Specialized Course</x:v>
      </x:c>
      <x:c r="K137" s="24" t="n">
        <x:v>116</x:v>
      </x:c>
      <x:c r="L137" s="16" t="str">
        <x:v>https://www.youtube.com/watch?v=kCc8FmEb1nY</x:v>
      </x:c>
      <x:c r="M137" s="22" t="str">
        <x:v>YouTube</x:v>
      </x:c>
      <x:c r="N137" s="25" t="n">
        <x:v>7627451</x:v>
      </x:c>
      <x:c r="O137" s="23" t="str">
        <x:v>A | Official / Original Creator / Organizer</x:v>
      </x:c>
      <x:c r="P137" s="23" t="str">
        <x:v>Core</x:v>
      </x:c>
      <x:c r="Q137" s="23" t="str">
        <x:v>Verified</x:v>
      </x:c>
      <x:c r="R137" s="26" t="n">
        <x:v>46244</x:v>
      </x:c>
      <x:c r="S137" s="17" t="str">
        <x:v>Matched to the target official channel; public metadata accessible.</x:v>
      </x:c>
      <x:c r="T137" s="16" t="str">
        <x:v>kCc8FmEb1nY</x:v>
      </x:c>
      <x:c r="U137" s="17" t="str"/>
      <x:c r="V137" s="151"/>
      <x:c r="W137" s="17" t="str"/>
    </x:row>
    <x:row r="138" ht="42" customHeight="1">
      <x:c r="A138" s="22" t="str">
        <x:v>ST-137</x:v>
      </x:c>
      <x:c r="B138" s="22" t="str">
        <x:v>Course</x:v>
      </x:c>
      <x:c r="C138" s="22" t="str">
        <x:v>Other</x:v>
      </x:c>
      <x:c r="D138" s="17" t="str">
        <x:v>Natural Language Processing / Transformers</x:v>
      </x:c>
      <x:c r="E138" s="17" t="str">
        <x:v>Large Language Models; Natural Language Processing; AI Education</x:v>
      </x:c>
      <x:c r="F138" s="23" t="str">
        <x:v>English</x:v>
      </x:c>
      <x:c r="G138" s="17" t="str">
        <x:v>Hugging Face Course Event Day 2</x:v>
      </x:c>
      <x:c r="H138" s="17" t="str">
        <x:v>Hugging Face course team</x:v>
      </x:c>
      <x:c r="I138" s="17" t="str">
        <x:v>Hugging Face</x:v>
      </x:c>
      <x:c r="J138" s="23" t="str">
        <x:v>Course Lecture</x:v>
      </x:c>
      <x:c r="K138" s="24" t="n">
        <x:v>120</x:v>
      </x:c>
      <x:c r="L138" s="16" t="str">
        <x:v>https://www.youtube.com/watch?v=tMwZlbMJggA</x:v>
      </x:c>
      <x:c r="M138" s="22" t="str">
        <x:v>YouTube</x:v>
      </x:c>
      <x:c r="N138" s="25" t="n">
        <x:v>5612</x:v>
      </x:c>
      <x:c r="O138" s="23" t="str">
        <x:v>A | Official / Original Creator / Organizer</x:v>
      </x:c>
      <x:c r="P138" s="23" t="str">
        <x:v>Core</x:v>
      </x:c>
      <x:c r="Q138" s="23" t="str">
        <x:v>Verified</x:v>
      </x:c>
      <x:c r="R138" s="26" t="n">
        <x:v>46244</x:v>
      </x:c>
      <x:c r="S138" s="17" t="str">
        <x:v>Matched to the target official channel; public metadata accessible.</x:v>
      </x:c>
      <x:c r="T138" s="16" t="str">
        <x:v>tMwZlbMJggA</x:v>
      </x:c>
      <x:c r="U138" s="17" t="str"/>
      <x:c r="V138" s="151"/>
      <x:c r="W138" s="17" t="str"/>
    </x:row>
    <x:row r="139" ht="42" customHeight="1">
      <x:c r="A139" s="22" t="str">
        <x:v>ST-138</x:v>
      </x:c>
      <x:c r="B139" s="22" t="str">
        <x:v>Course</x:v>
      </x:c>
      <x:c r="C139" s="22" t="str">
        <x:v>Other</x:v>
      </x:c>
      <x:c r="D139" s="17" t="str">
        <x:v>Deep Learning Foundations</x:v>
      </x:c>
      <x:c r="E139" s="17" t="str">
        <x:v>AI Education</x:v>
      </x:c>
      <x:c r="F139" s="23" t="str">
        <x:v>English</x:v>
      </x:c>
      <x:c r="G139" s="17" t="str">
        <x:v>Dive into Deep Learning: Coding Session#5 Attention Mechanism II (Americas/EMEA)</x:v>
      </x:c>
      <x:c r="H139" s="17" t="str">
        <x:v>Aston Zhang 等 / MLT 社区</x:v>
      </x:c>
      <x:c r="I139" s="17" t="str">
        <x:v>MLT Artificial Intelligence</x:v>
      </x:c>
      <x:c r="J139" s="23" t="str">
        <x:v>Hands-on Tutorial</x:v>
      </x:c>
      <x:c r="K139" s="24" t="n">
        <x:v>91</x:v>
      </x:c>
      <x:c r="L139" s="16" t="str">
        <x:v>https://www.youtube.com/watch?v=rRQcS1O58xk</x:v>
      </x:c>
      <x:c r="M139" s="22" t="str">
        <x:v>YouTube</x:v>
      </x:c>
      <x:c r="N139" s="25" t="n">
        <x:v>955</x:v>
      </x:c>
      <x:c r="O139" s="23" t="str">
        <x:v>A | Official / Original Creator / Organizer</x:v>
      </x:c>
      <x:c r="P139" s="23" t="str">
        <x:v>Core</x:v>
      </x:c>
      <x:c r="Q139" s="23" t="str">
        <x:v>Verified</x:v>
      </x:c>
      <x:c r="R139" s="26" t="n">
        <x:v>46244</x:v>
      </x:c>
      <x:c r="S139" s="17" t="str">
        <x:v>Matched to the target official channel; public metadata accessible.</x:v>
      </x:c>
      <x:c r="T139" s="16" t="str">
        <x:v>rRQcS1O58xk</x:v>
      </x:c>
      <x:c r="U139" s="17" t="str">
        <x:v>Dive into Deep Learning: Coding Sessions — 2021</x:v>
      </x:c>
      <x:c r="V139" s="151" t="n">
        <x:v>5</x:v>
      </x:c>
      <x:c r="W139" s="17" t="str">
        <x:v>dive-into-deep-learning-2021</x:v>
      </x:c>
    </x:row>
    <x:row r="140" ht="42" customHeight="1">
      <x:c r="A140" s="22" t="str">
        <x:v>ST-139</x:v>
      </x:c>
      <x:c r="B140" s="22" t="str">
        <x:v>Course</x:v>
      </x:c>
      <x:c r="C140" s="22" t="str">
        <x:v>Other</x:v>
      </x:c>
      <x:c r="D140" s="17" t="str">
        <x:v>Deep Learning / Speech</x:v>
      </x:c>
      <x:c r="E140" s="17" t="str">
        <x:v>AI Education</x:v>
      </x:c>
      <x:c r="F140" s="23" t="str">
        <x:v>English</x:v>
      </x:c>
      <x:c r="G140" s="17" t="str">
        <x:v>CMU Introduction to Deep Learning 11-785: Lecture 16</x:v>
      </x:c>
      <x:c r="H140" s="17" t="str">
        <x:v>Yuki Asano / UvA course team</x:v>
      </x:c>
      <x:c r="I140" s="17" t="str">
        <x:v>Carnegie Mellon University Deep Learning</x:v>
      </x:c>
      <x:c r="J140" s="23" t="str">
        <x:v>Course Lecture</x:v>
      </x:c>
      <x:c r="K140" s="24" t="n">
        <x:v>84</x:v>
      </x:c>
      <x:c r="L140" s="16" t="str">
        <x:v>https://www.youtube.com/watch?v=1KRcs8XYUWo</x:v>
      </x:c>
      <x:c r="M140" s="22" t="str">
        <x:v>YouTube</x:v>
      </x:c>
      <x:c r="N140" s="25" t="n">
        <x:v>631</x:v>
      </x:c>
      <x:c r="O140" s="23" t="str">
        <x:v>A | Official / Original Creator / Organizer</x:v>
      </x:c>
      <x:c r="P140" s="23" t="str">
        <x:v>Core</x:v>
      </x:c>
      <x:c r="Q140" s="23" t="str">
        <x:v>Verified</x:v>
      </x:c>
      <x:c r="R140" s="26" t="n">
        <x:v>46244</x:v>
      </x:c>
      <x:c r="S140" s="17" t="str">
        <x:v>Matched to the target official channel; public metadata accessible.</x:v>
      </x:c>
      <x:c r="T140" s="16" t="str">
        <x:v>1KRcs8XYUWo</x:v>
      </x:c>
      <x:c r="U140" s="17" t="str">
        <x:v>CMU 11-785: Introduction to Deep Learning — Fall 2025</x:v>
      </x:c>
      <x:c r="V140" s="151" t="n">
        <x:v>16</x:v>
      </x:c>
      <x:c r="W140" s="17" t="str">
        <x:v>cmu-11-785-fall-2025</x:v>
      </x:c>
    </x:row>
    <x:row r="141" ht="42" customHeight="1">
      <x:c r="A141" s="22" t="str">
        <x:v>ST-140</x:v>
      </x:c>
      <x:c r="B141" s="22" t="str">
        <x:v>Course</x:v>
      </x:c>
      <x:c r="C141" s="22" t="str">
        <x:v>Other</x:v>
      </x:c>
      <x:c r="D141" s="17" t="str">
        <x:v>Deep Learning / Speech</x:v>
      </x:c>
      <x:c r="E141" s="17" t="str">
        <x:v>Deep Learning</x:v>
      </x:c>
      <x:c r="F141" s="23" t="str">
        <x:v>English</x:v>
      </x:c>
      <x:c r="G141" s="17" t="str">
        <x:v>11-785 Spring 22 Lecture 1: Introduction</x:v>
      </x:c>
      <x:c r="H141" s="17" t="str">
        <x:v>CMU 11-785 course team</x:v>
      </x:c>
      <x:c r="I141" s="17" t="str">
        <x:v>Carnegie Mellon University Deep Learning</x:v>
      </x:c>
      <x:c r="J141" s="23" t="str">
        <x:v>Course Lecture</x:v>
      </x:c>
      <x:c r="K141" s="24" t="n">
        <x:v>84</x:v>
      </x:c>
      <x:c r="L141" s="16" t="str">
        <x:v>https://www.youtube.com/watch?v=QX8SfTQccUM</x:v>
      </x:c>
      <x:c r="M141" s="22" t="str">
        <x:v>YouTube</x:v>
      </x:c>
      <x:c r="N141" s="25" t="n">
        <x:v>4285</x:v>
      </x:c>
      <x:c r="O141" s="23" t="str">
        <x:v>A | Official / Original Creator / Organizer</x:v>
      </x:c>
      <x:c r="P141" s="23" t="str">
        <x:v>Core</x:v>
      </x:c>
      <x:c r="Q141" s="23" t="str">
        <x:v>Verified</x:v>
      </x:c>
      <x:c r="R141" s="26" t="n">
        <x:v>46244</x:v>
      </x:c>
      <x:c r="S141" s="17" t="str">
        <x:v>Matched to the target official channel; public metadata accessible.</x:v>
      </x:c>
      <x:c r="T141" s="16" t="str">
        <x:v>QX8SfTQccUM</x:v>
      </x:c>
      <x:c r="U141" s="17" t="str"/>
      <x:c r="V141" s="151"/>
      <x:c r="W141" s="17" t="str"/>
    </x:row>
    <x:row r="142" ht="42" customHeight="1">
      <x:c r="A142" s="22" t="str">
        <x:v>ST-141</x:v>
      </x:c>
      <x:c r="B142" s="22" t="str">
        <x:v>Course</x:v>
      </x:c>
      <x:c r="C142" s="22" t="str">
        <x:v>Other</x:v>
      </x:c>
      <x:c r="D142" s="17" t="str">
        <x:v>Natural Language Processing / Transformers</x:v>
      </x:c>
      <x:c r="E142" s="17" t="str">
        <x:v>Large Language Models; Natural Language Processing; AI Education</x:v>
      </x:c>
      <x:c r="F142" s="23" t="str">
        <x:v>English</x:v>
      </x:c>
      <x:c r="G142" s="17" t="str">
        <x:v>Hugging Face Course Workshops: Pretraining Language Models &amp; CodeParrot</x:v>
      </x:c>
      <x:c r="H142" s="17" t="str">
        <x:v>Hugging Face course team</x:v>
      </x:c>
      <x:c r="I142" s="17" t="str">
        <x:v>Hugging Face</x:v>
      </x:c>
      <x:c r="J142" s="23" t="str">
        <x:v>Course Lecture</x:v>
      </x:c>
      <x:c r="K142" s="24" t="n">
        <x:v>58</x:v>
      </x:c>
      <x:c r="L142" s="16" t="str">
        <x:v>https://www.youtube.com/watch?v=ExUR7w6xe94</x:v>
      </x:c>
      <x:c r="M142" s="22" t="str">
        <x:v>YouTube</x:v>
      </x:c>
      <x:c r="N142" s="25" t="n">
        <x:v>4162</x:v>
      </x:c>
      <x:c r="O142" s="23" t="str">
        <x:v>A | Official / Original Creator / Organizer</x:v>
      </x:c>
      <x:c r="P142" s="23" t="str">
        <x:v>Core</x:v>
      </x:c>
      <x:c r="Q142" s="23" t="str">
        <x:v>Verified</x:v>
      </x:c>
      <x:c r="R142" s="26" t="n">
        <x:v>46244</x:v>
      </x:c>
      <x:c r="S142" s="17" t="str">
        <x:v>Matched to the target official channel; public metadata accessible.</x:v>
      </x:c>
      <x:c r="T142" s="16" t="str">
        <x:v>ExUR7w6xe94</x:v>
      </x:c>
      <x:c r="U142" s="17" t="str">
        <x:v>Hugging Face Course Workshops</x:v>
      </x:c>
      <x:c r="V142" s="151" t="n">
        <x:v>20211218</x:v>
      </x:c>
      <x:c r="W142" s="17" t="str">
        <x:v>hugging-face-course-workshops</x:v>
      </x:c>
    </x:row>
    <x:row r="143" ht="42" customHeight="1">
      <x:c r="A143" s="22" t="str">
        <x:v>ST-142</x:v>
      </x:c>
      <x:c r="B143" s="22" t="str">
        <x:v>Course</x:v>
      </x:c>
      <x:c r="C143" s="22" t="str">
        <x:v>Other</x:v>
      </x:c>
      <x:c r="D143" s="17" t="str">
        <x:v>Deep Learning / Speech</x:v>
      </x:c>
      <x:c r="E143" s="17" t="str">
        <x:v>AI Education</x:v>
      </x:c>
      <x:c r="F143" s="23" t="str">
        <x:v>English</x:v>
      </x:c>
      <x:c r="G143" s="17" t="str">
        <x:v>CMU Introduction To Deep Learning 11-785, Fall 2025: Lecture 21</x:v>
      </x:c>
      <x:c r="H143" s="17" t="str">
        <x:v>Yuki Asano / UvA course team</x:v>
      </x:c>
      <x:c r="I143" s="17" t="str">
        <x:v>Carnegie Mellon University Deep Learning</x:v>
      </x:c>
      <x:c r="J143" s="23" t="str">
        <x:v>Course Lecture</x:v>
      </x:c>
      <x:c r="K143" s="24" t="n">
        <x:v>83</x:v>
      </x:c>
      <x:c r="L143" s="16" t="str">
        <x:v>https://www.youtube.com/watch?v=1EoMZNywIR8</x:v>
      </x:c>
      <x:c r="M143" s="22" t="str">
        <x:v>YouTube</x:v>
      </x:c>
      <x:c r="N143" s="25" t="n">
        <x:v>494</x:v>
      </x:c>
      <x:c r="O143" s="23" t="str">
        <x:v>A | Official / Original Creator / Organizer</x:v>
      </x:c>
      <x:c r="P143" s="23" t="str">
        <x:v>Core</x:v>
      </x:c>
      <x:c r="Q143" s="23" t="str">
        <x:v>Verified</x:v>
      </x:c>
      <x:c r="R143" s="26" t="n">
        <x:v>46244</x:v>
      </x:c>
      <x:c r="S143" s="17" t="str">
        <x:v>Matched to the target official channel; public metadata accessible.</x:v>
      </x:c>
      <x:c r="T143" s="16" t="str">
        <x:v>1EoMZNywIR8</x:v>
      </x:c>
      <x:c r="U143" s="17" t="str">
        <x:v>CMU 11-785: Introduction to Deep Learning — Fall 2025</x:v>
      </x:c>
      <x:c r="V143" s="151" t="n">
        <x:v>21</x:v>
      </x:c>
      <x:c r="W143" s="17" t="str">
        <x:v>cmu-11-785-fall-2025</x:v>
      </x:c>
    </x:row>
    <x:row r="144" ht="42" customHeight="1">
      <x:c r="A144" s="22" t="str">
        <x:v>ST-143</x:v>
      </x:c>
      <x:c r="B144" s="22" t="str">
        <x:v>Course</x:v>
      </x:c>
      <x:c r="C144" s="22" t="str">
        <x:v>Other</x:v>
      </x:c>
      <x:c r="D144" s="17" t="str">
        <x:v>Deep Learning Foundations</x:v>
      </x:c>
      <x:c r="E144" s="17" t="str">
        <x:v>Deep Learning Foundations</x:v>
      </x:c>
      <x:c r="F144" s="23" t="str">
        <x:v>English</x:v>
      </x:c>
      <x:c r="G144" s="17" t="str">
        <x:v>DL1: 6. Modern Convolutional Neural Networks</x:v>
      </x:c>
      <x:c r="H144" s="17" t="str">
        <x:v>Yuki Asano course team</x:v>
      </x:c>
      <x:c r="I144" s="17" t="str">
        <x:v>Yuki Asano</x:v>
      </x:c>
      <x:c r="J144" s="23" t="str">
        <x:v>Specialized Course</x:v>
      </x:c>
      <x:c r="K144" s="24" t="n">
        <x:v>115</x:v>
      </x:c>
      <x:c r="L144" s="16" t="str">
        <x:v>https://www.youtube.com/watch?v=Oyp6yy4adWE</x:v>
      </x:c>
      <x:c r="M144" s="22" t="str">
        <x:v>YouTube</x:v>
      </x:c>
      <x:c r="N144" s="25" t="n">
        <x:v>609</x:v>
      </x:c>
      <x:c r="O144" s="23" t="str">
        <x:v>A | Official / Original Creator / Organizer</x:v>
      </x:c>
      <x:c r="P144" s="23" t="str">
        <x:v>Core</x:v>
      </x:c>
      <x:c r="Q144" s="23" t="str">
        <x:v>Verified</x:v>
      </x:c>
      <x:c r="R144" s="26" t="n">
        <x:v>46244</x:v>
      </x:c>
      <x:c r="S144" s="17" t="str">
        <x:v>Matched to the target official channel; public metadata accessible.</x:v>
      </x:c>
      <x:c r="T144" s="16" t="str">
        <x:v>Oyp6yy4adWE</x:v>
      </x:c>
      <x:c r="U144" s="17" t="str">
        <x:v>DL1: Deep Learning</x:v>
      </x:c>
      <x:c r="V144" s="151" t="n">
        <x:v>6</x:v>
      </x:c>
      <x:c r="W144" s="17" t="str">
        <x:v>dl1-deep-learning</x:v>
      </x:c>
    </x:row>
    <x:row r="145" ht="42" customHeight="1">
      <x:c r="A145" s="22" t="str">
        <x:v>ST-144</x:v>
      </x:c>
      <x:c r="B145" s="22" t="str">
        <x:v>Course</x:v>
      </x:c>
      <x:c r="C145" s="22" t="str">
        <x:v>Other</x:v>
      </x:c>
      <x:c r="D145" s="17" t="str">
        <x:v>Neural Network Foundations</x:v>
      </x:c>
      <x:c r="E145" s="17" t="str">
        <x:v>Large Language Models</x:v>
      </x:c>
      <x:c r="F145" s="23" t="str">
        <x:v>English</x:v>
      </x:c>
      <x:c r="G145" s="17" t="str">
        <x:v>Deep Dive into LLMs like ChatGPT</x:v>
      </x:c>
      <x:c r="H145" s="17" t="str">
        <x:v>Andrej Karpathy</x:v>
      </x:c>
      <x:c r="I145" s="17" t="str">
        <x:v>Andrej Karpathy</x:v>
      </x:c>
      <x:c r="J145" s="23" t="str">
        <x:v>Specialized Course</x:v>
      </x:c>
      <x:c r="K145" s="24" t="n">
        <x:v>211</x:v>
      </x:c>
      <x:c r="L145" s="16" t="str">
        <x:v>https://www.youtube.com/watch?v=7xTGNNLPyMI</x:v>
      </x:c>
      <x:c r="M145" s="22" t="str">
        <x:v>YouTube</x:v>
      </x:c>
      <x:c r="N145" s="25" t="n">
        <x:v>8453046</x:v>
      </x:c>
      <x:c r="O145" s="23" t="str">
        <x:v>A | Official / Original Creator / Organizer</x:v>
      </x:c>
      <x:c r="P145" s="23" t="str">
        <x:v>Core</x:v>
      </x:c>
      <x:c r="Q145" s="23" t="str">
        <x:v>Verified</x:v>
      </x:c>
      <x:c r="R145" s="26" t="n">
        <x:v>46244</x:v>
      </x:c>
      <x:c r="S145" s="17" t="str">
        <x:v>Matched to the target official channel; public metadata accessible.</x:v>
      </x:c>
      <x:c r="T145" s="16" t="str">
        <x:v>7xTGNNLPyMI</x:v>
      </x:c>
      <x:c r="U145" s="17" t="str"/>
      <x:c r="V145" s="151"/>
      <x:c r="W145" s="17" t="str"/>
    </x:row>
    <x:row r="146" ht="42" customHeight="1">
      <x:c r="A146" s="22" t="str">
        <x:v>ST-145</x:v>
      </x:c>
      <x:c r="B146" s="22" t="str">
        <x:v>Course</x:v>
      </x:c>
      <x:c r="C146" s="22" t="str">
        <x:v>Other</x:v>
      </x:c>
      <x:c r="D146" s="17" t="str">
        <x:v>Deep Learning Foundations</x:v>
      </x:c>
      <x:c r="E146" s="17" t="str">
        <x:v>AI Education</x:v>
      </x:c>
      <x:c r="F146" s="23" t="str">
        <x:v>English</x:v>
      </x:c>
      <x:c r="G146" s="17" t="str">
        <x:v>DL1: 11. Unsupervised Learning of 3D (Guest Lecture: Prof. Andrea Vedaldi)</x:v>
      </x:c>
      <x:c r="H146" s="17" t="str">
        <x:v>Yuki Asano course team</x:v>
      </x:c>
      <x:c r="I146" s="17" t="str">
        <x:v>Yuki Asano</x:v>
      </x:c>
      <x:c r="J146" s="23" t="str">
        <x:v>Course Lecture</x:v>
      </x:c>
      <x:c r="K146" s="24" t="n">
        <x:v>116</x:v>
      </x:c>
      <x:c r="L146" s="16" t="str">
        <x:v>https://www.youtube.com/watch?v=KKyVlgZWvqc</x:v>
      </x:c>
      <x:c r="M146" s="22" t="str">
        <x:v>YouTube</x:v>
      </x:c>
      <x:c r="N146" s="25" t="n">
        <x:v>345</x:v>
      </x:c>
      <x:c r="O146" s="23" t="str">
        <x:v>A | Official / Original Creator / Organizer</x:v>
      </x:c>
      <x:c r="P146" s="23" t="str">
        <x:v>Core</x:v>
      </x:c>
      <x:c r="Q146" s="23" t="str">
        <x:v>Verified</x:v>
      </x:c>
      <x:c r="R146" s="26" t="n">
        <x:v>46244</x:v>
      </x:c>
      <x:c r="S146" s="17" t="str">
        <x:v>Matched to the target official channel; public metadata accessible.</x:v>
      </x:c>
      <x:c r="T146" s="16" t="str">
        <x:v>KKyVlgZWvqc</x:v>
      </x:c>
      <x:c r="U146" s="17" t="str">
        <x:v>DL1: Deep Learning</x:v>
      </x:c>
      <x:c r="V146" s="151" t="n">
        <x:v>11</x:v>
      </x:c>
      <x:c r="W146" s="17" t="str">
        <x:v>dl1-deep-learning</x:v>
      </x:c>
    </x:row>
    <x:row r="147" ht="42" customHeight="1">
      <x:c r="A147" s="22" t="str">
        <x:v>ST-146</x:v>
      </x:c>
      <x:c r="B147" s="22" t="str">
        <x:v>Course</x:v>
      </x:c>
      <x:c r="C147" s="22" t="str">
        <x:v>Other</x:v>
      </x:c>
      <x:c r="D147" s="17" t="str">
        <x:v>Natural Language Processing / Transformers</x:v>
      </x:c>
      <x:c r="E147" s="17" t="str">
        <x:v>Large Language Models; Natural Language Processing; AI Education</x:v>
      </x:c>
      <x:c r="F147" s="23" t="str">
        <x:v>English</x:v>
      </x:c>
      <x:c r="G147" s="17" t="str">
        <x:v>Hugging Face Course Workshops: Question Answering</x:v>
      </x:c>
      <x:c r="H147" s="17" t="str">
        <x:v>Hugging Face course team</x:v>
      </x:c>
      <x:c r="I147" s="17" t="str">
        <x:v>Hugging Face</x:v>
      </x:c>
      <x:c r="J147" s="23" t="str">
        <x:v>Course Lecture</x:v>
      </x:c>
      <x:c r="K147" s="24" t="n">
        <x:v>56</x:v>
      </x:c>
      <x:c r="L147" s="16" t="str">
        <x:v>https://www.youtube.com/watch?v=Ihgk8kGLpIE</x:v>
      </x:c>
      <x:c r="M147" s="22" t="str">
        <x:v>YouTube</x:v>
      </x:c>
      <x:c r="N147" s="25" t="n">
        <x:v>15786</x:v>
      </x:c>
      <x:c r="O147" s="23" t="str">
        <x:v>A | Official / Original Creator / Organizer</x:v>
      </x:c>
      <x:c r="P147" s="23" t="str">
        <x:v>Core</x:v>
      </x:c>
      <x:c r="Q147" s="23" t="str">
        <x:v>Verified</x:v>
      </x:c>
      <x:c r="R147" s="26" t="n">
        <x:v>46244</x:v>
      </x:c>
      <x:c r="S147" s="17" t="str">
        <x:v>Matched to the target official channel; public metadata accessible.</x:v>
      </x:c>
      <x:c r="T147" s="16" t="str">
        <x:v>Ihgk8kGLpIE</x:v>
      </x:c>
      <x:c r="U147" s="17" t="str">
        <x:v>Hugging Face Course Workshops</x:v>
      </x:c>
      <x:c r="V147" s="151" t="n">
        <x:v>20211211</x:v>
      </x:c>
      <x:c r="W147" s="17" t="str">
        <x:v>hugging-face-course-workshops</x:v>
      </x:c>
    </x:row>
    <x:row r="148" ht="42" customHeight="1">
      <x:c r="A148" s="22" t="str">
        <x:v>ST-147</x:v>
      </x:c>
      <x:c r="B148" s="22" t="str">
        <x:v>Course</x:v>
      </x:c>
      <x:c r="C148" s="22" t="str">
        <x:v>Other</x:v>
      </x:c>
      <x:c r="D148" s="17" t="str">
        <x:v>Neural Network Foundations</x:v>
      </x:c>
      <x:c r="E148" s="17" t="str">
        <x:v>Large Language Models</x:v>
      </x:c>
      <x:c r="F148" s="23" t="str">
        <x:v>English</x:v>
      </x:c>
      <x:c r="G148" s="17" t="str">
        <x:v>[1hr Talk] Intro to Large Language Models</x:v>
      </x:c>
      <x:c r="H148" s="17" t="str">
        <x:v>Andrej Karpathy</x:v>
      </x:c>
      <x:c r="I148" s="17" t="str">
        <x:v>Andrej Karpathy</x:v>
      </x:c>
      <x:c r="J148" s="23" t="str">
        <x:v>Specialized Course</x:v>
      </x:c>
      <x:c r="K148" s="24" t="n">
        <x:v>60</x:v>
      </x:c>
      <x:c r="L148" s="16" t="str">
        <x:v>https://www.youtube.com/watch?v=zjkBMFhNj_g</x:v>
      </x:c>
      <x:c r="M148" s="22" t="str">
        <x:v>YouTube</x:v>
      </x:c>
      <x:c r="N148" s="25" t="n">
        <x:v>3958658</x:v>
      </x:c>
      <x:c r="O148" s="23" t="str">
        <x:v>A | Official / Original Creator / Organizer</x:v>
      </x:c>
      <x:c r="P148" s="23" t="str">
        <x:v>Core</x:v>
      </x:c>
      <x:c r="Q148" s="23" t="str">
        <x:v>Verified</x:v>
      </x:c>
      <x:c r="R148" s="26" t="n">
        <x:v>46244</x:v>
      </x:c>
      <x:c r="S148" s="17" t="str">
        <x:v>Matched to the target official channel; public metadata accessible.</x:v>
      </x:c>
      <x:c r="T148" s="16" t="str">
        <x:v>zjkBMFhNj_g</x:v>
      </x:c>
      <x:c r="U148" s="17" t="str"/>
      <x:c r="V148" s="151"/>
      <x:c r="W148" s="17" t="str"/>
    </x:row>
    <x:row r="149" ht="42" customHeight="1">
      <x:c r="A149" s="22" t="str">
        <x:v>ST-148</x:v>
      </x:c>
      <x:c r="B149" s="22" t="str">
        <x:v>Course</x:v>
      </x:c>
      <x:c r="C149" s="22" t="str">
        <x:v>Other</x:v>
      </x:c>
      <x:c r="D149" s="17" t="str">
        <x:v>Deep Learning Foundations</x:v>
      </x:c>
      <x:c r="E149" s="17" t="str">
        <x:v>Deep Learning Foundations</x:v>
      </x:c>
      <x:c r="F149" s="23" t="str">
        <x:v>English</x:v>
      </x:c>
      <x:c r="G149" s="17" t="str">
        <x:v>DL1: 5. Convolutional Neural Networks</x:v>
      </x:c>
      <x:c r="H149" s="17" t="str">
        <x:v>Yuki Asano course team</x:v>
      </x:c>
      <x:c r="I149" s="17" t="str">
        <x:v>Yuki Asano</x:v>
      </x:c>
      <x:c r="J149" s="23" t="str">
        <x:v>Specialized Course</x:v>
      </x:c>
      <x:c r="K149" s="24" t="n">
        <x:v>115</x:v>
      </x:c>
      <x:c r="L149" s="16" t="str">
        <x:v>https://www.youtube.com/watch?v=s85lkNvIJo8</x:v>
      </x:c>
      <x:c r="M149" s="22" t="str">
        <x:v>YouTube</x:v>
      </x:c>
      <x:c r="N149" s="25" t="n">
        <x:v>992</x:v>
      </x:c>
      <x:c r="O149" s="23" t="str">
        <x:v>A | Official / Original Creator / Organizer</x:v>
      </x:c>
      <x:c r="P149" s="23" t="str">
        <x:v>Core</x:v>
      </x:c>
      <x:c r="Q149" s="23" t="str">
        <x:v>Verified</x:v>
      </x:c>
      <x:c r="R149" s="26" t="n">
        <x:v>46244</x:v>
      </x:c>
      <x:c r="S149" s="17" t="str">
        <x:v>Matched to the target official channel; public metadata accessible.</x:v>
      </x:c>
      <x:c r="T149" s="16" t="str">
        <x:v>s85lkNvIJo8</x:v>
      </x:c>
      <x:c r="U149" s="17" t="str">
        <x:v>DL1: Deep Learning</x:v>
      </x:c>
      <x:c r="V149" s="151" t="n">
        <x:v>5</x:v>
      </x:c>
      <x:c r="W149" s="17" t="str">
        <x:v>dl1-deep-learning</x:v>
      </x:c>
    </x:row>
    <x:row r="150" ht="42" customHeight="1">
      <x:c r="A150" s="22" t="str">
        <x:v>ST-149</x:v>
      </x:c>
      <x:c r="B150" s="22" t="str">
        <x:v>Course</x:v>
      </x:c>
      <x:c r="C150" s="22" t="str">
        <x:v>Other</x:v>
      </x:c>
      <x:c r="D150" s="17" t="str">
        <x:v>Neural Network Foundations</x:v>
      </x:c>
      <x:c r="E150" s="17" t="str">
        <x:v>Large Language Models</x:v>
      </x:c>
      <x:c r="F150" s="23" t="str">
        <x:v>English</x:v>
      </x:c>
      <x:c r="G150" s="17" t="str">
        <x:v>The spelled-out intro to language modeling: building makemore</x:v>
      </x:c>
      <x:c r="H150" s="17" t="str">
        <x:v>Andrej Karpathy</x:v>
      </x:c>
      <x:c r="I150" s="17" t="str">
        <x:v>Andrej Karpathy</x:v>
      </x:c>
      <x:c r="J150" s="23" t="str">
        <x:v>Specialized Course</x:v>
      </x:c>
      <x:c r="K150" s="24" t="n">
        <x:v>118</x:v>
      </x:c>
      <x:c r="L150" s="16" t="str">
        <x:v>https://www.youtube.com/watch?v=PaCmpygFfXo</x:v>
      </x:c>
      <x:c r="M150" s="22" t="str">
        <x:v>YouTube</x:v>
      </x:c>
      <x:c r="N150" s="25" t="n">
        <x:v>1234566</x:v>
      </x:c>
      <x:c r="O150" s="23" t="str">
        <x:v>A | Official / Original Creator / Organizer</x:v>
      </x:c>
      <x:c r="P150" s="23" t="str">
        <x:v>Core</x:v>
      </x:c>
      <x:c r="Q150" s="23" t="str">
        <x:v>Verified</x:v>
      </x:c>
      <x:c r="R150" s="26" t="n">
        <x:v>46244</x:v>
      </x:c>
      <x:c r="S150" s="17" t="str">
        <x:v>Matched to the target official channel; public metadata accessible.</x:v>
      </x:c>
      <x:c r="T150" s="16" t="str">
        <x:v>PaCmpygFfXo</x:v>
      </x:c>
      <x:c r="U150" s="17" t="str"/>
      <x:c r="V150" s="151"/>
      <x:c r="W150" s="17" t="str"/>
    </x:row>
    <x:row r="151" ht="42" customHeight="1">
      <x:c r="A151" s="22" t="str">
        <x:v>ST-150</x:v>
      </x:c>
      <x:c r="B151" s="22" t="str">
        <x:v>Course</x:v>
      </x:c>
      <x:c r="C151" s="22" t="str">
        <x:v>Other</x:v>
      </x:c>
      <x:c r="D151" s="17" t="str">
        <x:v>Natural Language Processing / Transformers</x:v>
      </x:c>
      <x:c r="E151" s="17" t="str">
        <x:v>Large Language Models; Natural Language Processing; AI Education</x:v>
      </x:c>
      <x:c r="F151" s="23" t="str">
        <x:v>English</x:v>
      </x:c>
      <x:c r="G151" s="17" t="str">
        <x:v>[Webinar] How to add machine learning capabilities with just a few lines of code</x:v>
      </x:c>
      <x:c r="H151" s="17" t="str">
        <x:v>Hugging Face course team</x:v>
      </x:c>
      <x:c r="I151" s="17" t="str">
        <x:v>Hugging Face</x:v>
      </x:c>
      <x:c r="J151" s="23" t="str">
        <x:v>Specialized Course</x:v>
      </x:c>
      <x:c r="K151" s="24" t="n">
        <x:v>37</x:v>
      </x:c>
      <x:c r="L151" s="16" t="str">
        <x:v>https://www.youtube.com/watch?v=p055U0dnEos</x:v>
      </x:c>
      <x:c r="M151" s="22" t="str">
        <x:v>YouTube</x:v>
      </x:c>
      <x:c r="N151" s="25" t="n">
        <x:v>892</x:v>
      </x:c>
      <x:c r="O151" s="23" t="str">
        <x:v>A | Official / Original Creator / Organizer</x:v>
      </x:c>
      <x:c r="P151" s="23" t="str">
        <x:v>Core</x:v>
      </x:c>
      <x:c r="Q151" s="23" t="str">
        <x:v>Verified</x:v>
      </x:c>
      <x:c r="R151" s="26" t="n">
        <x:v>46244</x:v>
      </x:c>
      <x:c r="S151" s="17" t="str">
        <x:v>Matched to the target official channel; public metadata accessible.</x:v>
      </x:c>
      <x:c r="T151" s="16" t="str">
        <x:v>p055U0dnEos</x:v>
      </x:c>
      <x:c r="U151" s="17" t="str"/>
      <x:c r="V151" s="151"/>
      <x:c r="W151" s="17" t="str"/>
    </x:row>
    <x:row r="152" ht="42" customHeight="1">
      <x:c r="A152" s="22" t="str">
        <x:v>ST-151</x:v>
      </x:c>
      <x:c r="B152" s="22" t="str">
        <x:v>Talk</x:v>
      </x:c>
      <x:c r="C152" s="22" t="str">
        <x:v>Other</x:v>
      </x:c>
      <x:c r="D152" s="17" t="str">
        <x:v>AI Systems / Accelerated Computing</x:v>
      </x:c>
      <x:c r="E152" s="17" t="str">
        <x:v>AI Systems / MLOps</x:v>
      </x:c>
      <x:c r="F152" s="23" t="str">
        <x:v>English</x:v>
      </x:c>
      <x:c r="G152" s="17" t="str">
        <x:v>GTC March 2024 Keynote with NVIDIA CEO Jensen Huang</x:v>
      </x:c>
      <x:c r="H152" s="17" t="str">
        <x:v>NVIDIA CEO Jensen Huang</x:v>
      </x:c>
      <x:c r="I152" s="17" t="str">
        <x:v>NVIDIA</x:v>
      </x:c>
      <x:c r="J152" s="23" t="str">
        <x:v>Conference Keynote</x:v>
      </x:c>
      <x:c r="K152" s="24" t="n">
        <x:v>123</x:v>
      </x:c>
      <x:c r="L152" s="16" t="str">
        <x:v>https://www.youtube.com/watch?v=Y2F8yisiS6E</x:v>
      </x:c>
      <x:c r="M152" s="22" t="str">
        <x:v>YouTube</x:v>
      </x:c>
      <x:c r="N152" s="25" t="n">
        <x:v>27386722</x:v>
      </x:c>
      <x:c r="O152" s="23" t="str">
        <x:v>A | Official / Original Creator / Organizer</x:v>
      </x:c>
      <x:c r="P152" s="23" t="str">
        <x:v>Core</x:v>
      </x:c>
      <x:c r="Q152" s="23" t="str">
        <x:v>Verified</x:v>
      </x:c>
      <x:c r="R152" s="26" t="n">
        <x:v>46244</x:v>
      </x:c>
      <x:c r="S152" s="17" t="str">
        <x:v>Matched to the target official channel; public metadata accessible.</x:v>
      </x:c>
      <x:c r="T152" s="16" t="str">
        <x:v>Y2F8yisiS6E</x:v>
      </x:c>
      <x:c r="U152" s="17" t="str"/>
      <x:c r="V152" s="151"/>
      <x:c r="W152" s="17" t="str"/>
    </x:row>
    <x:row r="153" ht="42" customHeight="1">
      <x:c r="A153" s="22" t="str">
        <x:v>ST-152</x:v>
      </x:c>
      <x:c r="B153" s="22" t="str">
        <x:v>Talk</x:v>
      </x:c>
      <x:c r="C153" s="22" t="str">
        <x:v>Other</x:v>
      </x:c>
      <x:c r="D153" s="17" t="str">
        <x:v>AI Systems / Accelerated Computing</x:v>
      </x:c>
      <x:c r="E153" s="17" t="str">
        <x:v>AI Systems / MLOps</x:v>
      </x:c>
      <x:c r="F153" s="23" t="str">
        <x:v>English</x:v>
      </x:c>
      <x:c r="G153" s="17" t="str">
        <x:v>NVIDIA CEO Jensen Huang Keynote at CES 2025</x:v>
      </x:c>
      <x:c r="H153" s="17" t="str">
        <x:v>To be added</x:v>
      </x:c>
      <x:c r="I153" s="17" t="str">
        <x:v>NVIDIA</x:v>
      </x:c>
      <x:c r="J153" s="23" t="str">
        <x:v>Conference Keynote</x:v>
      </x:c>
      <x:c r="K153" s="24" t="n">
        <x:v>92</x:v>
      </x:c>
      <x:c r="L153" s="16" t="str">
        <x:v>https://www.youtube.com/watch?v=k82RwXqZHY8</x:v>
      </x:c>
      <x:c r="M153" s="22" t="str">
        <x:v>YouTube</x:v>
      </x:c>
      <x:c r="N153" s="25" t="n">
        <x:v>8471399</x:v>
      </x:c>
      <x:c r="O153" s="23" t="str">
        <x:v>A | Official / Original Creator / Organizer</x:v>
      </x:c>
      <x:c r="P153" s="23" t="str">
        <x:v>Core</x:v>
      </x:c>
      <x:c r="Q153" s="23" t="str">
        <x:v>Verified</x:v>
      </x:c>
      <x:c r="R153" s="26" t="n">
        <x:v>46244</x:v>
      </x:c>
      <x:c r="S153" s="17" t="str">
        <x:v>Matched to the target official channel; public metadata accessible.</x:v>
      </x:c>
      <x:c r="T153" s="16" t="str">
        <x:v>k82RwXqZHY8</x:v>
      </x:c>
      <x:c r="U153" s="17" t="str"/>
      <x:c r="V153" s="151"/>
      <x:c r="W153" s="17" t="str"/>
    </x:row>
    <x:row r="154" ht="42" customHeight="1">
      <x:c r="A154" s="22" t="str">
        <x:v>ST-153</x:v>
      </x:c>
      <x:c r="B154" s="22" t="str">
        <x:v>Talk</x:v>
      </x:c>
      <x:c r="C154" s="22" t="str">
        <x:v>Other</x:v>
      </x:c>
      <x:c r="D154" s="17" t="str">
        <x:v>AI Systems / Accelerated Computing</x:v>
      </x:c>
      <x:c r="E154" s="17" t="str">
        <x:v>Graph Machine Learning; AI Systems / MLOps</x:v>
      </x:c>
      <x:c r="F154" s="23" t="str">
        <x:v>English</x:v>
      </x:c>
      <x:c r="G154" s="17" t="str">
        <x:v>NVIDIA Keynote Live at SIGGRAPH 2026</x:v>
      </x:c>
      <x:c r="H154" s="17" t="str">
        <x:v>To be added</x:v>
      </x:c>
      <x:c r="I154" s="17" t="str">
        <x:v>NVIDIA</x:v>
      </x:c>
      <x:c r="J154" s="23" t="str">
        <x:v>Conference Keynote</x:v>
      </x:c>
      <x:c r="K154" s="24" t="n">
        <x:v>60</x:v>
      </x:c>
      <x:c r="L154" s="16" t="str">
        <x:v>https://www.youtube.com/watch?v=vXDetI2TUWw</x:v>
      </x:c>
      <x:c r="M154" s="22" t="str">
        <x:v>YouTube</x:v>
      </x:c>
      <x:c r="N154" s="25" t="n">
        <x:v>7396676</x:v>
      </x:c>
      <x:c r="O154" s="23" t="str">
        <x:v>A | Official / Original Creator / Organizer</x:v>
      </x:c>
      <x:c r="P154" s="23" t="str">
        <x:v>Core</x:v>
      </x:c>
      <x:c r="Q154" s="23" t="str">
        <x:v>Verified</x:v>
      </x:c>
      <x:c r="R154" s="26" t="n">
        <x:v>46244</x:v>
      </x:c>
      <x:c r="S154" s="17" t="str">
        <x:v>Matched to the target official channel; public metadata accessible.</x:v>
      </x:c>
      <x:c r="T154" s="16" t="str">
        <x:v>vXDetI2TUWw</x:v>
      </x:c>
      <x:c r="U154" s="17" t="str"/>
      <x:c r="V154" s="151"/>
      <x:c r="W154" s="17" t="str"/>
    </x:row>
    <x:row r="155" ht="42" customHeight="1">
      <x:c r="A155" s="22" t="str">
        <x:v>ST-154</x:v>
      </x:c>
      <x:c r="B155" s="22" t="str">
        <x:v>Talk</x:v>
      </x:c>
      <x:c r="C155" s="22" t="str">
        <x:v>Other</x:v>
      </x:c>
      <x:c r="D155" s="17" t="str">
        <x:v>AI Systems / Accelerated Computing</x:v>
      </x:c>
      <x:c r="E155" s="17" t="str">
        <x:v>AI Systems / MLOps</x:v>
      </x:c>
      <x:c r="F155" s="23" t="str">
        <x:v>English</x:v>
      </x:c>
      <x:c r="G155" s="17" t="str">
        <x:v>NVIDIA CEO Jensen Huang Live GTC Paris Keynote at VivaTech 2025</x:v>
      </x:c>
      <x:c r="H155" s="17" t="str">
        <x:v>To be added</x:v>
      </x:c>
      <x:c r="I155" s="17" t="str">
        <x:v>NVIDIA</x:v>
      </x:c>
      <x:c r="J155" s="23" t="str">
        <x:v>Conference Keynote</x:v>
      </x:c>
      <x:c r="K155" s="24" t="n">
        <x:v>97</x:v>
      </x:c>
      <x:c r="L155" s="16" t="str">
        <x:v>https://www.youtube.com/watch?v=X9cHONwKkn4</x:v>
      </x:c>
      <x:c r="M155" s="22" t="str">
        <x:v>YouTube</x:v>
      </x:c>
      <x:c r="N155" s="25" t="n">
        <x:v>7229826</x:v>
      </x:c>
      <x:c r="O155" s="23" t="str">
        <x:v>A | Official / Original Creator / Organizer</x:v>
      </x:c>
      <x:c r="P155" s="23" t="str">
        <x:v>Core</x:v>
      </x:c>
      <x:c r="Q155" s="23" t="str">
        <x:v>Verified</x:v>
      </x:c>
      <x:c r="R155" s="26" t="n">
        <x:v>46244</x:v>
      </x:c>
      <x:c r="S155" s="17" t="str">
        <x:v>Matched to the target official channel; public metadata accessible.</x:v>
      </x:c>
      <x:c r="T155" s="16" t="str">
        <x:v>X9cHONwKkn4</x:v>
      </x:c>
      <x:c r="U155" s="17" t="str"/>
      <x:c r="V155" s="151"/>
      <x:c r="W155" s="17" t="str"/>
    </x:row>
    <x:row r="156" ht="42" customHeight="1">
      <x:c r="A156" s="22" t="str">
        <x:v>ST-155</x:v>
      </x:c>
      <x:c r="B156" s="22" t="str">
        <x:v>Talk</x:v>
      </x:c>
      <x:c r="C156" s="22" t="str">
        <x:v>Other</x:v>
      </x:c>
      <x:c r="D156" s="17" t="str">
        <x:v>AI Systems / Accelerated Computing</x:v>
      </x:c>
      <x:c r="E156" s="17" t="str">
        <x:v>AI Systems / MLOps</x:v>
      </x:c>
      <x:c r="F156" s="23" t="str">
        <x:v>English</x:v>
      </x:c>
      <x:c r="G156" s="17" t="str">
        <x:v>NVIDIA Executive Keynote for Enterprise AI at COMPUTEX 2021</x:v>
      </x:c>
      <x:c r="H156" s="17" t="str">
        <x:v>To be added</x:v>
      </x:c>
      <x:c r="I156" s="17" t="str">
        <x:v>NVIDIA</x:v>
      </x:c>
      <x:c r="J156" s="23" t="str">
        <x:v>Conference Keynote</x:v>
      </x:c>
      <x:c r="K156" s="24" t="n">
        <x:v>27</x:v>
      </x:c>
      <x:c r="L156" s="16" t="str">
        <x:v>https://www.youtube.com/watch?v=Lp4eyWKstBs</x:v>
      </x:c>
      <x:c r="M156" s="22" t="str">
        <x:v>YouTube</x:v>
      </x:c>
      <x:c r="N156" s="25" t="n">
        <x:v>846652</x:v>
      </x:c>
      <x:c r="O156" s="23" t="str">
        <x:v>A | Official / Original Creator / Organizer</x:v>
      </x:c>
      <x:c r="P156" s="23" t="str">
        <x:v>Core</x:v>
      </x:c>
      <x:c r="Q156" s="23" t="str">
        <x:v>Verified</x:v>
      </x:c>
      <x:c r="R156" s="26" t="n">
        <x:v>46244</x:v>
      </x:c>
      <x:c r="S156" s="17" t="str">
        <x:v>Matched to the target official channel; public metadata accessible.</x:v>
      </x:c>
      <x:c r="T156" s="16" t="str">
        <x:v>Lp4eyWKstBs</x:v>
      </x:c>
      <x:c r="U156" s="17" t="str"/>
      <x:c r="V156" s="151"/>
      <x:c r="W156" s="17" t="str"/>
    </x:row>
    <x:row r="157" ht="42" customHeight="1">
      <x:c r="A157" s="22" t="str">
        <x:v>ST-156</x:v>
      </x:c>
      <x:c r="B157" s="22" t="str">
        <x:v>Talk</x:v>
      </x:c>
      <x:c r="C157" s="22" t="str">
        <x:v>Robotics</x:v>
      </x:c>
      <x:c r="D157" s="17" t="str">
        <x:v>Robotics / Embodied AI</x:v>
      </x:c>
      <x:c r="E157" s="17" t="str">
        <x:v>Robotics / Embodied AI</x:v>
      </x:c>
      <x:c r="F157" s="23" t="str">
        <x:v>English</x:v>
      </x:c>
      <x:c r="G157" s="17" t="str">
        <x:v>Stanford Robotics Seminar ENGR319 | Winter 2025 | Embodied Intelligence</x:v>
      </x:c>
      <x:c r="H157" s="17" t="str">
        <x:v>To be added</x:v>
      </x:c>
      <x:c r="I157" s="17" t="str">
        <x:v>Stanford Online</x:v>
      </x:c>
      <x:c r="J157" s="23" t="str">
        <x:v>Research Seminar</x:v>
      </x:c>
      <x:c r="K157" s="24" t="n">
        <x:v>67</x:v>
      </x:c>
      <x:c r="L157" s="16" t="str">
        <x:v>https://www.youtube.com/watch?v=wfJpKjMwXpg</x:v>
      </x:c>
      <x:c r="M157" s="22" t="str">
        <x:v>YouTube</x:v>
      </x:c>
      <x:c r="N157" s="25" t="n">
        <x:v>29503</x:v>
      </x:c>
      <x:c r="O157" s="23" t="str">
        <x:v>A | Official / Original Creator / Organizer</x:v>
      </x:c>
      <x:c r="P157" s="23" t="str">
        <x:v>Core</x:v>
      </x:c>
      <x:c r="Q157" s="23" t="str">
        <x:v>Verified</x:v>
      </x:c>
      <x:c r="R157" s="26" t="n">
        <x:v>46244</x:v>
      </x:c>
      <x:c r="S157" s="17" t="str">
        <x:v>Matched to the target official channel; public metadata accessible.</x:v>
      </x:c>
      <x:c r="T157" s="16" t="str">
        <x:v>wfJpKjMwXpg</x:v>
      </x:c>
      <x:c r="U157" s="17" t="str"/>
      <x:c r="V157" s="151"/>
      <x:c r="W157" s="17" t="str"/>
    </x:row>
    <x:row r="158" ht="42" customHeight="1">
      <x:c r="A158" s="22" t="str">
        <x:v>ST-157</x:v>
      </x:c>
      <x:c r="B158" s="22" t="str">
        <x:v>Talk</x:v>
      </x:c>
      <x:c r="C158" s="22" t="str">
        <x:v>Other</x:v>
      </x:c>
      <x:c r="D158" s="17" t="str">
        <x:v>AI Research Frontiers</x:v>
      </x:c>
      <x:c r="E158" s="17" t="str">
        <x:v>AI Education</x:v>
      </x:c>
      <x:c r="F158" s="23" t="str">
        <x:v>English</x:v>
      </x:c>
      <x:c r="G158" s="17" t="str">
        <x:v>Keynote Talk: Model Based Machine Learning</x:v>
      </x:c>
      <x:c r="H158" s="17" t="str">
        <x:v>To be added</x:v>
      </x:c>
      <x:c r="I158" s="17" t="str">
        <x:v>Microsoft Research</x:v>
      </x:c>
      <x:c r="J158" s="23" t="str">
        <x:v>Conference Keynote</x:v>
      </x:c>
      <x:c r="K158" s="24" t="n">
        <x:v>68</x:v>
      </x:c>
      <x:c r="L158" s="16" t="str">
        <x:v>https://www.youtube.com/watch?v=8a7wBLg5Q8U</x:v>
      </x:c>
      <x:c r="M158" s="22" t="str">
        <x:v>YouTube</x:v>
      </x:c>
      <x:c r="N158" s="25" t="n">
        <x:v>17413</x:v>
      </x:c>
      <x:c r="O158" s="23" t="str">
        <x:v>A | Official / Original Creator / Organizer</x:v>
      </x:c>
      <x:c r="P158" s="23" t="str">
        <x:v>Core</x:v>
      </x:c>
      <x:c r="Q158" s="23" t="str">
        <x:v>Verified</x:v>
      </x:c>
      <x:c r="R158" s="26" t="n">
        <x:v>46244</x:v>
      </x:c>
      <x:c r="S158" s="17" t="str">
        <x:v>Matched to the target official channel; public metadata accessible.</x:v>
      </x:c>
      <x:c r="T158" s="16" t="str">
        <x:v>8a7wBLg5Q8U</x:v>
      </x:c>
      <x:c r="U158" s="17" t="str"/>
      <x:c r="V158" s="151"/>
      <x:c r="W158" s="17" t="str"/>
    </x:row>
    <x:row r="159" ht="42" customHeight="1">
      <x:c r="A159" s="22" t="str">
        <x:v>ST-158</x:v>
      </x:c>
      <x:c r="B159" s="22" t="str">
        <x:v>Talk</x:v>
      </x:c>
      <x:c r="C159" s="22" t="str">
        <x:v>Other</x:v>
      </x:c>
      <x:c r="D159" s="17" t="str">
        <x:v>Graph Machine Learning</x:v>
      </x:c>
      <x:c r="E159" s="17" t="str">
        <x:v>Graph Machine Learning; AI Education</x:v>
      </x:c>
      <x:c r="F159" s="23" t="str">
        <x:v>English</x:v>
      </x:c>
      <x:c r="G159" s="17" t="str">
        <x:v>Stanford CS224W: Machine Learning with Graphs | 2021 | Lecture 7.2 - A Single Layer of a GNN</x:v>
      </x:c>
      <x:c r="H159" s="17" t="str">
        <x:v>Graphs</x:v>
      </x:c>
      <x:c r="I159" s="17" t="str">
        <x:v>Stanford Online</x:v>
      </x:c>
      <x:c r="J159" s="23" t="str">
        <x:v>Public Lecture</x:v>
      </x:c>
      <x:c r="K159" s="24" t="n">
        <x:v>40</x:v>
      </x:c>
      <x:c r="L159" s="16" t="str">
        <x:v>https://www.youtube.com/watch?v=247Mkqj_wRM</x:v>
      </x:c>
      <x:c r="M159" s="22" t="str">
        <x:v>YouTube</x:v>
      </x:c>
      <x:c r="N159" s="25" t="n">
        <x:v>67437</x:v>
      </x:c>
      <x:c r="O159" s="23" t="str">
        <x:v>A | Official / Original Creator / Organizer</x:v>
      </x:c>
      <x:c r="P159" s="23" t="str">
        <x:v>Core</x:v>
      </x:c>
      <x:c r="Q159" s="23" t="str">
        <x:v>Verified</x:v>
      </x:c>
      <x:c r="R159" s="26" t="n">
        <x:v>46244</x:v>
      </x:c>
      <x:c r="S159" s="17" t="str">
        <x:v>Matched to the target official channel; public metadata accessible.</x:v>
      </x:c>
      <x:c r="T159" s="16" t="str">
        <x:v>247Mkqj_wRM</x:v>
      </x:c>
      <x:c r="U159" s="17" t="str"/>
      <x:c r="V159" s="151"/>
      <x:c r="W159" s="17" t="str"/>
    </x:row>
    <x:row r="160" ht="42" customHeight="1">
      <x:c r="A160" s="22" t="str">
        <x:v>ST-159</x:v>
      </x:c>
      <x:c r="B160" s="22" t="str">
        <x:v>Talk</x:v>
      </x:c>
      <x:c r="C160" s="22" t="str">
        <x:v>Other</x:v>
      </x:c>
      <x:c r="D160" s="17" t="str">
        <x:v>AI Research Frontiers</x:v>
      </x:c>
      <x:c r="E160" s="17" t="str">
        <x:v>AI Research Frontiers</x:v>
      </x:c>
      <x:c r="F160" s="23" t="str">
        <x:v>English</x:v>
      </x:c>
      <x:c r="G160" s="17" t="str">
        <x:v>MSR Distinguished Lecture Series: First-person Perception and Interaction</x:v>
      </x:c>
      <x:c r="H160" s="17" t="str">
        <x:v>To be added</x:v>
      </x:c>
      <x:c r="I160" s="17" t="str">
        <x:v>Microsoft Research</x:v>
      </x:c>
      <x:c r="J160" s="23" t="str">
        <x:v>Public Lecture</x:v>
      </x:c>
      <x:c r="K160" s="24" t="n">
        <x:v>69</x:v>
      </x:c>
      <x:c r="L160" s="16" t="str">
        <x:v>https://www.youtube.com/watch?v=e3FThz9jjOI</x:v>
      </x:c>
      <x:c r="M160" s="22" t="str">
        <x:v>YouTube</x:v>
      </x:c>
      <x:c r="N160" s="25" t="n">
        <x:v>766</x:v>
      </x:c>
      <x:c r="O160" s="23" t="str">
        <x:v>A | Official / Original Creator / Organizer</x:v>
      </x:c>
      <x:c r="P160" s="23" t="str">
        <x:v>Core</x:v>
      </x:c>
      <x:c r="Q160" s="23" t="str">
        <x:v>Verified</x:v>
      </x:c>
      <x:c r="R160" s="26" t="n">
        <x:v>46244</x:v>
      </x:c>
      <x:c r="S160" s="17" t="str">
        <x:v>Matched to the target official channel; public metadata accessible.</x:v>
      </x:c>
      <x:c r="T160" s="16" t="str">
        <x:v>e3FThz9jjOI</x:v>
      </x:c>
      <x:c r="U160" s="17" t="str"/>
      <x:c r="V160" s="151"/>
      <x:c r="W160" s="17" t="str"/>
    </x:row>
    <x:row r="161" ht="42" customHeight="1">
      <x:c r="A161" s="22" t="str">
        <x:v>ST-160</x:v>
      </x:c>
      <x:c r="B161" s="22" t="str">
        <x:v>Talk</x:v>
      </x:c>
      <x:c r="C161" s="22" t="str">
        <x:v>Other</x:v>
      </x:c>
      <x:c r="D161" s="17" t="str">
        <x:v>AI Research Frontiers</x:v>
      </x:c>
      <x:c r="E161" s="17" t="str">
        <x:v>AI Research Frontiers</x:v>
      </x:c>
      <x:c r="F161" s="23" t="str">
        <x:v>English</x:v>
      </x:c>
      <x:c r="G161" s="17" t="str">
        <x:v>Opening Keynote: Machines (that learn) to See</x:v>
      </x:c>
      <x:c r="H161" s="17" t="str">
        <x:v>To be added</x:v>
      </x:c>
      <x:c r="I161" s="17" t="str">
        <x:v>Microsoft Research</x:v>
      </x:c>
      <x:c r="J161" s="23" t="str">
        <x:v>Conference Keynote</x:v>
      </x:c>
      <x:c r="K161" s="24" t="n">
        <x:v>57</x:v>
      </x:c>
      <x:c r="L161" s="16" t="str">
        <x:v>https://www.youtube.com/watch?v=extVGbnPFMc</x:v>
      </x:c>
      <x:c r="M161" s="22" t="str">
        <x:v>YouTube</x:v>
      </x:c>
      <x:c r="N161" s="25" t="n">
        <x:v>133</x:v>
      </x:c>
      <x:c r="O161" s="23" t="str">
        <x:v>A | Official / Original Creator / Organizer</x:v>
      </x:c>
      <x:c r="P161" s="23" t="str">
        <x:v>Core</x:v>
      </x:c>
      <x:c r="Q161" s="23" t="str">
        <x:v>Verified</x:v>
      </x:c>
      <x:c r="R161" s="26" t="n">
        <x:v>46244</x:v>
      </x:c>
      <x:c r="S161" s="17" t="str">
        <x:v>Matched to the target official channel; public metadata accessible.</x:v>
      </x:c>
      <x:c r="T161" s="16" t="str">
        <x:v>extVGbnPFMc</x:v>
      </x:c>
      <x:c r="U161" s="17" t="str"/>
      <x:c r="V161" s="151"/>
      <x:c r="W161" s="17" t="str"/>
    </x:row>
    <x:row r="162" ht="42" customHeight="1">
      <x:c r="A162" s="22" t="str">
        <x:v>ST-161</x:v>
      </x:c>
      <x:c r="B162" s="22" t="str">
        <x:v>Talk</x:v>
      </x:c>
      <x:c r="C162" s="22" t="str">
        <x:v>Other</x:v>
      </x:c>
      <x:c r="D162" s="17" t="str">
        <x:v>Graph Machine Learning</x:v>
      </x:c>
      <x:c r="E162" s="17" t="str">
        <x:v>Graph Machine Learning</x:v>
      </x:c>
      <x:c r="F162" s="23" t="str">
        <x:v>English</x:v>
      </x:c>
      <x:c r="G162" s="17" t="str">
        <x:v>An Introduction to Graph Neural Networks: Models and Applications</x:v>
      </x:c>
      <x:c r="H162" s="17" t="str">
        <x:v>An Introduction to Graph Neural Networks</x:v>
      </x:c>
      <x:c r="I162" s="17" t="str">
        <x:v>Microsoft Research</x:v>
      </x:c>
      <x:c r="J162" s="23" t="str">
        <x:v>Research Talk</x:v>
      </x:c>
      <x:c r="K162" s="24" t="n">
        <x:v>59</x:v>
      </x:c>
      <x:c r="L162" s="16" t="str">
        <x:v>https://www.youtube.com/watch?v=zCEYiCxrL_0</x:v>
      </x:c>
      <x:c r="M162" s="22" t="str">
        <x:v>YouTube</x:v>
      </x:c>
      <x:c r="N162" s="25" t="n">
        <x:v>360096</x:v>
      </x:c>
      <x:c r="O162" s="23" t="str">
        <x:v>A | Official / Original Creator / Organizer</x:v>
      </x:c>
      <x:c r="P162" s="23" t="str">
        <x:v>Core</x:v>
      </x:c>
      <x:c r="Q162" s="23" t="str">
        <x:v>Verified</x:v>
      </x:c>
      <x:c r="R162" s="26" t="n">
        <x:v>46244</x:v>
      </x:c>
      <x:c r="S162" s="17" t="str">
        <x:v>Matched to the target official channel; public metadata accessible.</x:v>
      </x:c>
      <x:c r="T162" s="16" t="str">
        <x:v>zCEYiCxrL_0</x:v>
      </x:c>
      <x:c r="U162" s="17" t="str"/>
      <x:c r="V162" s="151"/>
      <x:c r="W162" s="17" t="str"/>
    </x:row>
    <x:row r="163" ht="42" customHeight="1">
      <x:c r="A163" s="22" t="str">
        <x:v>ST-162</x:v>
      </x:c>
      <x:c r="B163" s="22" t="str">
        <x:v>Talk</x:v>
      </x:c>
      <x:c r="C163" s="22" t="str">
        <x:v>World Model</x:v>
      </x:c>
      <x:c r="D163" s="17" t="str">
        <x:v>Foundation Models / AI Frontiers</x:v>
      </x:c>
      <x:c r="E163" s="17" t="str">
        <x:v>Foundation Models / World Models</x:v>
      </x:c>
      <x:c r="F163" s="23" t="str">
        <x:v>English</x:v>
      </x:c>
      <x:c r="G163" s="17" t="str">
        <x:v>Understanding the inner thoughts of AI</x:v>
      </x:c>
      <x:c r="H163" s="17" t="str">
        <x:v>To be added</x:v>
      </x:c>
      <x:c r="I163" s="17" t="str">
        <x:v>Google DeepMind</x:v>
      </x:c>
      <x:c r="J163" s="23" t="str">
        <x:v>Research Talk</x:v>
      </x:c>
      <x:c r="K163" s="24" t="n">
        <x:v>53</x:v>
      </x:c>
      <x:c r="L163" s="16" t="str">
        <x:v>https://www.youtube.com/watch?v=1DtMiRKg-cs</x:v>
      </x:c>
      <x:c r="M163" s="22" t="str">
        <x:v>YouTube</x:v>
      </x:c>
      <x:c r="N163" s="25" t="n">
        <x:v>196953</x:v>
      </x:c>
      <x:c r="O163" s="23" t="str">
        <x:v>A | Official / Original Creator / Organizer</x:v>
      </x:c>
      <x:c r="P163" s="23" t="str">
        <x:v>Core</x:v>
      </x:c>
      <x:c r="Q163" s="23" t="str">
        <x:v>Verified</x:v>
      </x:c>
      <x:c r="R163" s="26" t="n">
        <x:v>46244</x:v>
      </x:c>
      <x:c r="S163" s="17" t="str">
        <x:v>Matched to the target official channel; public metadata accessible.</x:v>
      </x:c>
      <x:c r="T163" s="16" t="str">
        <x:v>1DtMiRKg-cs</x:v>
      </x:c>
      <x:c r="U163" s="17" t="str"/>
      <x:c r="V163" s="151"/>
      <x:c r="W163" s="17" t="str"/>
    </x:row>
    <x:row r="164" ht="42" customHeight="1">
      <x:c r="A164" s="22" t="str">
        <x:v>ST-163</x:v>
      </x:c>
      <x:c r="B164" s="22" t="str">
        <x:v>Talk</x:v>
      </x:c>
      <x:c r="C164" s="22" t="str">
        <x:v>Agent</x:v>
      </x:c>
      <x:c r="D164" s="17" t="str">
        <x:v>Large-Model Systems</x:v>
      </x:c>
      <x:c r="E164" s="17" t="str">
        <x:v>Large Language Models; AI Systems / MLOps; Agents</x:v>
      </x:c>
      <x:c r="F164" s="23" t="str">
        <x:v>English</x:v>
      </x:c>
      <x:c r="G164" s="17" t="str">
        <x:v>Stanford Webinar - Agentic AI: A Progression of Language Model Usage</x:v>
      </x:c>
      <x:c r="H164" s="17" t="str">
        <x:v>To be added</x:v>
      </x:c>
      <x:c r="I164" s="17" t="str">
        <x:v>Stanford Online</x:v>
      </x:c>
      <x:c r="J164" s="23" t="str">
        <x:v>Research Talk</x:v>
      </x:c>
      <x:c r="K164" s="24" t="n">
        <x:v>57</x:v>
      </x:c>
      <x:c r="L164" s="16" t="str">
        <x:v>https://www.youtube.com/watch?v=kJLiOGle3Lw</x:v>
      </x:c>
      <x:c r="M164" s="22" t="str">
        <x:v>YouTube</x:v>
      </x:c>
      <x:c r="N164" s="25" t="n">
        <x:v>669854</x:v>
      </x:c>
      <x:c r="O164" s="23" t="str">
        <x:v>A | Official / Original Creator / Organizer</x:v>
      </x:c>
      <x:c r="P164" s="23" t="str">
        <x:v>Core</x:v>
      </x:c>
      <x:c r="Q164" s="23" t="str">
        <x:v>Verified</x:v>
      </x:c>
      <x:c r="R164" s="26" t="n">
        <x:v>46244</x:v>
      </x:c>
      <x:c r="S164" s="17" t="str">
        <x:v>Matched to the target official channel; public metadata accessible.</x:v>
      </x:c>
      <x:c r="T164" s="16" t="str">
        <x:v>kJLiOGle3Lw</x:v>
      </x:c>
      <x:c r="U164" s="17" t="str"/>
      <x:c r="V164" s="151"/>
      <x:c r="W164" s="17" t="str"/>
    </x:row>
    <x:row r="165" ht="42" customHeight="1">
      <x:c r="A165" s="22" t="str">
        <x:v>ST-164</x:v>
      </x:c>
      <x:c r="B165" s="22" t="str">
        <x:v>Talk</x:v>
      </x:c>
      <x:c r="C165" s="22" t="str">
        <x:v>Other</x:v>
      </x:c>
      <x:c r="D165" s="17" t="str">
        <x:v>AI Research Frontiers</x:v>
      </x:c>
      <x:c r="E165" s="17" t="str">
        <x:v>AI Research Frontiers</x:v>
      </x:c>
      <x:c r="F165" s="23" t="str">
        <x:v>English</x:v>
      </x:c>
      <x:c r="G165" s="17" t="str">
        <x:v>Microsoft Research: turning ideas into reality for 15 years - Keynote and Demos</x:v>
      </x:c>
      <x:c r="H165" s="17" t="str">
        <x:v>Microsoft Research</x:v>
      </x:c>
      <x:c r="I165" s="17" t="str">
        <x:v>Microsoft Research</x:v>
      </x:c>
      <x:c r="J165" s="23" t="str">
        <x:v>Conference Keynote</x:v>
      </x:c>
      <x:c r="K165" s="24" t="n">
        <x:v>55</x:v>
      </x:c>
      <x:c r="L165" s="16" t="str">
        <x:v>https://www.youtube.com/watch?v=3D0HcNiJowE</x:v>
      </x:c>
      <x:c r="M165" s="22" t="str">
        <x:v>YouTube</x:v>
      </x:c>
      <x:c r="N165" s="25" t="n">
        <x:v>15</x:v>
      </x:c>
      <x:c r="O165" s="23" t="str">
        <x:v>A | Official / Original Creator / Organizer</x:v>
      </x:c>
      <x:c r="P165" s="23" t="str">
        <x:v>Core</x:v>
      </x:c>
      <x:c r="Q165" s="23" t="str">
        <x:v>Verified</x:v>
      </x:c>
      <x:c r="R165" s="26" t="n">
        <x:v>46244</x:v>
      </x:c>
      <x:c r="S165" s="17" t="str">
        <x:v>Matched to the target official channel; public metadata accessible.</x:v>
      </x:c>
      <x:c r="T165" s="16" t="str">
        <x:v>3D0HcNiJowE</x:v>
      </x:c>
      <x:c r="U165" s="17" t="str"/>
      <x:c r="V165" s="151"/>
      <x:c r="W165" s="17" t="str"/>
    </x:row>
    <x:row r="166" ht="42" customHeight="1">
      <x:c r="A166" s="22" t="str">
        <x:v>ST-165</x:v>
      </x:c>
      <x:c r="B166" s="22" t="str">
        <x:v>Talk</x:v>
      </x:c>
      <x:c r="C166" s="22" t="str">
        <x:v>Other</x:v>
      </x:c>
      <x:c r="D166" s="17" t="str">
        <x:v>Large-Model Systems</x:v>
      </x:c>
      <x:c r="E166" s="17" t="str">
        <x:v>Large Language Models; AI Systems / MLOps</x:v>
      </x:c>
      <x:c r="F166" s="23" t="str">
        <x:v>English</x:v>
      </x:c>
      <x:c r="G166" s="17" t="str">
        <x:v>Stanford CS25: V5 I Large Language Model Reasoning, Denny Zhou of Google Deepmind</x:v>
      </x:c>
      <x:c r="H166" s="17" t="str">
        <x:v>To be added</x:v>
      </x:c>
      <x:c r="I166" s="17" t="str">
        <x:v>Stanford Online</x:v>
      </x:c>
      <x:c r="J166" s="23" t="str">
        <x:v>Research Talk</x:v>
      </x:c>
      <x:c r="K166" s="24" t="n">
        <x:v>66</x:v>
      </x:c>
      <x:c r="L166" s="16" t="str">
        <x:v>https://www.youtube.com/watch?v=ebnX5Ur1hBk</x:v>
      </x:c>
      <x:c r="M166" s="22" t="str">
        <x:v>YouTube</x:v>
      </x:c>
      <x:c r="N166" s="25" t="n">
        <x:v>87732</x:v>
      </x:c>
      <x:c r="O166" s="23" t="str">
        <x:v>A | Official / Original Creator / Organizer</x:v>
      </x:c>
      <x:c r="P166" s="23" t="str">
        <x:v>Core</x:v>
      </x:c>
      <x:c r="Q166" s="23" t="str">
        <x:v>Verified</x:v>
      </x:c>
      <x:c r="R166" s="26" t="n">
        <x:v>46244</x:v>
      </x:c>
      <x:c r="S166" s="17" t="str">
        <x:v>Matched to the target official channel; public metadata accessible.</x:v>
      </x:c>
      <x:c r="T166" s="16" t="str">
        <x:v>ebnX5Ur1hBk</x:v>
      </x:c>
      <x:c r="U166" s="17" t="str"/>
      <x:c r="V166" s="151"/>
      <x:c r="W166" s="17" t="str"/>
    </x:row>
    <x:row r="167" ht="42" customHeight="1">
      <x:c r="A167" s="22" t="str">
        <x:v>ST-166</x:v>
      </x:c>
      <x:c r="B167" s="22" t="str">
        <x:v>Talk</x:v>
      </x:c>
      <x:c r="C167" s="22" t="str">
        <x:v>World Model</x:v>
      </x:c>
      <x:c r="D167" s="17" t="str">
        <x:v>Foundation Models / AI Frontiers</x:v>
      </x:c>
      <x:c r="E167" s="17" t="str">
        <x:v>Foundation Models / World Models</x:v>
      </x:c>
      <x:c r="F167" s="23" t="str">
        <x:v>English</x:v>
      </x:c>
      <x:c r="G167" s="17" t="str">
        <x:v>Is human data enough? | David Silver</x:v>
      </x:c>
      <x:c r="H167" s="17" t="str">
        <x:v>To be added</x:v>
      </x:c>
      <x:c r="I167" s="17" t="str">
        <x:v>Google DeepMind</x:v>
      </x:c>
      <x:c r="J167" s="23" t="str">
        <x:v>Research Talk</x:v>
      </x:c>
      <x:c r="K167" s="24" t="n">
        <x:v>50</x:v>
      </x:c>
      <x:c r="L167" s="16" t="str">
        <x:v>https://www.youtube.com/watch?v=zzXyPGEtseI</x:v>
      </x:c>
      <x:c r="M167" s="22" t="str">
        <x:v>YouTube</x:v>
      </x:c>
      <x:c r="N167" s="25" t="n">
        <x:v>452549</x:v>
      </x:c>
      <x:c r="O167" s="23" t="str">
        <x:v>A | Official / Original Creator / Organizer</x:v>
      </x:c>
      <x:c r="P167" s="23" t="str">
        <x:v>Core</x:v>
      </x:c>
      <x:c r="Q167" s="23" t="str">
        <x:v>Verified</x:v>
      </x:c>
      <x:c r="R167" s="26" t="n">
        <x:v>46244</x:v>
      </x:c>
      <x:c r="S167" s="17" t="str">
        <x:v>Matched to the target official channel; public metadata accessible.</x:v>
      </x:c>
      <x:c r="T167" s="16" t="str">
        <x:v>zzXyPGEtseI</x:v>
      </x:c>
      <x:c r="U167" s="17" t="str"/>
      <x:c r="V167" s="151"/>
      <x:c r="W167" s="17" t="str"/>
    </x:row>
    <x:row r="168" ht="42" customHeight="1">
      <x:c r="A168" s="22" t="str">
        <x:v>ST-167</x:v>
      </x:c>
      <x:c r="B168" s="22" t="str">
        <x:v>Talk</x:v>
      </x:c>
      <x:c r="C168" s="22" t="str">
        <x:v>Other</x:v>
      </x:c>
      <x:c r="D168" s="17" t="str">
        <x:v>AI Systems / Infrastructure</x:v>
      </x:c>
      <x:c r="E168" s="17" t="str">
        <x:v>AI Systems / MLOps</x:v>
      </x:c>
      <x:c r="F168" s="23" t="str">
        <x:v>English</x:v>
      </x:c>
      <x:c r="G168" s="17" t="str">
        <x:v>Stanford MLSys Seminar Episode 5: Chip Huyen</x:v>
      </x:c>
      <x:c r="H168" s="17" t="str">
        <x:v>To be added</x:v>
      </x:c>
      <x:c r="I168" s="17" t="str">
        <x:v>Stanford MLSys Seminars</x:v>
      </x:c>
      <x:c r="J168" s="23" t="str">
        <x:v>Research Seminar</x:v>
      </x:c>
      <x:c r="K168" s="24" t="n">
        <x:v>67</x:v>
      </x:c>
      <x:c r="L168" s="16" t="str">
        <x:v>https://www.youtube.com/watch?v=c_AUuTuPA5k</x:v>
      </x:c>
      <x:c r="M168" s="22" t="str">
        <x:v>YouTube</x:v>
      </x:c>
      <x:c r="N168" s="25" t="n">
        <x:v>69674</x:v>
      </x:c>
      <x:c r="O168" s="23" t="str">
        <x:v>A | Official / Original Creator / Organizer</x:v>
      </x:c>
      <x:c r="P168" s="23" t="str">
        <x:v>Core</x:v>
      </x:c>
      <x:c r="Q168" s="23" t="str">
        <x:v>Verified</x:v>
      </x:c>
      <x:c r="R168" s="26" t="n">
        <x:v>46244</x:v>
      </x:c>
      <x:c r="S168" s="17" t="str">
        <x:v>Matched to the target official channel; public metadata accessible.</x:v>
      </x:c>
      <x:c r="T168" s="16" t="str">
        <x:v>c_AUuTuPA5k</x:v>
      </x:c>
      <x:c r="U168" s="17" t="str"/>
      <x:c r="V168" s="151"/>
      <x:c r="W168" s="17" t="str"/>
    </x:row>
    <x:row r="169" ht="42" customHeight="1">
      <x:c r="A169" s="22" t="str">
        <x:v>ST-168</x:v>
      </x:c>
      <x:c r="B169" s="22" t="str">
        <x:v>Talk</x:v>
      </x:c>
      <x:c r="C169" s="22" t="str">
        <x:v>World Model</x:v>
      </x:c>
      <x:c r="D169" s="17" t="str">
        <x:v>Robotics / Embodied AI</x:v>
      </x:c>
      <x:c r="E169" s="17" t="str">
        <x:v>Robotics / Embodied AI; Foundation Models / World Models</x:v>
      </x:c>
      <x:c r="F169" s="23" t="str">
        <x:v>English</x:v>
      </x:c>
      <x:c r="G169" s="17" t="str">
        <x:v>Stanford CS25: V3 I Low-level Embodied Intelligence w/ Foundation Models</x:v>
      </x:c>
      <x:c r="H169" s="17" t="str">
        <x:v>To be added</x:v>
      </x:c>
      <x:c r="I169" s="17" t="str">
        <x:v>Stanford Online</x:v>
      </x:c>
      <x:c r="J169" s="23" t="str">
        <x:v>Research Talk</x:v>
      </x:c>
      <x:c r="K169" s="24" t="n">
        <x:v>78</x:v>
      </x:c>
      <x:c r="L169" s="16" t="str">
        <x:v>https://www.youtube.com/watch?v=fz8wf9hN20c</x:v>
      </x:c>
      <x:c r="M169" s="22" t="str">
        <x:v>YouTube</x:v>
      </x:c>
      <x:c r="N169" s="25" t="n">
        <x:v>16352</x:v>
      </x:c>
      <x:c r="O169" s="23" t="str">
        <x:v>A | Official / Original Creator / Organizer</x:v>
      </x:c>
      <x:c r="P169" s="23" t="str">
        <x:v>Core</x:v>
      </x:c>
      <x:c r="Q169" s="23" t="str">
        <x:v>Verified</x:v>
      </x:c>
      <x:c r="R169" s="26" t="n">
        <x:v>46244</x:v>
      </x:c>
      <x:c r="S169" s="17" t="str">
        <x:v>Matched to the target official channel; public metadata accessible.</x:v>
      </x:c>
      <x:c r="T169" s="16" t="str">
        <x:v>fz8wf9hN20c</x:v>
      </x:c>
      <x:c r="U169" s="17" t="str"/>
      <x:c r="V169" s="151"/>
      <x:c r="W169" s="17" t="str"/>
    </x:row>
    <x:row r="170" ht="42" customHeight="1">
      <x:c r="A170" s="22" t="str">
        <x:v>ST-169</x:v>
      </x:c>
      <x:c r="B170" s="22" t="str">
        <x:v>Talk</x:v>
      </x:c>
      <x:c r="C170" s="22" t="str">
        <x:v>Other</x:v>
      </x:c>
      <x:c r="D170" s="17" t="str">
        <x:v>AI Research Frontiers</x:v>
      </x:c>
      <x:c r="E170" s="17" t="str">
        <x:v>Multimodal Learning</x:v>
      </x:c>
      <x:c r="F170" s="23" t="str">
        <x:v>English</x:v>
      </x:c>
      <x:c r="G170" s="17" t="str">
        <x:v>Deep Attention Mechanism for Multimodal Intelligence: Perception, Reasoning, &amp; Expression</x:v>
      </x:c>
      <x:c r="H170" s="17" t="str">
        <x:v>Deep Attention Mechanism for Multimodal Intelligence</x:v>
      </x:c>
      <x:c r="I170" s="17" t="str">
        <x:v>Microsoft Research</x:v>
      </x:c>
      <x:c r="J170" s="23" t="str">
        <x:v>Research Talk</x:v>
      </x:c>
      <x:c r="K170" s="24" t="n">
        <x:v>79</x:v>
      </x:c>
      <x:c r="L170" s="16" t="str">
        <x:v>https://www.youtube.com/watch?v=YYKpS-Y75LY</x:v>
      </x:c>
      <x:c r="M170" s="22" t="str">
        <x:v>YouTube</x:v>
      </x:c>
      <x:c r="N170" s="25" t="n">
        <x:v>2714</x:v>
      </x:c>
      <x:c r="O170" s="23" t="str">
        <x:v>A | Official / Original Creator / Organizer</x:v>
      </x:c>
      <x:c r="P170" s="23" t="str">
        <x:v>Core</x:v>
      </x:c>
      <x:c r="Q170" s="23" t="str">
        <x:v>Verified</x:v>
      </x:c>
      <x:c r="R170" s="26" t="n">
        <x:v>46244</x:v>
      </x:c>
      <x:c r="S170" s="17" t="str">
        <x:v>Matched to the target official channel; public metadata accessible.</x:v>
      </x:c>
      <x:c r="T170" s="16" t="str">
        <x:v>YYKpS-Y75LY</x:v>
      </x:c>
      <x:c r="U170" s="17" t="str"/>
      <x:c r="V170" s="151"/>
      <x:c r="W170" s="17" t="str"/>
    </x:row>
    <x:row r="171" ht="42" customHeight="1">
      <x:c r="A171" s="22" t="str">
        <x:v>ST-170</x:v>
      </x:c>
      <x:c r="B171" s="22" t="str">
        <x:v>Talk</x:v>
      </x:c>
      <x:c r="C171" s="22" t="str">
        <x:v>Other</x:v>
      </x:c>
      <x:c r="D171" s="17" t="str">
        <x:v>AI and Society</x:v>
      </x:c>
      <x:c r="E171" s="17" t="str">
        <x:v>AI and Society</x:v>
      </x:c>
      <x:c r="F171" s="23" t="str">
        <x:v>English</x:v>
      </x:c>
      <x:c r="G171" s="17" t="str">
        <x:v>HAI Seminar with Nestor Maslej: Presenting the 2025 AI Index Report</x:v>
      </x:c>
      <x:c r="H171" s="17" t="str">
        <x:v>Nestor Maslej: Presenting the 2025 AI Index Report</x:v>
      </x:c>
      <x:c r="I171" s="17" t="str">
        <x:v>Stanford HAI</x:v>
      </x:c>
      <x:c r="J171" s="23" t="str">
        <x:v>Research Seminar</x:v>
      </x:c>
      <x:c r="K171" s="24" t="n">
        <x:v>74</x:v>
      </x:c>
      <x:c r="L171" s="16" t="str">
        <x:v>https://www.youtube.com/watch?v=D03EJhztsHQ</x:v>
      </x:c>
      <x:c r="M171" s="22" t="str">
        <x:v>YouTube</x:v>
      </x:c>
      <x:c r="N171" s="25" t="n">
        <x:v>20759</x:v>
      </x:c>
      <x:c r="O171" s="23" t="str">
        <x:v>A | Official / Original Creator / Organizer</x:v>
      </x:c>
      <x:c r="P171" s="23" t="str">
        <x:v>Core</x:v>
      </x:c>
      <x:c r="Q171" s="23" t="str">
        <x:v>Verified</x:v>
      </x:c>
      <x:c r="R171" s="26" t="n">
        <x:v>46244</x:v>
      </x:c>
      <x:c r="S171" s="17" t="str">
        <x:v>Matched to the target official channel; public metadata accessible.</x:v>
      </x:c>
      <x:c r="T171" s="16" t="str">
        <x:v>D03EJhztsHQ</x:v>
      </x:c>
      <x:c r="U171" s="17" t="str"/>
      <x:c r="V171" s="151"/>
      <x:c r="W171" s="17" t="str"/>
    </x:row>
    <x:row r="172" ht="42" customHeight="1">
      <x:c r="A172" s="22" t="str">
        <x:v>ST-171</x:v>
      </x:c>
      <x:c r="B172" s="22" t="str">
        <x:v>Talk</x:v>
      </x:c>
      <x:c r="C172" s="22" t="str">
        <x:v>Other</x:v>
      </x:c>
      <x:c r="D172" s="17" t="str">
        <x:v>AI Research Frontiers</x:v>
      </x:c>
      <x:c r="E172" s="17" t="str">
        <x:v>AI Research Frontiers</x:v>
      </x:c>
      <x:c r="F172" s="23" t="str">
        <x:v>English</x:v>
      </x:c>
      <x:c r="G172" s="17" t="str">
        <x:v>AI for Eye Care: A fireside chat on AI in clinical workflows</x:v>
      </x:c>
      <x:c r="H172" s="17" t="str">
        <x:v>Diabetic retinopathy</x:v>
      </x:c>
      <x:c r="I172" s="17" t="str">
        <x:v>Google Research</x:v>
      </x:c>
      <x:c r="J172" s="23" t="str">
        <x:v>Research Talk</x:v>
      </x:c>
      <x:c r="K172" s="24" t="n">
        <x:v>22</x:v>
      </x:c>
      <x:c r="L172" s="16" t="str">
        <x:v>https://www.youtube.com/watch?v=UwyRYSQ5CGU</x:v>
      </x:c>
      <x:c r="M172" s="22" t="str">
        <x:v>YouTube</x:v>
      </x:c>
      <x:c r="N172" s="25" t="n">
        <x:v>4432</x:v>
      </x:c>
      <x:c r="O172" s="23" t="str">
        <x:v>A | Official / Original Creator / Organizer</x:v>
      </x:c>
      <x:c r="P172" s="23" t="str">
        <x:v>Core</x:v>
      </x:c>
      <x:c r="Q172" s="23" t="str">
        <x:v>Verified</x:v>
      </x:c>
      <x:c r="R172" s="26" t="n">
        <x:v>46244</x:v>
      </x:c>
      <x:c r="S172" s="17" t="str">
        <x:v>Matched to the target official channel; public metadata accessible.</x:v>
      </x:c>
      <x:c r="T172" s="16" t="str">
        <x:v>UwyRYSQ5CGU</x:v>
      </x:c>
      <x:c r="U172" s="17" t="str"/>
      <x:c r="V172" s="151"/>
      <x:c r="W172" s="17" t="str"/>
    </x:row>
    <x:row r="173" ht="42" customHeight="1">
      <x:c r="A173" s="22" t="str">
        <x:v>ST-172</x:v>
      </x:c>
      <x:c r="B173" s="22" t="str">
        <x:v>Talk</x:v>
      </x:c>
      <x:c r="C173" s="22" t="str">
        <x:v>Vision</x:v>
      </x:c>
      <x:c r="D173" s="17" t="str">
        <x:v>Computer Vision</x:v>
      </x:c>
      <x:c r="E173" s="17" t="str">
        <x:v>Computer Vision</x:v>
      </x:c>
      <x:c r="F173" s="23" t="str">
        <x:v>English</x:v>
      </x:c>
      <x:c r="G173" s="17" t="str">
        <x:v>[CVPR'21 WAD] Keynote - Adrien Gaidon, Toyota Technological Institute</x:v>
      </x:c>
      <x:c r="H173" s="17" t="str">
        <x:v>To be added</x:v>
      </x:c>
      <x:c r="I173" s="17" t="str">
        <x:v>WAD at CVPR</x:v>
      </x:c>
      <x:c r="J173" s="23" t="str">
        <x:v>Conference Keynote</x:v>
      </x:c>
      <x:c r="K173" s="24" t="n">
        <x:v>23</x:v>
      </x:c>
      <x:c r="L173" s="16" t="str">
        <x:v>https://www.youtube.com/watch?v=YO5fnaRm5L0</x:v>
      </x:c>
      <x:c r="M173" s="22" t="str">
        <x:v>YouTube</x:v>
      </x:c>
      <x:c r="N173" s="25" t="n">
        <x:v>3032</x:v>
      </x:c>
      <x:c r="O173" s="23" t="str">
        <x:v>A | Official / Original Creator / Organizer</x:v>
      </x:c>
      <x:c r="P173" s="23" t="str">
        <x:v>Core</x:v>
      </x:c>
      <x:c r="Q173" s="23" t="str">
        <x:v>Verified</x:v>
      </x:c>
      <x:c r="R173" s="26" t="n">
        <x:v>46244</x:v>
      </x:c>
      <x:c r="S173" s="17" t="str">
        <x:v>Matched to the target official channel; public metadata accessible.</x:v>
      </x:c>
      <x:c r="T173" s="16" t="str">
        <x:v>YO5fnaRm5L0</x:v>
      </x:c>
      <x:c r="U173" s="17" t="str"/>
      <x:c r="V173" s="151"/>
      <x:c r="W173" s="17" t="str"/>
    </x:row>
    <x:row r="174" ht="42" customHeight="1">
      <x:c r="A174" s="22" t="str">
        <x:v>ST-173</x:v>
      </x:c>
      <x:c r="B174" s="22" t="str">
        <x:v>Talk</x:v>
      </x:c>
      <x:c r="C174" s="22" t="str">
        <x:v>World Model</x:v>
      </x:c>
      <x:c r="D174" s="17" t="str">
        <x:v>Robotics / Embodied AI</x:v>
      </x:c>
      <x:c r="E174" s="17" t="str">
        <x:v>Robotics / Embodied AI; Foundation Models / World Models; AI Education</x:v>
      </x:c>
      <x:c r="F174" s="23" t="str">
        <x:v>English</x:v>
      </x:c>
      <x:c r="G174" s="17" t="str">
        <x:v>EI Seminar - Jason Ma - Recent Progress on Foundation Model Supervision for Robot Learning</x:v>
      </x:c>
      <x:c r="H174" s="17" t="str">
        <x:v>To be added</x:v>
      </x:c>
      <x:c r="I174" s="17" t="str">
        <x:v>MIT Embodied Intelligence</x:v>
      </x:c>
      <x:c r="J174" s="23" t="str">
        <x:v>Research Seminar</x:v>
      </x:c>
      <x:c r="K174" s="24" t="n">
        <x:v>53</x:v>
      </x:c>
      <x:c r="L174" s="16" t="str">
        <x:v>https://www.youtube.com/watch?v=JfZYtpEisoM</x:v>
      </x:c>
      <x:c r="M174" s="22" t="str">
        <x:v>YouTube</x:v>
      </x:c>
      <x:c r="N174" s="25" t="n">
        <x:v>4797</x:v>
      </x:c>
      <x:c r="O174" s="23" t="str">
        <x:v>A | Official / Original Creator / Organizer</x:v>
      </x:c>
      <x:c r="P174" s="23" t="str">
        <x:v>Core</x:v>
      </x:c>
      <x:c r="Q174" s="23" t="str">
        <x:v>Verified</x:v>
      </x:c>
      <x:c r="R174" s="26" t="n">
        <x:v>46244</x:v>
      </x:c>
      <x:c r="S174" s="17" t="str">
        <x:v>Matched to the target official channel; public metadata accessible.</x:v>
      </x:c>
      <x:c r="T174" s="16" t="str">
        <x:v>JfZYtpEisoM</x:v>
      </x:c>
      <x:c r="U174" s="17" t="str"/>
      <x:c r="V174" s="151"/>
      <x:c r="W174" s="17" t="str"/>
    </x:row>
    <x:row r="175" ht="42" customHeight="1">
      <x:c r="A175" s="22" t="str">
        <x:v>ST-174</x:v>
      </x:c>
      <x:c r="B175" s="22" t="str">
        <x:v>Talk</x:v>
      </x:c>
      <x:c r="C175" s="22" t="str">
        <x:v>Other</x:v>
      </x:c>
      <x:c r="D175" s="17" t="str">
        <x:v>AI Research Frontiers</x:v>
      </x:c>
      <x:c r="E175" s="17" t="str">
        <x:v>Large Language Models</x:v>
      </x:c>
      <x:c r="F175" s="23" t="str">
        <x:v>English</x:v>
      </x:c>
      <x:c r="G175" s="17" t="str">
        <x:v>The impact of chatGPT talks (2023) - Prof. Daniel Jackson (MIT)</x:v>
      </x:c>
      <x:c r="H175" s="17" t="str">
        <x:v>To be added</x:v>
      </x:c>
      <x:c r="I175" s="17" t="str">
        <x:v>MIT Department of Physics</x:v>
      </x:c>
      <x:c r="J175" s="23" t="str">
        <x:v>Research Talk</x:v>
      </x:c>
      <x:c r="K175" s="24" t="n">
        <x:v>13</x:v>
      </x:c>
      <x:c r="L175" s="16" t="str">
        <x:v>https://www.youtube.com/watch?v=9uv1Nd1lRio</x:v>
      </x:c>
      <x:c r="M175" s="22" t="str">
        <x:v>YouTube</x:v>
      </x:c>
      <x:c r="N175" s="25" t="n">
        <x:v>1455</x:v>
      </x:c>
      <x:c r="O175" s="23" t="str">
        <x:v>A | Official / Original Creator / Organizer</x:v>
      </x:c>
      <x:c r="P175" s="23" t="str">
        <x:v>Core</x:v>
      </x:c>
      <x:c r="Q175" s="23" t="str">
        <x:v>Verified</x:v>
      </x:c>
      <x:c r="R175" s="26" t="n">
        <x:v>46244</x:v>
      </x:c>
      <x:c r="S175" s="17" t="str">
        <x:v>Matched to the target official channel; public metadata accessible.</x:v>
      </x:c>
      <x:c r="T175" s="16" t="str">
        <x:v>9uv1Nd1lRio</x:v>
      </x:c>
      <x:c r="U175" s="17" t="str"/>
      <x:c r="V175" s="151"/>
      <x:c r="W175" s="17" t="str"/>
    </x:row>
    <x:row r="176" ht="42" customHeight="1">
      <x:c r="A176" s="22" t="str">
        <x:v>ST-175</x:v>
      </x:c>
      <x:c r="B176" s="22" t="str">
        <x:v>Talk</x:v>
      </x:c>
      <x:c r="C176" s="22" t="str">
        <x:v>World Model</x:v>
      </x:c>
      <x:c r="D176" s="17" t="str">
        <x:v>Foundation Models / AI Frontiers</x:v>
      </x:c>
      <x:c r="E176" s="17" t="str">
        <x:v>Foundation Models / World Models</x:v>
      </x:c>
      <x:c r="F176" s="23" t="str">
        <x:v>English</x:v>
      </x:c>
      <x:c r="G176" s="17" t="str">
        <x:v>The future of intelligence | Demis Hassabis (Co-founder and CEO of DeepMind)</x:v>
      </x:c>
      <x:c r="H176" s="17" t="str">
        <x:v>To be added</x:v>
      </x:c>
      <x:c r="I176" s="17" t="str">
        <x:v>Google DeepMind and Hannah Fry</x:v>
      </x:c>
      <x:c r="J176" s="23" t="str">
        <x:v>Research Talk</x:v>
      </x:c>
      <x:c r="K176" s="24" t="n">
        <x:v>56</x:v>
      </x:c>
      <x:c r="L176" s="16" t="str">
        <x:v>https://www.youtube.com/watch?v=PqVbypvxDto</x:v>
      </x:c>
      <x:c r="M176" s="22" t="str">
        <x:v>YouTube</x:v>
      </x:c>
      <x:c r="N176" s="25" t="n">
        <x:v>10649975</x:v>
      </x:c>
      <x:c r="O176" s="23" t="str">
        <x:v>A | Official / Original Creator / Organizer</x:v>
      </x:c>
      <x:c r="P176" s="23" t="str">
        <x:v>Core</x:v>
      </x:c>
      <x:c r="Q176" s="23" t="str">
        <x:v>Verified</x:v>
      </x:c>
      <x:c r="R176" s="26" t="n">
        <x:v>46244</x:v>
      </x:c>
      <x:c r="S176" s="17" t="str">
        <x:v>Matched to the target official channel; public metadata accessible.</x:v>
      </x:c>
      <x:c r="T176" s="16" t="str">
        <x:v>PqVbypvxDto</x:v>
      </x:c>
      <x:c r="U176" s="17" t="str"/>
      <x:c r="V176" s="151"/>
      <x:c r="W176" s="17" t="str"/>
    </x:row>
    <x:row r="177" ht="42" customHeight="1">
      <x:c r="A177" s="22" t="str">
        <x:v>ST-176</x:v>
      </x:c>
      <x:c r="B177" s="22" t="str">
        <x:v>Talk</x:v>
      </x:c>
      <x:c r="C177" s="22" t="str">
        <x:v>Other</x:v>
      </x:c>
      <x:c r="D177" s="17" t="str">
        <x:v>AI and Society</x:v>
      </x:c>
      <x:c r="E177" s="17" t="str">
        <x:v>AI Education</x:v>
      </x:c>
      <x:c r="F177" s="23" t="str">
        <x:v>English</x:v>
      </x:c>
      <x:c r="G177" s="17" t="str">
        <x:v>HAI Seminar: Learning by Creating – A Human-Centered Vision for AI in Education</x:v>
      </x:c>
      <x:c r="H177" s="17" t="str">
        <x:v>HAI Seminar: Learning by Creating</x:v>
      </x:c>
      <x:c r="I177" s="17" t="str">
        <x:v>Stanford HAI</x:v>
      </x:c>
      <x:c r="J177" s="23" t="str">
        <x:v>Research Seminar</x:v>
      </x:c>
      <x:c r="K177" s="24" t="n">
        <x:v>72</x:v>
      </x:c>
      <x:c r="L177" s="16" t="str">
        <x:v>https://www.youtube.com/watch?v=iOyaj5u0-DY</x:v>
      </x:c>
      <x:c r="M177" s="22" t="str">
        <x:v>YouTube</x:v>
      </x:c>
      <x:c r="N177" s="25" t="n">
        <x:v>845</x:v>
      </x:c>
      <x:c r="O177" s="23" t="str">
        <x:v>A | Official / Original Creator / Organizer</x:v>
      </x:c>
      <x:c r="P177" s="23" t="str">
        <x:v>Core</x:v>
      </x:c>
      <x:c r="Q177" s="23" t="str">
        <x:v>Verified</x:v>
      </x:c>
      <x:c r="R177" s="26" t="n">
        <x:v>46244</x:v>
      </x:c>
      <x:c r="S177" s="17" t="str">
        <x:v>Matched to the target official channel; public metadata accessible.</x:v>
      </x:c>
      <x:c r="T177" s="16" t="str">
        <x:v>iOyaj5u0-DY</x:v>
      </x:c>
      <x:c r="U177" s="17" t="str"/>
      <x:c r="V177" s="151"/>
      <x:c r="W177" s="17" t="str"/>
    </x:row>
    <x:row r="178" ht="42" customHeight="1">
      <x:c r="A178" s="22" t="str">
        <x:v>ST-177</x:v>
      </x:c>
      <x:c r="B178" s="22" t="str">
        <x:v>Talk</x:v>
      </x:c>
      <x:c r="C178" s="22" t="str">
        <x:v>Other</x:v>
      </x:c>
      <x:c r="D178" s="17" t="str">
        <x:v>AI Research Frontiers</x:v>
      </x:c>
      <x:c r="E178" s="17" t="str">
        <x:v>AI Systems / MLOps</x:v>
      </x:c>
      <x:c r="F178" s="23" t="str">
        <x:v>English</x:v>
      </x:c>
      <x:c r="G178" s="17" t="str">
        <x:v>A.I. Lab 1997 Lecture Series: Ray Kurzweil - God and Computers: Minds, Machines, and Metaphysics</x:v>
      </x:c>
      <x:c r="H178" s="17" t="str">
        <x:v>To be added</x:v>
      </x:c>
      <x:c r="I178" s="17" t="str">
        <x:v>MIT Video Productions</x:v>
      </x:c>
      <x:c r="J178" s="23" t="str">
        <x:v>Public Lecture</x:v>
      </x:c>
      <x:c r="K178" s="24" t="n">
        <x:v>80</x:v>
      </x:c>
      <x:c r="L178" s="16" t="str">
        <x:v>https://www.youtube.com/watch?v=gWZ5cpxX3wc</x:v>
      </x:c>
      <x:c r="M178" s="22" t="str">
        <x:v>YouTube</x:v>
      </x:c>
      <x:c r="N178" s="25" t="n">
        <x:v>3779</x:v>
      </x:c>
      <x:c r="O178" s="23" t="str">
        <x:v>A | Official / Original Creator / Organizer</x:v>
      </x:c>
      <x:c r="P178" s="23" t="str">
        <x:v>Core</x:v>
      </x:c>
      <x:c r="Q178" s="23" t="str">
        <x:v>Verified</x:v>
      </x:c>
      <x:c r="R178" s="26" t="n">
        <x:v>46244</x:v>
      </x:c>
      <x:c r="S178" s="17" t="str">
        <x:v>Matched to the target official channel; public metadata accessible.</x:v>
      </x:c>
      <x:c r="T178" s="16" t="str">
        <x:v>gWZ5cpxX3wc</x:v>
      </x:c>
      <x:c r="U178" s="17" t="str"/>
      <x:c r="V178" s="151"/>
      <x:c r="W178" s="17" t="str"/>
    </x:row>
    <x:row r="179" ht="42" customHeight="1">
      <x:c r="A179" s="22" t="str">
        <x:v>ST-178</x:v>
      </x:c>
      <x:c r="B179" s="22" t="str">
        <x:v>Talk</x:v>
      </x:c>
      <x:c r="C179" s="22" t="str">
        <x:v>Other</x:v>
      </x:c>
      <x:c r="D179" s="17" t="str">
        <x:v>AI Systems / Infrastructure</x:v>
      </x:c>
      <x:c r="E179" s="17" t="str">
        <x:v>AI Systems / MLOps</x:v>
      </x:c>
      <x:c r="F179" s="23" t="str">
        <x:v>English</x:v>
      </x:c>
      <x:c r="G179" s="17" t="str">
        <x:v>“Boring” Problems in Distributed ML feat. Richard Liaw | Stanford MLSys Seminar Episode 28</x:v>
      </x:c>
      <x:c r="H179" s="17" t="str">
        <x:v>To be added</x:v>
      </x:c>
      <x:c r="I179" s="17" t="str">
        <x:v>Stanford MLSys Seminars</x:v>
      </x:c>
      <x:c r="J179" s="23" t="str">
        <x:v>Research Seminar</x:v>
      </x:c>
      <x:c r="K179" s="24" t="n">
        <x:v>58</x:v>
      </x:c>
      <x:c r="L179" s="16" t="str">
        <x:v>https://www.youtube.com/watch?v=R7N3quJcGNQ</x:v>
      </x:c>
      <x:c r="M179" s="22" t="str">
        <x:v>YouTube</x:v>
      </x:c>
      <x:c r="N179" s="25" t="n">
        <x:v>2026</x:v>
      </x:c>
      <x:c r="O179" s="23" t="str">
        <x:v>A | Official / Original Creator / Organizer</x:v>
      </x:c>
      <x:c r="P179" s="23" t="str">
        <x:v>Core</x:v>
      </x:c>
      <x:c r="Q179" s="23" t="str">
        <x:v>Verified</x:v>
      </x:c>
      <x:c r="R179" s="26" t="n">
        <x:v>46244</x:v>
      </x:c>
      <x:c r="S179" s="17" t="str">
        <x:v>Matched to the target official channel; public metadata accessible.</x:v>
      </x:c>
      <x:c r="T179" s="16" t="str">
        <x:v>R7N3quJcGNQ</x:v>
      </x:c>
      <x:c r="U179" s="17" t="str"/>
      <x:c r="V179" s="151"/>
      <x:c r="W179" s="17" t="str"/>
    </x:row>
    <x:row r="180" ht="42" customHeight="1">
      <x:c r="A180" s="22" t="str">
        <x:v>ST-179</x:v>
      </x:c>
      <x:c r="B180" s="22" t="str">
        <x:v>Talk</x:v>
      </x:c>
      <x:c r="C180" s="22" t="str">
        <x:v>Other</x:v>
      </x:c>
      <x:c r="D180" s="17" t="str">
        <x:v>AI and Society</x:v>
      </x:c>
      <x:c r="E180" s="17" t="str">
        <x:v>AI and Society</x:v>
      </x:c>
      <x:c r="F180" s="23" t="str">
        <x:v>English</x:v>
      </x:c>
      <x:c r="G180" s="17" t="str">
        <x:v>HAI Seminar | Presenting the AI Index</x:v>
      </x:c>
      <x:c r="H180" s="17" t="str">
        <x:v>To be added</x:v>
      </x:c>
      <x:c r="I180" s="17" t="str">
        <x:v>Stanford HAI</x:v>
      </x:c>
      <x:c r="J180" s="23" t="str">
        <x:v>Research Seminar</x:v>
      </x:c>
      <x:c r="K180" s="24" t="n">
        <x:v>70</x:v>
      </x:c>
      <x:c r="L180" s="16" t="str">
        <x:v>https://www.youtube.com/watch?v=JLExuoRei9w</x:v>
      </x:c>
      <x:c r="M180" s="22" t="str">
        <x:v>YouTube</x:v>
      </x:c>
      <x:c r="N180" s="25" t="n">
        <x:v>3493</x:v>
      </x:c>
      <x:c r="O180" s="23" t="str">
        <x:v>A | Official / Original Creator / Organizer</x:v>
      </x:c>
      <x:c r="P180" s="23" t="str">
        <x:v>Core</x:v>
      </x:c>
      <x:c r="Q180" s="23" t="str">
        <x:v>Verified</x:v>
      </x:c>
      <x:c r="R180" s="26" t="n">
        <x:v>46244</x:v>
      </x:c>
      <x:c r="S180" s="17" t="str">
        <x:v>Matched to the target official channel; public metadata accessible.</x:v>
      </x:c>
      <x:c r="T180" s="16" t="str">
        <x:v>JLExuoRei9w</x:v>
      </x:c>
      <x:c r="U180" s="17" t="str"/>
      <x:c r="V180" s="151"/>
      <x:c r="W180" s="17" t="str"/>
    </x:row>
    <x:row r="181" ht="42" customHeight="1">
      <x:c r="A181" s="22" t="str">
        <x:v>ST-180</x:v>
      </x:c>
      <x:c r="B181" s="22" t="str">
        <x:v>Talk</x:v>
      </x:c>
      <x:c r="C181" s="22" t="str">
        <x:v>Other</x:v>
      </x:c>
      <x:c r="D181" s="17" t="str">
        <x:v>AI and Society</x:v>
      </x:c>
      <x:c r="E181" s="17" t="str">
        <x:v>AI and Society</x:v>
      </x:c>
      <x:c r="F181" s="23" t="str">
        <x:v>English</x:v>
      </x:c>
      <x:c r="G181" s="17" t="str">
        <x:v>HAI Seminar with Blaise Agüera: AI Is Human, Not Artificial</x:v>
      </x:c>
      <x:c r="H181" s="17" t="str">
        <x:v>Blaise Agüera: AI Is Human, Not Artificial</x:v>
      </x:c>
      <x:c r="I181" s="17" t="str">
        <x:v>Stanford HAI</x:v>
      </x:c>
      <x:c r="J181" s="23" t="str">
        <x:v>Research Seminar</x:v>
      </x:c>
      <x:c r="K181" s="24" t="n">
        <x:v>72</x:v>
      </x:c>
      <x:c r="L181" s="16" t="str">
        <x:v>https://www.youtube.com/watch?v=IQHWZSmczXY</x:v>
      </x:c>
      <x:c r="M181" s="22" t="str">
        <x:v>YouTube</x:v>
      </x:c>
      <x:c r="N181" s="25" t="n">
        <x:v>1093</x:v>
      </x:c>
      <x:c r="O181" s="23" t="str">
        <x:v>A | Official / Original Creator / Organizer</x:v>
      </x:c>
      <x:c r="P181" s="23" t="str">
        <x:v>Core</x:v>
      </x:c>
      <x:c r="Q181" s="23" t="str">
        <x:v>Verified</x:v>
      </x:c>
      <x:c r="R181" s="26" t="n">
        <x:v>46244</x:v>
      </x:c>
      <x:c r="S181" s="17" t="str">
        <x:v>Matched to the target official channel; public metadata accessible.</x:v>
      </x:c>
      <x:c r="T181" s="16" t="str">
        <x:v>IQHWZSmczXY</x:v>
      </x:c>
      <x:c r="U181" s="17" t="str"/>
      <x:c r="V181" s="151"/>
      <x:c r="W181" s="17" t="str"/>
    </x:row>
    <x:row r="182" ht="42" customHeight="1">
      <x:c r="A182" s="22" t="str">
        <x:v>ST-181</x:v>
      </x:c>
      <x:c r="B182" s="22" t="str">
        <x:v>Talk</x:v>
      </x:c>
      <x:c r="C182" s="22" t="str">
        <x:v>Vision</x:v>
      </x:c>
      <x:c r="D182" s="17" t="str">
        <x:v>Computer Vision</x:v>
      </x:c>
      <x:c r="E182" s="17" t="str">
        <x:v>Computer Vision</x:v>
      </x:c>
      <x:c r="F182" s="23" t="str">
        <x:v>English</x:v>
      </x:c>
      <x:c r="G182" s="17" t="str">
        <x:v>[CVPR'22 WAD] Keynote - Philipp Krähenbühl, UT Austin</x:v>
      </x:c>
      <x:c r="H182" s="17" t="str">
        <x:v>To be added</x:v>
      </x:c>
      <x:c r="I182" s="17" t="str">
        <x:v>WAD at CVPR</x:v>
      </x:c>
      <x:c r="J182" s="23" t="str">
        <x:v>Conference Keynote</x:v>
      </x:c>
      <x:c r="K182" s="24" t="n">
        <x:v>30</x:v>
      </x:c>
      <x:c r="L182" s="16" t="str">
        <x:v>https://www.youtube.com/watch?v=Lk_X08NejX0</x:v>
      </x:c>
      <x:c r="M182" s="22" t="str">
        <x:v>YouTube</x:v>
      </x:c>
      <x:c r="N182" s="25" t="n">
        <x:v>1943</x:v>
      </x:c>
      <x:c r="O182" s="23" t="str">
        <x:v>A | Official / Original Creator / Organizer</x:v>
      </x:c>
      <x:c r="P182" s="23" t="str">
        <x:v>Core</x:v>
      </x:c>
      <x:c r="Q182" s="23" t="str">
        <x:v>Verified</x:v>
      </x:c>
      <x:c r="R182" s="26" t="n">
        <x:v>46244</x:v>
      </x:c>
      <x:c r="S182" s="17" t="str">
        <x:v>Matched to the target official channel; public metadata accessible.</x:v>
      </x:c>
      <x:c r="T182" s="16" t="str">
        <x:v>Lk_X08NejX0</x:v>
      </x:c>
      <x:c r="U182" s="17" t="str"/>
      <x:c r="V182" s="151"/>
      <x:c r="W182" s="17" t="str"/>
    </x:row>
    <x:row r="183" ht="42" customHeight="1">
      <x:c r="A183" s="22" t="str">
        <x:v>ST-182</x:v>
      </x:c>
      <x:c r="B183" s="22" t="str">
        <x:v>Talk</x:v>
      </x:c>
      <x:c r="C183" s="22" t="str">
        <x:v>Other</x:v>
      </x:c>
      <x:c r="D183" s="17" t="str">
        <x:v>AI Systems / Infrastructure</x:v>
      </x:c>
      <x:c r="E183" s="17" t="str">
        <x:v>AI Systems / MLOps; AI Education</x:v>
      </x:c>
      <x:c r="F183" s="23" t="str">
        <x:v>English</x:v>
      </x:c>
      <x:c r="G183" s="17" t="str">
        <x:v>Declarative Machine Learning with Ludwig feat. Piero Molino | Stanford MLSys Seminar Episode 13</x:v>
      </x:c>
      <x:c r="H183" s="17" t="str">
        <x:v>Ludwig feat. Piero Molino</x:v>
      </x:c>
      <x:c r="I183" s="17" t="str">
        <x:v>Stanford MLSys Seminars</x:v>
      </x:c>
      <x:c r="J183" s="23" t="str">
        <x:v>Research Seminar</x:v>
      </x:c>
      <x:c r="K183" s="24" t="n">
        <x:v>61</x:v>
      </x:c>
      <x:c r="L183" s="16" t="str">
        <x:v>https://www.youtube.com/watch?v=BTkl_qc0Plc</x:v>
      </x:c>
      <x:c r="M183" s="22" t="str">
        <x:v>YouTube</x:v>
      </x:c>
      <x:c r="N183" s="25" t="n">
        <x:v>2190</x:v>
      </x:c>
      <x:c r="O183" s="23" t="str">
        <x:v>A | Official / Original Creator / Organizer</x:v>
      </x:c>
      <x:c r="P183" s="23" t="str">
        <x:v>Core</x:v>
      </x:c>
      <x:c r="Q183" s="23" t="str">
        <x:v>Verified</x:v>
      </x:c>
      <x:c r="R183" s="26" t="n">
        <x:v>46244</x:v>
      </x:c>
      <x:c r="S183" s="17" t="str">
        <x:v>Matched to the target official channel; public metadata accessible.</x:v>
      </x:c>
      <x:c r="T183" s="16" t="str">
        <x:v>BTkl_qc0Plc</x:v>
      </x:c>
      <x:c r="U183" s="17" t="str"/>
      <x:c r="V183" s="151"/>
      <x:c r="W183" s="17" t="str"/>
    </x:row>
    <x:row r="184" ht="42" customHeight="1">
      <x:c r="A184" s="22" t="str">
        <x:v>ST-183</x:v>
      </x:c>
      <x:c r="B184" s="22" t="str">
        <x:v>Talk</x:v>
      </x:c>
      <x:c r="C184" s="22" t="str">
        <x:v>Vision</x:v>
      </x:c>
      <x:c r="D184" s="17" t="str">
        <x:v>Computer Vision</x:v>
      </x:c>
      <x:c r="E184" s="17" t="str">
        <x:v>Computer Vision</x:v>
      </x:c>
      <x:c r="F184" s="23" t="str">
        <x:v>English</x:v>
      </x:c>
      <x:c r="G184" s="17" t="str">
        <x:v>[CVPR'21 WAD] Keynote - Deva Ramanan, Argo/CMU</x:v>
      </x:c>
      <x:c r="H184" s="17" t="str">
        <x:v>To be added</x:v>
      </x:c>
      <x:c r="I184" s="17" t="str">
        <x:v>WAD at CVPR</x:v>
      </x:c>
      <x:c r="J184" s="23" t="str">
        <x:v>Conference Keynote</x:v>
      </x:c>
      <x:c r="K184" s="24" t="n">
        <x:v>33</x:v>
      </x:c>
      <x:c r="L184" s="16" t="str">
        <x:v>https://www.youtube.com/watch?v=N-A5qnYXw_U</x:v>
      </x:c>
      <x:c r="M184" s="22" t="str">
        <x:v>YouTube</x:v>
      </x:c>
      <x:c r="N184" s="25" t="n">
        <x:v>3168</x:v>
      </x:c>
      <x:c r="O184" s="23" t="str">
        <x:v>A | Official / Original Creator / Organizer</x:v>
      </x:c>
      <x:c r="P184" s="23" t="str">
        <x:v>Core</x:v>
      </x:c>
      <x:c r="Q184" s="23" t="str">
        <x:v>Verified</x:v>
      </x:c>
      <x:c r="R184" s="26" t="n">
        <x:v>46244</x:v>
      </x:c>
      <x:c r="S184" s="17" t="str">
        <x:v>Matched to the target official channel; public metadata accessible.</x:v>
      </x:c>
      <x:c r="T184" s="16" t="str">
        <x:v>N-A5qnYXw_U</x:v>
      </x:c>
      <x:c r="U184" s="17" t="str"/>
      <x:c r="V184" s="151"/>
      <x:c r="W184" s="17" t="str"/>
    </x:row>
    <x:row r="185" ht="42" customHeight="1">
      <x:c r="A185" s="22" t="str">
        <x:v>ST-184</x:v>
      </x:c>
      <x:c r="B185" s="22" t="str">
        <x:v>Talk</x:v>
      </x:c>
      <x:c r="C185" s="22" t="str">
        <x:v>Other</x:v>
      </x:c>
      <x:c r="D185" s="17" t="str">
        <x:v>Representation Learning / Generative Models</x:v>
      </x:c>
      <x:c r="E185" s="17" t="str">
        <x:v>Generative AI; AI Education</x:v>
      </x:c>
      <x:c r="F185" s="23" t="str">
        <x:v>English</x:v>
      </x:c>
      <x:c r="G185" s="17" t="str">
        <x:v>ICRL14 Invited Talk: Pedro Domingos: "Symmetry Based Learning"</x:v>
      </x:c>
      <x:c r="H185" s="17" t="str">
        <x:v>ICRL14 Invited Talk</x:v>
      </x:c>
      <x:c r="I185" s="17" t="str">
        <x:v>ICLR</x:v>
      </x:c>
      <x:c r="J185" s="23" t="str">
        <x:v>Research Talk</x:v>
      </x:c>
      <x:c r="K185" s="24" t="n">
        <x:v>42</x:v>
      </x:c>
      <x:c r="L185" s="16" t="str">
        <x:v>https://www.youtube.com/watch?v=LDggERm4yfA</x:v>
      </x:c>
      <x:c r="M185" s="22" t="str">
        <x:v>YouTube</x:v>
      </x:c>
      <x:c r="N185" s="25" t="n">
        <x:v>2766</x:v>
      </x:c>
      <x:c r="O185" s="23" t="str">
        <x:v>A | Official / Original Creator / Organizer</x:v>
      </x:c>
      <x:c r="P185" s="23" t="str">
        <x:v>Core</x:v>
      </x:c>
      <x:c r="Q185" s="23" t="str">
        <x:v>Verified</x:v>
      </x:c>
      <x:c r="R185" s="26" t="n">
        <x:v>46244</x:v>
      </x:c>
      <x:c r="S185" s="17" t="str">
        <x:v>Matched to the target official channel; public metadata accessible.</x:v>
      </x:c>
      <x:c r="T185" s="16" t="str">
        <x:v>LDggERm4yfA</x:v>
      </x:c>
      <x:c r="U185" s="17" t="str"/>
      <x:c r="V185" s="151"/>
      <x:c r="W185" s="17" t="str"/>
    </x:row>
    <x:row r="186" ht="42" customHeight="1">
      <x:c r="A186" s="22" t="str">
        <x:v>ST-185</x:v>
      </x:c>
      <x:c r="B186" s="22" t="str">
        <x:v>Talk</x:v>
      </x:c>
      <x:c r="C186" s="22" t="str">
        <x:v>Robotics</x:v>
      </x:c>
      <x:c r="D186" s="17" t="str">
        <x:v>Robotics / Embodied AI</x:v>
      </x:c>
      <x:c r="E186" s="17" t="str">
        <x:v>Robotics / Embodied AI; AI Education</x:v>
      </x:c>
      <x:c r="F186" s="23" t="str">
        <x:v>English</x:v>
      </x:c>
      <x:c r="G186" s="17" t="str">
        <x:v>RI Seminar: Deepak Pathak : Learning to Generalize beyond Training</x:v>
      </x:c>
      <x:c r="H186" s="17" t="str">
        <x:v>To be added</x:v>
      </x:c>
      <x:c r="I186" s="17" t="str">
        <x:v>CMU Robotics Institute</x:v>
      </x:c>
      <x:c r="J186" s="23" t="str">
        <x:v>Research Seminar</x:v>
      </x:c>
      <x:c r="K186" s="24" t="n">
        <x:v>67</x:v>
      </x:c>
      <x:c r="L186" s="16" t="str">
        <x:v>https://www.youtube.com/watch?v=Oabu6Gz1op0</x:v>
      </x:c>
      <x:c r="M186" s="22" t="str">
        <x:v>YouTube</x:v>
      </x:c>
      <x:c r="N186" s="25" t="n">
        <x:v>3239</x:v>
      </x:c>
      <x:c r="O186" s="23" t="str">
        <x:v>A | Official / Original Creator / Organizer</x:v>
      </x:c>
      <x:c r="P186" s="23" t="str">
        <x:v>Core</x:v>
      </x:c>
      <x:c r="Q186" s="23" t="str">
        <x:v>Verified</x:v>
      </x:c>
      <x:c r="R186" s="26" t="n">
        <x:v>46244</x:v>
      </x:c>
      <x:c r="S186" s="17" t="str">
        <x:v>Matched to the target official channel; public metadata accessible.</x:v>
      </x:c>
      <x:c r="T186" s="16" t="str">
        <x:v>Oabu6Gz1op0</x:v>
      </x:c>
      <x:c r="U186" s="17" t="str"/>
      <x:c r="V186" s="151"/>
      <x:c r="W186" s="17" t="str"/>
    </x:row>
    <x:row r="187" ht="42" customHeight="1">
      <x:c r="A187" s="22" t="str">
        <x:v>ST-186</x:v>
      </x:c>
      <x:c r="B187" s="22" t="str">
        <x:v>Talk</x:v>
      </x:c>
      <x:c r="C187" s="22" t="str">
        <x:v>Other</x:v>
      </x:c>
      <x:c r="D187" s="17" t="str">
        <x:v>AI and Society</x:v>
      </x:c>
      <x:c r="E187" s="17" t="str">
        <x:v>AI and Society</x:v>
      </x:c>
      <x:c r="F187" s="23" t="str">
        <x:v>English</x:v>
      </x:c>
      <x:c r="G187" s="17" t="str">
        <x:v>HAI Seminar: Wikipedia in the Age of AI and Bots</x:v>
      </x:c>
      <x:c r="H187" s="17" t="str">
        <x:v>To be added</x:v>
      </x:c>
      <x:c r="I187" s="17" t="str">
        <x:v>Stanford HAI</x:v>
      </x:c>
      <x:c r="J187" s="23" t="str">
        <x:v>Research Seminar</x:v>
      </x:c>
      <x:c r="K187" s="24" t="n">
        <x:v>60</x:v>
      </x:c>
      <x:c r="L187" s="16" t="str">
        <x:v>https://www.youtube.com/watch?v=89GblVSnRPE</x:v>
      </x:c>
      <x:c r="M187" s="22" t="str">
        <x:v>YouTube</x:v>
      </x:c>
      <x:c r="N187" s="25" t="n">
        <x:v>659</x:v>
      </x:c>
      <x:c r="O187" s="23" t="str">
        <x:v>A | Official / Original Creator / Organizer</x:v>
      </x:c>
      <x:c r="P187" s="23" t="str">
        <x:v>Core</x:v>
      </x:c>
      <x:c r="Q187" s="23" t="str">
        <x:v>Verified</x:v>
      </x:c>
      <x:c r="R187" s="26" t="n">
        <x:v>46244</x:v>
      </x:c>
      <x:c r="S187" s="17" t="str">
        <x:v>Matched to the target official channel; public metadata accessible.</x:v>
      </x:c>
      <x:c r="T187" s="16" t="str">
        <x:v>89GblVSnRPE</x:v>
      </x:c>
      <x:c r="U187" s="17" t="str"/>
      <x:c r="V187" s="151"/>
      <x:c r="W187" s="17" t="str"/>
    </x:row>
    <x:row r="188" ht="42" customHeight="1">
      <x:c r="A188" s="22" t="str">
        <x:v>ST-187</x:v>
      </x:c>
      <x:c r="B188" s="22" t="str">
        <x:v>Talk</x:v>
      </x:c>
      <x:c r="C188" s="22" t="str">
        <x:v>Other</x:v>
      </x:c>
      <x:c r="D188" s="17" t="str">
        <x:v>AI Systems / Infrastructure</x:v>
      </x:c>
      <x:c r="E188" s="17" t="str">
        <x:v>AI Systems / MLOps; AI Education</x:v>
      </x:c>
      <x:c r="F188" s="23" t="str">
        <x:v>English</x:v>
      </x:c>
      <x:c r="G188" s="17" t="str">
        <x:v>Distributed ML for Federated Learning feat. Chaoyang He | Stanford MLSys Seminar Episode 37</x:v>
      </x:c>
      <x:c r="H188" s="17" t="str">
        <x:v>To be added</x:v>
      </x:c>
      <x:c r="I188" s="17" t="str">
        <x:v>Stanford MLSys Seminars</x:v>
      </x:c>
      <x:c r="J188" s="23" t="str">
        <x:v>Research Seminar</x:v>
      </x:c>
      <x:c r="K188" s="24" t="n">
        <x:v>67</x:v>
      </x:c>
      <x:c r="L188" s="16" t="str">
        <x:v>https://www.youtube.com/watch?v=AY7pCYTC8pQ</x:v>
      </x:c>
      <x:c r="M188" s="22" t="str">
        <x:v>YouTube</x:v>
      </x:c>
      <x:c r="N188" s="25" t="n">
        <x:v>3543</x:v>
      </x:c>
      <x:c r="O188" s="23" t="str">
        <x:v>A | Official / Original Creator / Organizer</x:v>
      </x:c>
      <x:c r="P188" s="23" t="str">
        <x:v>Core</x:v>
      </x:c>
      <x:c r="Q188" s="23" t="str">
        <x:v>Verified</x:v>
      </x:c>
      <x:c r="R188" s="26" t="n">
        <x:v>46244</x:v>
      </x:c>
      <x:c r="S188" s="17" t="str">
        <x:v>Matched to the target official channel; public metadata accessible.</x:v>
      </x:c>
      <x:c r="T188" s="16" t="str">
        <x:v>AY7pCYTC8pQ</x:v>
      </x:c>
      <x:c r="U188" s="17" t="str"/>
      <x:c r="V188" s="151"/>
      <x:c r="W188" s="17" t="str"/>
    </x:row>
    <x:row r="189" ht="42" customHeight="1">
      <x:c r="A189" s="22" t="str">
        <x:v>ST-188</x:v>
      </x:c>
      <x:c r="B189" s="22" t="str">
        <x:v>Talk</x:v>
      </x:c>
      <x:c r="C189" s="22" t="str">
        <x:v>Other</x:v>
      </x:c>
      <x:c r="D189" s="17" t="str">
        <x:v>AI Research Frontiers</x:v>
      </x:c>
      <x:c r="E189" s="17" t="str">
        <x:v>AI Systems / MLOps</x:v>
      </x:c>
      <x:c r="F189" s="23" t="str">
        <x:v>English</x:v>
      </x:c>
      <x:c r="G189" s="17" t="str">
        <x:v>A.I. Lab 1997 Lecture Series: Rosalind Picard - God and Computers: Minds, Machines, and Metaphysics</x:v>
      </x:c>
      <x:c r="H189" s="17" t="str">
        <x:v>To be added</x:v>
      </x:c>
      <x:c r="I189" s="17" t="str">
        <x:v>MIT Video Productions</x:v>
      </x:c>
      <x:c r="J189" s="23" t="str">
        <x:v>Public Lecture</x:v>
      </x:c>
      <x:c r="K189" s="24" t="n">
        <x:v>75</x:v>
      </x:c>
      <x:c r="L189" s="16" t="str">
        <x:v>https://www.youtube.com/watch?v=FytfzaPyqj0</x:v>
      </x:c>
      <x:c r="M189" s="22" t="str">
        <x:v>YouTube</x:v>
      </x:c>
      <x:c r="N189" s="25" t="n">
        <x:v>659</x:v>
      </x:c>
      <x:c r="O189" s="23" t="str">
        <x:v>A | Official / Original Creator / Organizer</x:v>
      </x:c>
      <x:c r="P189" s="23" t="str">
        <x:v>Core</x:v>
      </x:c>
      <x:c r="Q189" s="23" t="str">
        <x:v>Verified</x:v>
      </x:c>
      <x:c r="R189" s="26" t="n">
        <x:v>46244</x:v>
      </x:c>
      <x:c r="S189" s="17" t="str">
        <x:v>Matched to the target official channel; public metadata accessible.</x:v>
      </x:c>
      <x:c r="T189" s="16" t="str">
        <x:v>FytfzaPyqj0</x:v>
      </x:c>
      <x:c r="U189" s="17" t="str"/>
      <x:c r="V189" s="151"/>
      <x:c r="W189" s="17" t="str"/>
    </x:row>
    <x:row r="190" ht="42" customHeight="1">
      <x:c r="A190" s="22" t="str">
        <x:v>ST-189</x:v>
      </x:c>
      <x:c r="B190" s="22" t="str">
        <x:v>Talk</x:v>
      </x:c>
      <x:c r="C190" s="22" t="str">
        <x:v>Other</x:v>
      </x:c>
      <x:c r="D190" s="17" t="str">
        <x:v>Multimodal Learning</x:v>
      </x:c>
      <x:c r="E190" s="17" t="str">
        <x:v>Generative AI; Multimodal Learning</x:v>
      </x:c>
      <x:c r="F190" s="23" t="str">
        <x:v>English</x:v>
      </x:c>
      <x:c r="G190" s="17" t="str">
        <x:v>PAL 2020 Invited Talk: Multimodal Deep Generative Models for Interaction-Aware Decision Making</x:v>
      </x:c>
      <x:c r="H190" s="17" t="str">
        <x:v>PAL 2020 Invited Talk</x:v>
      </x:c>
      <x:c r="I190" s="17" t="str">
        <x:v>MIT SPARK Lab</x:v>
      </x:c>
      <x:c r="J190" s="23" t="str">
        <x:v>Research Talk</x:v>
      </x:c>
      <x:c r="K190" s="24" t="n">
        <x:v>30</x:v>
      </x:c>
      <x:c r="L190" s="16" t="str">
        <x:v>https://www.youtube.com/watch?v=FnnT9iRQVn8</x:v>
      </x:c>
      <x:c r="M190" s="22" t="str">
        <x:v>YouTube</x:v>
      </x:c>
      <x:c r="N190" s="25" t="n">
        <x:v>418</x:v>
      </x:c>
      <x:c r="O190" s="23" t="str">
        <x:v>A | Official / Original Creator / Organizer</x:v>
      </x:c>
      <x:c r="P190" s="23" t="str">
        <x:v>Core</x:v>
      </x:c>
      <x:c r="Q190" s="23" t="str">
        <x:v>Verified</x:v>
      </x:c>
      <x:c r="R190" s="26" t="n">
        <x:v>46244</x:v>
      </x:c>
      <x:c r="S190" s="17" t="str">
        <x:v>Matched to the target official channel; public metadata accessible.</x:v>
      </x:c>
      <x:c r="T190" s="16" t="str">
        <x:v>FnnT9iRQVn8</x:v>
      </x:c>
      <x:c r="U190" s="17" t="str"/>
      <x:c r="V190" s="151"/>
      <x:c r="W190" s="17" t="str"/>
    </x:row>
    <x:row r="191" ht="42" customHeight="1">
      <x:c r="A191" s="22" t="str">
        <x:v>ST-190</x:v>
      </x:c>
      <x:c r="B191" s="22" t="str">
        <x:v>Talk</x:v>
      </x:c>
      <x:c r="C191" s="22" t="str">
        <x:v>World Model</x:v>
      </x:c>
      <x:c r="D191" s="17" t="str">
        <x:v>Foundation Models / AI Frontiers</x:v>
      </x:c>
      <x:c r="E191" s="17" t="str">
        <x:v>Foundation Models / World Models</x:v>
      </x:c>
      <x:c r="F191" s="23" t="str">
        <x:v>English</x:v>
      </x:c>
      <x:c r="G191" s="17" t="str">
        <x:v>The arrival of AGI | Shane Legg (co-founder of DeepMind)</x:v>
      </x:c>
      <x:c r="H191" s="17" t="str">
        <x:v>To be added</x:v>
      </x:c>
      <x:c r="I191" s="17" t="str">
        <x:v>Google DeepMind and Hannah Fry</x:v>
      </x:c>
      <x:c r="J191" s="23" t="str">
        <x:v>Research Talk</x:v>
      </x:c>
      <x:c r="K191" s="24" t="n">
        <x:v>53</x:v>
      </x:c>
      <x:c r="L191" s="16" t="str">
        <x:v>https://www.youtube.com/watch?v=l3u_FAv33G0</x:v>
      </x:c>
      <x:c r="M191" s="22" t="str">
        <x:v>YouTube</x:v>
      </x:c>
      <x:c r="N191" s="25" t="n">
        <x:v>1244337</x:v>
      </x:c>
      <x:c r="O191" s="23" t="str">
        <x:v>A | Official / Original Creator / Organizer</x:v>
      </x:c>
      <x:c r="P191" s="23" t="str">
        <x:v>Core</x:v>
      </x:c>
      <x:c r="Q191" s="23" t="str">
        <x:v>Verified</x:v>
      </x:c>
      <x:c r="R191" s="26" t="n">
        <x:v>46244</x:v>
      </x:c>
      <x:c r="S191" s="17" t="str">
        <x:v>Matched to the target official channel; public metadata accessible.</x:v>
      </x:c>
      <x:c r="T191" s="16" t="str">
        <x:v>l3u_FAv33G0</x:v>
      </x:c>
      <x:c r="U191" s="17" t="str"/>
      <x:c r="V191" s="151"/>
      <x:c r="W191" s="17" t="str"/>
    </x:row>
    <x:row r="192" ht="42" customHeight="1">
      <x:c r="A192" s="22" t="str">
        <x:v>ST-191</x:v>
      </x:c>
      <x:c r="B192" s="22" t="str">
        <x:v>Talk</x:v>
      </x:c>
      <x:c r="C192" s="22" t="str">
        <x:v>Vision</x:v>
      </x:c>
      <x:c r="D192" s="17" t="str">
        <x:v>Diffusion Models / Generative AI</x:v>
      </x:c>
      <x:c r="E192" s="17" t="str">
        <x:v>Generative AI; AI for Science</x:v>
      </x:c>
      <x:c r="F192" s="23" t="str">
        <x:v>English</x:v>
      </x:c>
      <x:c r="G192" s="17" t="str">
        <x:v>MedAI #92: Generative Diffusion Models for Medical Imaging | Hyungjin Chung</x:v>
      </x:c>
      <x:c r="H192" s="17" t="str">
        <x:v>MedAI #92</x:v>
      </x:c>
      <x:c r="I192" s="17" t="str">
        <x:v>Stanford MedAI</x:v>
      </x:c>
      <x:c r="J192" s="23" t="str">
        <x:v>Research Talk</x:v>
      </x:c>
      <x:c r="K192" s="24" t="n">
        <x:v>58</x:v>
      </x:c>
      <x:c r="L192" s="16" t="str">
        <x:v>https://www.youtube.com/watch?v=1z5rwWr5tlI</x:v>
      </x:c>
      <x:c r="M192" s="22" t="str">
        <x:v>YouTube</x:v>
      </x:c>
      <x:c r="N192" s="25" t="n">
        <x:v>9876</x:v>
      </x:c>
      <x:c r="O192" s="23" t="str">
        <x:v>A | Official / Original Creator / Organizer</x:v>
      </x:c>
      <x:c r="P192" s="23" t="str">
        <x:v>Core</x:v>
      </x:c>
      <x:c r="Q192" s="23" t="str">
        <x:v>Verified</x:v>
      </x:c>
      <x:c r="R192" s="26" t="n">
        <x:v>46244</x:v>
      </x:c>
      <x:c r="S192" s="17" t="str">
        <x:v>Matched to the target official channel; public metadata accessible.</x:v>
      </x:c>
      <x:c r="T192" s="16" t="str">
        <x:v>1z5rwWr5tlI</x:v>
      </x:c>
      <x:c r="U192" s="17" t="str"/>
      <x:c r="V192" s="151"/>
      <x:c r="W192" s="17" t="str"/>
    </x:row>
    <x:row r="193" ht="42" customHeight="1">
      <x:c r="A193" s="22" t="str">
        <x:v>ST-192</x:v>
      </x:c>
      <x:c r="B193" s="22" t="str">
        <x:v>Talk</x:v>
      </x:c>
      <x:c r="C193" s="22" t="str">
        <x:v>Other</x:v>
      </x:c>
      <x:c r="D193" s="17" t="str">
        <x:v>AI for Science</x:v>
      </x:c>
      <x:c r="E193" s="17" t="str">
        <x:v>AI for Science; AI Education</x:v>
      </x:c>
      <x:c r="F193" s="23" t="str">
        <x:v>English</x:v>
      </x:c>
      <x:c r="G193" s="17" t="str">
        <x:v>Machine Learning Accelerating Scientific Discovery</x:v>
      </x:c>
      <x:c r="H193" s="17" t="str">
        <x:v>To be added</x:v>
      </x:c>
      <x:c r="I193" s="17" t="str">
        <x:v>MITCBMM</x:v>
      </x:c>
      <x:c r="J193" s="23" t="str">
        <x:v>Research Talk</x:v>
      </x:c>
      <x:c r="K193" s="24" t="n">
        <x:v>69</x:v>
      </x:c>
      <x:c r="L193" s="16" t="str">
        <x:v>https://www.youtube.com/watch?v=iLobVDihMoc</x:v>
      </x:c>
      <x:c r="M193" s="22" t="str">
        <x:v>YouTube</x:v>
      </x:c>
      <x:c r="N193" s="25" t="n">
        <x:v>1495</x:v>
      </x:c>
      <x:c r="O193" s="23" t="str">
        <x:v>A | Official / Original Creator / Organizer</x:v>
      </x:c>
      <x:c r="P193" s="23" t="str">
        <x:v>Core</x:v>
      </x:c>
      <x:c r="Q193" s="23" t="str">
        <x:v>Verified</x:v>
      </x:c>
      <x:c r="R193" s="26" t="n">
        <x:v>46244</x:v>
      </x:c>
      <x:c r="S193" s="17" t="str">
        <x:v>Matched to the target official channel; public metadata accessible.</x:v>
      </x:c>
      <x:c r="T193" s="16" t="str">
        <x:v>iLobVDihMoc</x:v>
      </x:c>
      <x:c r="U193" s="17" t="str"/>
      <x:c r="V193" s="151"/>
      <x:c r="W193" s="17" t="str"/>
    </x:row>
    <x:row r="194" ht="42" customHeight="1">
      <x:c r="A194" s="22" t="str">
        <x:v>ST-193</x:v>
      </x:c>
      <x:c r="B194" s="22" t="str">
        <x:v>Talk</x:v>
      </x:c>
      <x:c r="C194" s="22" t="str">
        <x:v>Vision</x:v>
      </x:c>
      <x:c r="D194" s="17" t="str">
        <x:v>Diffusion Models / Generative AI</x:v>
      </x:c>
      <x:c r="E194" s="17" t="str">
        <x:v>Generative AI; Computer Vision; AI for Science</x:v>
      </x:c>
      <x:c r="F194" s="23" t="str">
        <x:v>English</x:v>
      </x:c>
      <x:c r="G194" s="17" t="str">
        <x:v>MedAI #96: Denoising Diffusion Models for Medical Image Analysis | Julia Wolleb</x:v>
      </x:c>
      <x:c r="H194" s="17" t="str">
        <x:v>MedAI #96</x:v>
      </x:c>
      <x:c r="I194" s="17" t="str">
        <x:v>Stanford MedAI</x:v>
      </x:c>
      <x:c r="J194" s="23" t="str">
        <x:v>Research Talk</x:v>
      </x:c>
      <x:c r="K194" s="24" t="n">
        <x:v>64</x:v>
      </x:c>
      <x:c r="L194" s="16" t="str">
        <x:v>https://www.youtube.com/watch?v=US9CzPrT2H8</x:v>
      </x:c>
      <x:c r="M194" s="22" t="str">
        <x:v>YouTube</x:v>
      </x:c>
      <x:c r="N194" s="25" t="n">
        <x:v>5497</x:v>
      </x:c>
      <x:c r="O194" s="23" t="str">
        <x:v>A | Official / Original Creator / Organizer</x:v>
      </x:c>
      <x:c r="P194" s="23" t="str">
        <x:v>Core</x:v>
      </x:c>
      <x:c r="Q194" s="23" t="str">
        <x:v>Verified</x:v>
      </x:c>
      <x:c r="R194" s="26" t="n">
        <x:v>46244</x:v>
      </x:c>
      <x:c r="S194" s="17" t="str">
        <x:v>Matched to the target official channel; public metadata accessible.</x:v>
      </x:c>
      <x:c r="T194" s="16" t="str">
        <x:v>US9CzPrT2H8</x:v>
      </x:c>
      <x:c r="U194" s="17" t="str"/>
      <x:c r="V194" s="151"/>
      <x:c r="W194" s="17" t="str"/>
    </x:row>
    <x:row r="195" ht="42" customHeight="1">
      <x:c r="A195" s="22" t="str">
        <x:v>ST-194</x:v>
      </x:c>
      <x:c r="B195" s="22" t="str">
        <x:v>Talk</x:v>
      </x:c>
      <x:c r="C195" s="22" t="str">
        <x:v>Vision</x:v>
      </x:c>
      <x:c r="D195" s="17" t="str">
        <x:v>Diffusion Models / Generative AI</x:v>
      </x:c>
      <x:c r="E195" s="17" t="str">
        <x:v>Generative AI</x:v>
      </x:c>
      <x:c r="F195" s="23" t="str">
        <x:v>English</x:v>
      </x:c>
      <x:c r="G195" s="17" t="str">
        <x:v>MedAI #70: Denoising diffusion models for denoising diffusion MRI | Tiange Xiang</x:v>
      </x:c>
      <x:c r="H195" s="17" t="str">
        <x:v>MedAI #70</x:v>
      </x:c>
      <x:c r="I195" s="17" t="str">
        <x:v>Stanford MedAI</x:v>
      </x:c>
      <x:c r="J195" s="23" t="str">
        <x:v>Research Talk</x:v>
      </x:c>
      <x:c r="K195" s="24" t="n">
        <x:v>40</x:v>
      </x:c>
      <x:c r="L195" s="16" t="str">
        <x:v>https://www.youtube.com/watch?v=IOmnazOXfv4</x:v>
      </x:c>
      <x:c r="M195" s="22" t="str">
        <x:v>YouTube</x:v>
      </x:c>
      <x:c r="N195" s="25" t="n">
        <x:v>2528</x:v>
      </x:c>
      <x:c r="O195" s="23" t="str">
        <x:v>A | Official / Original Creator / Organizer</x:v>
      </x:c>
      <x:c r="P195" s="23" t="str">
        <x:v>Core</x:v>
      </x:c>
      <x:c r="Q195" s="23" t="str">
        <x:v>Verified</x:v>
      </x:c>
      <x:c r="R195" s="26" t="n">
        <x:v>46244</x:v>
      </x:c>
      <x:c r="S195" s="17" t="str">
        <x:v>Matched to the target official channel; public metadata accessible.</x:v>
      </x:c>
      <x:c r="T195" s="16" t="str">
        <x:v>IOmnazOXfv4</x:v>
      </x:c>
      <x:c r="U195" s="17" t="str"/>
      <x:c r="V195" s="151"/>
      <x:c r="W195" s="17" t="str"/>
    </x:row>
    <x:row r="196" ht="42" customHeight="1">
      <x:c r="A196" s="22" t="str">
        <x:v>ST-195</x:v>
      </x:c>
      <x:c r="B196" s="22" t="str">
        <x:v>Talk</x:v>
      </x:c>
      <x:c r="C196" s="22" t="str">
        <x:v>Other</x:v>
      </x:c>
      <x:c r="D196" s="17" t="str">
        <x:v>AI Research Frontiers</x:v>
      </x:c>
      <x:c r="E196" s="17" t="str">
        <x:v>AI Research Frontiers</x:v>
      </x:c>
      <x:c r="F196" s="23" t="str">
        <x:v>English</x:v>
      </x:c>
      <x:c r="G196" s="17" t="str">
        <x:v>Google I/O '26 Keynote</x:v>
      </x:c>
      <x:c r="H196" s="17" t="str">
        <x:v>To be added</x:v>
      </x:c>
      <x:c r="I196" s="17" t="str">
        <x:v>Google</x:v>
      </x:c>
      <x:c r="J196" s="23" t="str">
        <x:v>Conference Keynote</x:v>
      </x:c>
      <x:c r="K196" s="24" t="n">
        <x:v>111</x:v>
      </x:c>
      <x:c r="L196" s="16" t="str">
        <x:v>https://www.youtube.com/watch?v=wYSncx9zLIU</x:v>
      </x:c>
      <x:c r="M196" s="22" t="str">
        <x:v>YouTube</x:v>
      </x:c>
      <x:c r="N196" s="25" t="n">
        <x:v>9164883</x:v>
      </x:c>
      <x:c r="O196" s="23" t="str">
        <x:v>B | University / Conference / Institution</x:v>
      </x:c>
      <x:c r="P196" s="23" t="str">
        <x:v>Recommended</x:v>
      </x:c>
      <x:c r="Q196" s="23" t="str">
        <x:v>Verified</x:v>
      </x:c>
      <x:c r="R196" s="26" t="n">
        <x:v>46244</x:v>
      </x:c>
      <x:c r="S196" s="17" t="str">
        <x:v>Title, channel, and public metadata reviewed.</x:v>
      </x:c>
      <x:c r="T196" s="16" t="str">
        <x:v>wYSncx9zLIU</x:v>
      </x:c>
      <x:c r="U196" s="17" t="str"/>
      <x:c r="V196" s="151"/>
      <x:c r="W196" s="17" t="str"/>
    </x:row>
    <x:row r="197" ht="42" customHeight="1">
      <x:c r="A197" s="22" t="str">
        <x:v>ST-196</x:v>
      </x:c>
      <x:c r="B197" s="22" t="str">
        <x:v>Talk</x:v>
      </x:c>
      <x:c r="C197" s="22" t="str">
        <x:v>Other</x:v>
      </x:c>
      <x:c r="D197" s="17" t="str">
        <x:v>AI Research Frontiers</x:v>
      </x:c>
      <x:c r="E197" s="17" t="str">
        <x:v>AI Research Frontiers</x:v>
      </x:c>
      <x:c r="F197" s="23" t="str">
        <x:v>English</x:v>
      </x:c>
      <x:c r="G197" s="17" t="str">
        <x:v>Consciousness in Artificial Intelligence | John Searle | Talks at Google</x:v>
      </x:c>
      <x:c r="H197" s="17" t="str">
        <x:v>John Searle</x:v>
      </x:c>
      <x:c r="I197" s="17" t="str">
        <x:v>Talks at Google</x:v>
      </x:c>
      <x:c r="J197" s="23" t="str">
        <x:v>Research Talk</x:v>
      </x:c>
      <x:c r="K197" s="24" t="n">
        <x:v>71</x:v>
      </x:c>
      <x:c r="L197" s="16" t="str">
        <x:v>https://www.youtube.com/watch?v=rHKwIYsPXLg</x:v>
      </x:c>
      <x:c r="M197" s="22" t="str">
        <x:v>YouTube</x:v>
      </x:c>
      <x:c r="N197" s="25" t="n">
        <x:v>472681</x:v>
      </x:c>
      <x:c r="O197" s="23" t="str">
        <x:v>B | University / Conference / Institution</x:v>
      </x:c>
      <x:c r="P197" s="23" t="str">
        <x:v>Recommended</x:v>
      </x:c>
      <x:c r="Q197" s="23" t="str">
        <x:v>Verified</x:v>
      </x:c>
      <x:c r="R197" s="26" t="n">
        <x:v>46244</x:v>
      </x:c>
      <x:c r="S197" s="17" t="str">
        <x:v>Title, channel, and public metadata reviewed.</x:v>
      </x:c>
      <x:c r="T197" s="16" t="str">
        <x:v>rHKwIYsPXLg</x:v>
      </x:c>
      <x:c r="U197" s="17" t="str"/>
      <x:c r="V197" s="151"/>
      <x:c r="W197" s="17" t="str"/>
    </x:row>
    <x:row r="198" ht="42" customHeight="1">
      <x:c r="A198" s="22" t="str">
        <x:v>ST-197</x:v>
      </x:c>
      <x:c r="B198" s="22" t="str">
        <x:v>Talk</x:v>
      </x:c>
      <x:c r="C198" s="22" t="str">
        <x:v>Other</x:v>
      </x:c>
      <x:c r="D198" s="17" t="str">
        <x:v>Large-Model Systems</x:v>
      </x:c>
      <x:c r="E198" s="17" t="str">
        <x:v>Large Language Models; AI Systems / MLOps</x:v>
      </x:c>
      <x:c r="F198" s="23" t="str">
        <x:v>English</x:v>
      </x:c>
      <x:c r="G198" s="17" t="str">
        <x:v>Large Language Models and The End of Programming - CS50 Tech Talk with Dr. Matt Welsh</x:v>
      </x:c>
      <x:c r="H198" s="17" t="str">
        <x:v>Dr. Matt Welsh</x:v>
      </x:c>
      <x:c r="I198" s="17" t="str">
        <x:v>CS50</x:v>
      </x:c>
      <x:c r="J198" s="23" t="str">
        <x:v>Research Talk</x:v>
      </x:c>
      <x:c r="K198" s="24" t="n">
        <x:v>67</x:v>
      </x:c>
      <x:c r="L198" s="16" t="str">
        <x:v>https://www.youtube.com/watch?v=JhCl-GeT4jw</x:v>
      </x:c>
      <x:c r="M198" s="22" t="str">
        <x:v>YouTube</x:v>
      </x:c>
      <x:c r="N198" s="25" t="n">
        <x:v>849235</x:v>
      </x:c>
      <x:c r="O198" s="23" t="str">
        <x:v>A | Official / Original Creator / Organizer</x:v>
      </x:c>
      <x:c r="P198" s="23" t="str">
        <x:v>Recommended</x:v>
      </x:c>
      <x:c r="Q198" s="23" t="str">
        <x:v>Verified</x:v>
      </x:c>
      <x:c r="R198" s="26" t="n">
        <x:v>46244</x:v>
      </x:c>
      <x:c r="S198" s="17" t="str">
        <x:v>Title, channel, and public metadata reviewed.</x:v>
      </x:c>
      <x:c r="T198" s="16" t="str">
        <x:v>JhCl-GeT4jw</x:v>
      </x:c>
      <x:c r="U198" s="17" t="str"/>
      <x:c r="V198" s="151"/>
      <x:c r="W198" s="17" t="str"/>
    </x:row>
    <x:row r="199" ht="42" customHeight="1">
      <x:c r="A199" s="22" t="str">
        <x:v>ST-198</x:v>
      </x:c>
      <x:c r="B199" s="22" t="str">
        <x:v>Talk</x:v>
      </x:c>
      <x:c r="C199" s="22" t="str">
        <x:v>Other</x:v>
      </x:c>
      <x:c r="D199" s="17" t="str">
        <x:v>Multimodal Learning</x:v>
      </x:c>
      <x:c r="E199" s="17" t="str">
        <x:v>Multimodal Learning; AI Education</x:v>
      </x:c>
      <x:c r="F199" s="23" t="str">
        <x:v>English</x:v>
      </x:c>
      <x:c r="G199" s="17" t="str">
        <x:v>Talk: What Makes Multi-modal Learning Better than Single (Provably)</x:v>
      </x:c>
      <x:c r="H199" s="17" t="str">
        <x:v>Talk</x:v>
      </x:c>
      <x:c r="I199" s="17" t="str">
        <x:v>Microsoft Research</x:v>
      </x:c>
      <x:c r="J199" s="23" t="str">
        <x:v>Research Talk</x:v>
      </x:c>
      <x:c r="K199" s="24" t="n">
        <x:v>19</x:v>
      </x:c>
      <x:c r="L199" s="16" t="str">
        <x:v>https://www.youtube.com/watch?v=lIy0d6APuic</x:v>
      </x:c>
      <x:c r="M199" s="22" t="str">
        <x:v>YouTube</x:v>
      </x:c>
      <x:c r="N199" s="25" t="n">
        <x:v>3129</x:v>
      </x:c>
      <x:c r="O199" s="23" t="str">
        <x:v>A | Official / Original Creator / Organizer</x:v>
      </x:c>
      <x:c r="P199" s="23" t="str">
        <x:v>Recommended</x:v>
      </x:c>
      <x:c r="Q199" s="23" t="str">
        <x:v>Verified</x:v>
      </x:c>
      <x:c r="R199" s="26" t="n">
        <x:v>46244</x:v>
      </x:c>
      <x:c r="S199" s="17" t="str">
        <x:v>Title, channel, and public metadata reviewed.</x:v>
      </x:c>
      <x:c r="T199" s="16" t="str">
        <x:v>lIy0d6APuic</x:v>
      </x:c>
      <x:c r="U199" s="17" t="str"/>
      <x:c r="V199" s="151"/>
      <x:c r="W199" s="17" t="str"/>
    </x:row>
    <x:row r="200" ht="42" customHeight="1">
      <x:c r="A200" s="22" t="str">
        <x:v>ST-199</x:v>
      </x:c>
      <x:c r="B200" s="22" t="str">
        <x:v>Talk</x:v>
      </x:c>
      <x:c r="C200" s="22" t="str">
        <x:v>Other</x:v>
      </x:c>
      <x:c r="D200" s="17" t="str">
        <x:v>Natural Language Processing</x:v>
      </x:c>
      <x:c r="E200" s="17" t="str">
        <x:v>Large Language Models; Natural Language Processing</x:v>
      </x:c>
      <x:c r="F200" s="23" t="str">
        <x:v>English</x:v>
      </x:c>
      <x:c r="G200" s="17" t="str">
        <x:v>KDD 2025 - Keynote Speakers: Christopher Manning / Meaning and Intelligence in Language Models</x:v>
      </x:c>
      <x:c r="H200" s="17" t="str">
        <x:v>Christopher Manning</x:v>
      </x:c>
      <x:c r="I200" s="17" t="str">
        <x:v>Association for Computing Machinery (ACM)</x:v>
      </x:c>
      <x:c r="J200" s="23" t="str">
        <x:v>Conference Keynote</x:v>
      </x:c>
      <x:c r="K200" s="24" t="n">
        <x:v>71</x:v>
      </x:c>
      <x:c r="L200" s="16" t="str">
        <x:v>https://www.youtube.com/watch?v=d6XBrx_7rIE</x:v>
      </x:c>
      <x:c r="M200" s="22" t="str">
        <x:v>YouTube</x:v>
      </x:c>
      <x:c r="N200" s="25" t="n">
        <x:v>1013</x:v>
      </x:c>
      <x:c r="O200" s="23" t="str">
        <x:v>A | Official / Original Creator / Organizer</x:v>
      </x:c>
      <x:c r="P200" s="23" t="str">
        <x:v>Recommended</x:v>
      </x:c>
      <x:c r="Q200" s="23" t="str">
        <x:v>Verified</x:v>
      </x:c>
      <x:c r="R200" s="26" t="n">
        <x:v>46244</x:v>
      </x:c>
      <x:c r="S200" s="17" t="str">
        <x:v>Official ACM YouTube upload; speaker name and title spacing corrected during the 2026-08-15 conference-talk deduplication pass.</x:v>
      </x:c>
      <x:c r="T200" s="16" t="str">
        <x:v>d6XBrx_7rIE</x:v>
      </x:c>
      <x:c r="U200" s="17" t="str"/>
      <x:c r="V200" s="151"/>
      <x:c r="W200" s="17" t="str"/>
    </x:row>
    <x:row r="201" ht="42" customHeight="1">
      <x:c r="A201" s="22" t="str">
        <x:v>ST-200</x:v>
      </x:c>
      <x:c r="B201" s="22" t="str">
        <x:v>Talk</x:v>
      </x:c>
      <x:c r="C201" s="22" t="str">
        <x:v>Other</x:v>
      </x:c>
      <x:c r="D201" s="17" t="str">
        <x:v>Representation Learning / Generative Models</x:v>
      </x:c>
      <x:c r="E201" s="17" t="str">
        <x:v>Generative AI; AI Education</x:v>
      </x:c>
      <x:c r="F201" s="23" t="str">
        <x:v>English</x:v>
      </x:c>
      <x:c r="G201" s="17" t="str">
        <x:v>ICLR 2021 Keynote - "Geometric Deep Learning: The Erlangen Programme of ML" - M Bronstein</x:v>
      </x:c>
      <x:c r="H201" s="17" t="str">
        <x:v>To be added</x:v>
      </x:c>
      <x:c r="I201" s="17" t="str">
        <x:v>Michael Bronstein</x:v>
      </x:c>
      <x:c r="J201" s="23" t="str">
        <x:v>Conference Keynote</x:v>
      </x:c>
      <x:c r="K201" s="24" t="n">
        <x:v>38</x:v>
      </x:c>
      <x:c r="L201" s="16" t="str">
        <x:v>https://www.youtube.com/watch?v=w6Pw4MOzMuo</x:v>
      </x:c>
      <x:c r="M201" s="22" t="str">
        <x:v>YouTube</x:v>
      </x:c>
      <x:c r="N201" s="25" t="n">
        <x:v>168030</x:v>
      </x:c>
      <x:c r="O201" s="23" t="str">
        <x:v>B | University / Conference / Institution</x:v>
      </x:c>
      <x:c r="P201" s="23" t="str">
        <x:v>Recommended</x:v>
      </x:c>
      <x:c r="Q201" s="23" t="str">
        <x:v>Verified</x:v>
      </x:c>
      <x:c r="R201" s="26" t="n">
        <x:v>46244</x:v>
      </x:c>
      <x:c r="S201" s="17" t="str">
        <x:v>Title, channel, and public metadata reviewed.</x:v>
      </x:c>
      <x:c r="T201" s="16" t="str">
        <x:v>w6Pw4MOzMuo</x:v>
      </x:c>
      <x:c r="U201" s="17" t="str"/>
      <x:c r="V201" s="151"/>
      <x:c r="W201" s="17" t="str"/>
    </x:row>
    <x:row r="202" ht="42" customHeight="1">
      <x:c r="A202" s="22" t="str">
        <x:v>ST-201</x:v>
      </x:c>
      <x:c r="B202" s="22" t="str">
        <x:v>Talk</x:v>
      </x:c>
      <x:c r="C202" s="22" t="str">
        <x:v>Other</x:v>
      </x:c>
      <x:c r="D202" s="17" t="str">
        <x:v>Machine Learning Research</x:v>
      </x:c>
      <x:c r="E202" s="17" t="str">
        <x:v>Machine Learning Research</x:v>
      </x:c>
      <x:c r="F202" s="23" t="str">
        <x:v>English</x:v>
      </x:c>
      <x:c r="G202" s="17" t="str">
        <x:v>Data Dignity and the Inversion of AI</x:v>
      </x:c>
      <x:c r="H202" s="17" t="str">
        <x:v>To be added</x:v>
      </x:c>
      <x:c r="I202" s="17" t="str">
        <x:v>University of California Television (UCTV)</x:v>
      </x:c>
      <x:c r="J202" s="23" t="str">
        <x:v>Research Talk</x:v>
      </x:c>
      <x:c r="K202" s="24" t="n">
        <x:v>47</x:v>
      </x:c>
      <x:c r="L202" s="16" t="str">
        <x:v>https://www.youtube.com/watch?v=itpbLcaW5WI</x:v>
      </x:c>
      <x:c r="M202" s="22" t="str">
        <x:v>YouTube</x:v>
      </x:c>
      <x:c r="N202" s="25" t="n">
        <x:v>13720</x:v>
      </x:c>
      <x:c r="O202" s="23" t="str">
        <x:v>B | University / Conference / Institution</x:v>
      </x:c>
      <x:c r="P202" s="23" t="str">
        <x:v>Recommended</x:v>
      </x:c>
      <x:c r="Q202" s="23" t="str">
        <x:v>Verified</x:v>
      </x:c>
      <x:c r="R202" s="26" t="n">
        <x:v>46244</x:v>
      </x:c>
      <x:c r="S202" s="17" t="str">
        <x:v>Title, channel, and public metadata reviewed.</x:v>
      </x:c>
      <x:c r="T202" s="16" t="str">
        <x:v>itpbLcaW5WI</x:v>
      </x:c>
      <x:c r="U202" s="17" t="str"/>
      <x:c r="V202" s="151"/>
      <x:c r="W202" s="17" t="str"/>
    </x:row>
    <x:row r="203" ht="42" customHeight="1">
      <x:c r="A203" s="22" t="str">
        <x:v>ST-202</x:v>
      </x:c>
      <x:c r="B203" s="22" t="str">
        <x:v>Talk</x:v>
      </x:c>
      <x:c r="C203" s="22" t="str">
        <x:v>Other</x:v>
      </x:c>
      <x:c r="D203" s="17" t="str">
        <x:v>Representation Learning / Generative Models</x:v>
      </x:c>
      <x:c r="E203" s="17" t="str">
        <x:v>Generative AI</x:v>
      </x:c>
      <x:c r="F203" s="23" t="str">
        <x:v>English</x:v>
      </x:c>
      <x:c r="G203" s="17" t="str">
        <x:v>ICLR 2022 Keynote: Been Kim</x:v>
      </x:c>
      <x:c r="H203" s="17" t="str">
        <x:v>To be added</x:v>
      </x:c>
      <x:c r="I203" s="17" t="str">
        <x:v>Been Kim</x:v>
      </x:c>
      <x:c r="J203" s="23" t="str">
        <x:v>Conference Keynote</x:v>
      </x:c>
      <x:c r="K203" s="24" t="n">
        <x:v>30</x:v>
      </x:c>
      <x:c r="L203" s="16" t="str">
        <x:v>https://www.youtube.com/watch?v=Ub45cGEcTB0</x:v>
      </x:c>
      <x:c r="M203" s="22" t="str">
        <x:v>YouTube</x:v>
      </x:c>
      <x:c r="N203" s="25" t="n">
        <x:v>14232</x:v>
      </x:c>
      <x:c r="O203" s="23" t="str">
        <x:v>B | University / Conference / Institution</x:v>
      </x:c>
      <x:c r="P203" s="23" t="str">
        <x:v>Recommended</x:v>
      </x:c>
      <x:c r="Q203" s="23" t="str">
        <x:v>Verified</x:v>
      </x:c>
      <x:c r="R203" s="26" t="n">
        <x:v>46244</x:v>
      </x:c>
      <x:c r="S203" s="17" t="str">
        <x:v>Title, channel, and public metadata reviewed.</x:v>
      </x:c>
      <x:c r="T203" s="16" t="str">
        <x:v>Ub45cGEcTB0</x:v>
      </x:c>
      <x:c r="U203" s="17" t="str"/>
      <x:c r="V203" s="151"/>
      <x:c r="W203" s="17" t="str"/>
    </x:row>
    <x:row r="204" ht="42" customHeight="1">
      <x:c r="A204" s="22" t="str">
        <x:v>ST-203</x:v>
      </x:c>
      <x:c r="B204" s="22" t="str">
        <x:v>Talk</x:v>
      </x:c>
      <x:c r="C204" s="22" t="str">
        <x:v>Other</x:v>
      </x:c>
      <x:c r="D204" s="17" t="str">
        <x:v>Natural Language Processing</x:v>
      </x:c>
      <x:c r="E204" s="17" t="str">
        <x:v>Natural Language Processing</x:v>
      </x:c>
      <x:c r="F204" s="23" t="str">
        <x:v>English</x:v>
      </x:c>
      <x:c r="G204" s="17" t="str">
        <x:v>Keynote: The New Era in NLP | SciPy 2019 | Rachel Thomas</x:v>
      </x:c>
      <x:c r="H204" s="17" t="str">
        <x:v>To be added</x:v>
      </x:c>
      <x:c r="I204" s="17" t="str">
        <x:v>Enthought</x:v>
      </x:c>
      <x:c r="J204" s="23" t="str">
        <x:v>Conference Keynote</x:v>
      </x:c>
      <x:c r="K204" s="24" t="n">
        <x:v>45</x:v>
      </x:c>
      <x:c r="L204" s="16" t="str">
        <x:v>https://www.youtube.com/watch?v=KChtdexd5Jo</x:v>
      </x:c>
      <x:c r="M204" s="22" t="str">
        <x:v>YouTube</x:v>
      </x:c>
      <x:c r="N204" s="25" t="n">
        <x:v>12369</x:v>
      </x:c>
      <x:c r="O204" s="23" t="str">
        <x:v>B | University / Conference / Institution</x:v>
      </x:c>
      <x:c r="P204" s="23" t="str">
        <x:v>Recommended</x:v>
      </x:c>
      <x:c r="Q204" s="23" t="str">
        <x:v>Verified</x:v>
      </x:c>
      <x:c r="R204" s="26" t="n">
        <x:v>46244</x:v>
      </x:c>
      <x:c r="S204" s="17" t="str">
        <x:v>Title, channel, and public metadata reviewed.</x:v>
      </x:c>
      <x:c r="T204" s="16" t="str">
        <x:v>KChtdexd5Jo</x:v>
      </x:c>
      <x:c r="U204" s="17" t="str"/>
      <x:c r="V204" s="151"/>
      <x:c r="W204" s="17" t="str"/>
    </x:row>
    <x:row r="205" ht="42" customHeight="1">
      <x:c r="A205" s="22" t="str">
        <x:v>ST-204</x:v>
      </x:c>
      <x:c r="B205" s="22" t="str">
        <x:v>Talk</x:v>
      </x:c>
      <x:c r="C205" s="22" t="str">
        <x:v>Other</x:v>
      </x:c>
      <x:c r="D205" s="17" t="str">
        <x:v>Representation Learning / Generative Models</x:v>
      </x:c>
      <x:c r="E205" s="17" t="str">
        <x:v>Generative AI; AI Education</x:v>
      </x:c>
      <x:c r="F205" s="23" t="str">
        <x:v>English</x:v>
      </x:c>
      <x:c r="G205" s="17" t="str">
        <x:v>Yoshua Bengio: Deep Learning Cognition | Full Keynote - AI in 2020 &amp; Beyond</x:v>
      </x:c>
      <x:c r="H205" s="17" t="str">
        <x:v>Yoshua Bengio</x:v>
      </x:c>
      <x:c r="I205" s="17" t="str">
        <x:v>RE•WORK</x:v>
      </x:c>
      <x:c r="J205" s="23" t="str">
        <x:v>Conference Keynote</x:v>
      </x:c>
      <x:c r="K205" s="24" t="n">
        <x:v>59</x:v>
      </x:c>
      <x:c r="L205" s="16" t="str">
        <x:v>https://www.youtube.com/watch?v=GibjI5FoZsE</x:v>
      </x:c>
      <x:c r="M205" s="22" t="str">
        <x:v>YouTube</x:v>
      </x:c>
      <x:c r="N205" s="25" t="n">
        <x:v>15343</x:v>
      </x:c>
      <x:c r="O205" s="23" t="str">
        <x:v>B | University / Conference / Institution</x:v>
      </x:c>
      <x:c r="P205" s="23" t="str">
        <x:v>Recommended</x:v>
      </x:c>
      <x:c r="Q205" s="23" t="str">
        <x:v>Verified</x:v>
      </x:c>
      <x:c r="R205" s="26" t="n">
        <x:v>46244</x:v>
      </x:c>
      <x:c r="S205" s="17" t="str">
        <x:v>Title, channel, and public metadata reviewed.</x:v>
      </x:c>
      <x:c r="T205" s="16" t="str">
        <x:v>GibjI5FoZsE</x:v>
      </x:c>
      <x:c r="U205" s="17" t="str"/>
      <x:c r="V205" s="151"/>
      <x:c r="W205" s="17" t="str"/>
    </x:row>
    <x:row r="206" ht="42" customHeight="1">
      <x:c r="A206" s="22" t="str">
        <x:v>ST-205</x:v>
      </x:c>
      <x:c r="B206" s="22" t="str">
        <x:v>Talk</x:v>
      </x:c>
      <x:c r="C206" s="22" t="str">
        <x:v>Other</x:v>
      </x:c>
      <x:c r="D206" s="17" t="str">
        <x:v>Trustworthy AI / Safety</x:v>
      </x:c>
      <x:c r="E206" s="17" t="str">
        <x:v>AI Safety / Alignment / Ethics</x:v>
      </x:c>
      <x:c r="F206" s="23" t="str">
        <x:v>English</x:v>
      </x:c>
      <x:c r="G206" s="17" t="str">
        <x:v>How the EU’s GPAI Code Shapes Safe and Trustworthy AI Governance | India AI Impact Summit 2026</x:v>
      </x:c>
      <x:c r="H206" s="17" t="str">
        <x:v>To be added</x:v>
      </x:c>
      <x:c r="I206" s="17" t="str">
        <x:v>IndiaAI</x:v>
      </x:c>
      <x:c r="J206" s="23" t="str">
        <x:v>Research Talk</x:v>
      </x:c>
      <x:c r="K206" s="24" t="n">
        <x:v>41</x:v>
      </x:c>
      <x:c r="L206" s="16" t="str">
        <x:v>https://www.youtube.com/watch?v=iXb3emd9_jc</x:v>
      </x:c>
      <x:c r="M206" s="22" t="str">
        <x:v>YouTube</x:v>
      </x:c>
      <x:c r="N206" s="25" t="n">
        <x:v>310</x:v>
      </x:c>
      <x:c r="O206" s="23" t="str">
        <x:v>B | University / Conference / Institution</x:v>
      </x:c>
      <x:c r="P206" s="23" t="str">
        <x:v>Recommended</x:v>
      </x:c>
      <x:c r="Q206" s="23" t="str">
        <x:v>Verified</x:v>
      </x:c>
      <x:c r="R206" s="26" t="n">
        <x:v>46244</x:v>
      </x:c>
      <x:c r="S206" s="17" t="str">
        <x:v>Title, channel, and public metadata reviewed.</x:v>
      </x:c>
      <x:c r="T206" s="16" t="str">
        <x:v>iXb3emd9_jc</x:v>
      </x:c>
      <x:c r="U206" s="17" t="str"/>
      <x:c r="V206" s="151"/>
      <x:c r="W206" s="17" t="str"/>
    </x:row>
    <x:row r="207" ht="42" customHeight="1">
      <x:c r="A207" s="22" t="str">
        <x:v>ST-206</x:v>
      </x:c>
      <x:c r="B207" s="22" t="str">
        <x:v>Talk</x:v>
      </x:c>
      <x:c r="C207" s="22" t="str">
        <x:v>Other</x:v>
      </x:c>
      <x:c r="D207" s="17" t="str">
        <x:v>AI for Science</x:v>
      </x:c>
      <x:c r="E207" s="17" t="str">
        <x:v>AI for Science; AI Education</x:v>
      </x:c>
      <x:c r="F207" s="23" t="str">
        <x:v>English</x:v>
      </x:c>
      <x:c r="G207" s="17" t="str">
        <x:v>Accelerating Scientific Discovery with Machine Learning | J. Nathan Kutz | TEDxUofW</x:v>
      </x:c>
      <x:c r="H207" s="17" t="str">
        <x:v>Machine Learning</x:v>
      </x:c>
      <x:c r="I207" s="17" t="str">
        <x:v>TEDx Talks</x:v>
      </x:c>
      <x:c r="J207" s="23" t="str">
        <x:v>Research Talk</x:v>
      </x:c>
      <x:c r="K207" s="24" t="n">
        <x:v>15</x:v>
      </x:c>
      <x:c r="L207" s="16" t="str">
        <x:v>https://www.youtube.com/watch?v=Y5yNFDCUj_Q</x:v>
      </x:c>
      <x:c r="M207" s="22" t="str">
        <x:v>YouTube</x:v>
      </x:c>
      <x:c r="N207" s="25" t="n">
        <x:v>1354</x:v>
      </x:c>
      <x:c r="O207" s="23" t="str">
        <x:v>B | University / Conference / Institution</x:v>
      </x:c>
      <x:c r="P207" s="23" t="str">
        <x:v>Recommended</x:v>
      </x:c>
      <x:c r="Q207" s="23" t="str">
        <x:v>Verified</x:v>
      </x:c>
      <x:c r="R207" s="26" t="n">
        <x:v>46244</x:v>
      </x:c>
      <x:c r="S207" s="17" t="str">
        <x:v>Title, channel, and public metadata reviewed.</x:v>
      </x:c>
      <x:c r="T207" s="16" t="str">
        <x:v>Y5yNFDCUj_Q</x:v>
      </x:c>
      <x:c r="U207" s="17" t="str"/>
      <x:c r="V207" s="151"/>
      <x:c r="W207" s="17" t="str"/>
    </x:row>
    <x:row r="208" ht="42" customHeight="1">
      <x:c r="A208" s="22" t="str">
        <x:v>ST-207</x:v>
      </x:c>
      <x:c r="B208" s="22" t="str">
        <x:v>Talk</x:v>
      </x:c>
      <x:c r="C208" s="22" t="str">
        <x:v>Other</x:v>
      </x:c>
      <x:c r="D208" s="17" t="str">
        <x:v>Machine Learning Frontiers</x:v>
      </x:c>
      <x:c r="E208" s="17" t="str">
        <x:v>AI Safety / Alignment / Ethics</x:v>
      </x:c>
      <x:c r="F208" s="23" t="str">
        <x:v>English</x:v>
      </x:c>
      <x:c r="G208" s="17" t="str">
        <x:v>[NeurIPS Workshop Keynote] Practical AI Ethics - A Guide Towards Responsible ML</x:v>
      </x:c>
      <x:c r="H208" s="17" t="str">
        <x:v>To be added</x:v>
      </x:c>
      <x:c r="I208" s="17" t="str">
        <x:v>Alejandro Saucedo</x:v>
      </x:c>
      <x:c r="J208" s="23" t="str">
        <x:v>Conference Keynote</x:v>
      </x:c>
      <x:c r="K208" s="24" t="n">
        <x:v>31</x:v>
      </x:c>
      <x:c r="L208" s="16" t="str">
        <x:v>https://www.youtube.com/watch?v=57YpXjcj0Ho</x:v>
      </x:c>
      <x:c r="M208" s="22" t="str">
        <x:v>YouTube</x:v>
      </x:c>
      <x:c r="N208" s="25" t="n">
        <x:v>1393</x:v>
      </x:c>
      <x:c r="O208" s="23" t="str">
        <x:v>B | University / Conference / Institution</x:v>
      </x:c>
      <x:c r="P208" s="23" t="str">
        <x:v>Recommended</x:v>
      </x:c>
      <x:c r="Q208" s="23" t="str">
        <x:v>Verified</x:v>
      </x:c>
      <x:c r="R208" s="26" t="n">
        <x:v>46244</x:v>
      </x:c>
      <x:c r="S208" s="17" t="str">
        <x:v>Title, channel, and public metadata reviewed.</x:v>
      </x:c>
      <x:c r="T208" s="16" t="str">
        <x:v>57YpXjcj0Ho</x:v>
      </x:c>
      <x:c r="U208" s="17" t="str"/>
      <x:c r="V208" s="151"/>
      <x:c r="W208" s="17" t="str"/>
    </x:row>
    <x:row r="209" ht="42" customHeight="1">
      <x:c r="A209" s="22" t="str">
        <x:v>ST-208</x:v>
      </x:c>
      <x:c r="B209" s="22" t="str">
        <x:v>Talk</x:v>
      </x:c>
      <x:c r="C209" s="22" t="str">
        <x:v>Other</x:v>
      </x:c>
      <x:c r="D209" s="17" t="str">
        <x:v>Graph Machine Learning</x:v>
      </x:c>
      <x:c r="E209" s="17" t="str">
        <x:v>Reinforcement Learning; Graph Machine Learning; AI Education</x:v>
      </x:c>
      <x:c r="F209" s="23" t="str">
        <x:v>English</x:v>
      </x:c>
      <x:c r="G209" s="17" t="str">
        <x:v>[REFAI Seminar 09/23/21] How Powerful are Graph Neural Networks and Reinforcement Learning in EDA</x:v>
      </x:c>
      <x:c r="H209" s="17" t="str">
        <x:v>To be added</x:v>
      </x:c>
      <x:c r="I209" s="17" t="str">
        <x:v>Rutgers Efficient AI Seminar</x:v>
      </x:c>
      <x:c r="J209" s="23" t="str">
        <x:v>Research Seminar</x:v>
      </x:c>
      <x:c r="K209" s="24" t="n">
        <x:v>78</x:v>
      </x:c>
      <x:c r="L209" s="16" t="str">
        <x:v>https://www.youtube.com/watch?v=VIA_-jdH6q0</x:v>
      </x:c>
      <x:c r="M209" s="22" t="str">
        <x:v>YouTube</x:v>
      </x:c>
      <x:c r="N209" s="25" t="n">
        <x:v>1183</x:v>
      </x:c>
      <x:c r="O209" s="23" t="str">
        <x:v>B | University / Conference / Institution</x:v>
      </x:c>
      <x:c r="P209" s="23" t="str">
        <x:v>Recommended</x:v>
      </x:c>
      <x:c r="Q209" s="23" t="str">
        <x:v>Verified</x:v>
      </x:c>
      <x:c r="R209" s="26" t="n">
        <x:v>46244</x:v>
      </x:c>
      <x:c r="S209" s="17" t="str">
        <x:v>Title, channel, and public metadata reviewed.</x:v>
      </x:c>
      <x:c r="T209" s="16" t="str">
        <x:v>VIA_-jdH6q0</x:v>
      </x:c>
      <x:c r="U209" s="17" t="str"/>
      <x:c r="V209" s="151"/>
      <x:c r="W209" s="17" t="str"/>
    </x:row>
    <x:row r="210" ht="42" customHeight="1">
      <x:c r="A210" s="22" t="str">
        <x:v>ST-209</x:v>
      </x:c>
      <x:c r="B210" s="22" t="str">
        <x:v>Talk</x:v>
      </x:c>
      <x:c r="C210" s="22" t="str">
        <x:v>Other</x:v>
      </x:c>
      <x:c r="D210" s="17" t="str">
        <x:v>Machine Learning Frontiers</x:v>
      </x:c>
      <x:c r="E210" s="17" t="str">
        <x:v>AI Education</x:v>
      </x:c>
      <x:c r="F210" s="23" t="str">
        <x:v>English</x:v>
      </x:c>
      <x:c r="G210" s="17" t="str">
        <x:v>Developmental Machine Learning (ICLR 2019 Keynote, PY Oudeyer)</x:v>
      </x:c>
      <x:c r="H210" s="17" t="str">
        <x:v>To be added</x:v>
      </x:c>
      <x:c r="I210" s="17" t="str">
        <x:v>Pierre-Yves Oudeyer</x:v>
      </x:c>
      <x:c r="J210" s="23" t="str">
        <x:v>Conference Keynote</x:v>
      </x:c>
      <x:c r="K210" s="24" t="n">
        <x:v>47</x:v>
      </x:c>
      <x:c r="L210" s="16" t="str">
        <x:v>https://www.youtube.com/watch?v=7bJ0fnvPLaA</x:v>
      </x:c>
      <x:c r="M210" s="22" t="str">
        <x:v>YouTube</x:v>
      </x:c>
      <x:c r="N210" s="25" t="n">
        <x:v>1732</x:v>
      </x:c>
      <x:c r="O210" s="23" t="str">
        <x:v>B | University / Conference / Institution</x:v>
      </x:c>
      <x:c r="P210" s="23" t="str">
        <x:v>Recommended</x:v>
      </x:c>
      <x:c r="Q210" s="23" t="str">
        <x:v>Verified</x:v>
      </x:c>
      <x:c r="R210" s="26" t="n">
        <x:v>46244</x:v>
      </x:c>
      <x:c r="S210" s="17" t="str">
        <x:v>Title, channel, and public metadata reviewed.</x:v>
      </x:c>
      <x:c r="T210" s="16" t="str">
        <x:v>7bJ0fnvPLaA</x:v>
      </x:c>
      <x:c r="U210" s="17" t="str"/>
      <x:c r="V210" s="151"/>
      <x:c r="W210" s="17" t="str"/>
    </x:row>
    <x:row r="211" ht="42" customHeight="1">
      <x:c r="A211" s="22" t="str">
        <x:v>ST-210</x:v>
      </x:c>
      <x:c r="B211" s="22" t="str">
        <x:v>Talk</x:v>
      </x:c>
      <x:c r="C211" s="22" t="str">
        <x:v>Other</x:v>
      </x:c>
      <x:c r="D211" s="17" t="str">
        <x:v>Machine Learning Frontiers</x:v>
      </x:c>
      <x:c r="E211" s="17" t="str">
        <x:v>Machine Learning Frontiers</x:v>
      </x:c>
      <x:c r="F211" s="23" t="str">
        <x:v>English</x:v>
      </x:c>
      <x:c r="G211" s="17" t="str">
        <x:v>John Platt: Powering the next 100 years (NIPS 2017 Keynote)</x:v>
      </x:c>
      <x:c r="H211" s="17" t="str">
        <x:v>John Platt</x:v>
      </x:c>
      <x:c r="I211" s="17" t="str">
        <x:v>Steven Van Vaerenbergh</x:v>
      </x:c>
      <x:c r="J211" s="23" t="str">
        <x:v>Conference Keynote</x:v>
      </x:c>
      <x:c r="K211" s="24" t="n">
        <x:v>49</x:v>
      </x:c>
      <x:c r="L211" s="16" t="str">
        <x:v>https://www.youtube.com/watch?v=HL60wgrT67k</x:v>
      </x:c>
      <x:c r="M211" s="22" t="str">
        <x:v>YouTube</x:v>
      </x:c>
      <x:c r="N211" s="25" t="n">
        <x:v>2842</x:v>
      </x:c>
      <x:c r="O211" s="23" t="str">
        <x:v>B | University / Conference / Institution</x:v>
      </x:c>
      <x:c r="P211" s="23" t="str">
        <x:v>Recommended</x:v>
      </x:c>
      <x:c r="Q211" s="23" t="str">
        <x:v>Verified</x:v>
      </x:c>
      <x:c r="R211" s="26" t="n">
        <x:v>46244</x:v>
      </x:c>
      <x:c r="S211" s="17" t="str">
        <x:v>Title, channel, and public metadata reviewed.</x:v>
      </x:c>
      <x:c r="T211" s="16" t="str">
        <x:v>HL60wgrT67k</x:v>
      </x:c>
      <x:c r="U211" s="17" t="str"/>
      <x:c r="V211" s="151"/>
      <x:c r="W211" s="17" t="str"/>
    </x:row>
    <x:row r="212" ht="42" customHeight="1">
      <x:c r="A212" s="22" t="str">
        <x:v>ST-211</x:v>
      </x:c>
      <x:c r="B212" s="22" t="str">
        <x:v>Talk</x:v>
      </x:c>
      <x:c r="C212" s="22" t="str">
        <x:v>Vision</x:v>
      </x:c>
      <x:c r="D212" s="17" t="str">
        <x:v>Machine Learning Research</x:v>
      </x:c>
      <x:c r="E212" s="17" t="str">
        <x:v>Computer Vision</x:v>
      </x:c>
      <x:c r="F212" s="23" t="str">
        <x:v>English</x:v>
      </x:c>
      <x:c r="G212" s="17" t="str">
        <x:v>Cross-Channel Visual Prediction (BAIR/CPAR/BDD Seminar, 4/17)</x:v>
      </x:c>
      <x:c r="H212" s="17" t="str">
        <x:v>To be added</x:v>
      </x:c>
      <x:c r="I212" s="17" t="str">
        <x:v>Richard Zhang</x:v>
      </x:c>
      <x:c r="J212" s="23" t="str">
        <x:v>Research Seminar</x:v>
      </x:c>
      <x:c r="K212" s="24" t="n">
        <x:v>29</x:v>
      </x:c>
      <x:c r="L212" s="16" t="str">
        <x:v>https://www.youtube.com/watch?v=FTzcFsz2xqw</x:v>
      </x:c>
      <x:c r="M212" s="22" t="str">
        <x:v>YouTube</x:v>
      </x:c>
      <x:c r="N212" s="25" t="n">
        <x:v>1624</x:v>
      </x:c>
      <x:c r="O212" s="23" t="str">
        <x:v>B | University / Conference / Institution</x:v>
      </x:c>
      <x:c r="P212" s="23" t="str">
        <x:v>Recommended</x:v>
      </x:c>
      <x:c r="Q212" s="23" t="str">
        <x:v>Verified</x:v>
      </x:c>
      <x:c r="R212" s="26" t="n">
        <x:v>46244</x:v>
      </x:c>
      <x:c r="S212" s="17" t="str">
        <x:v>Title, channel, and public metadata reviewed.</x:v>
      </x:c>
      <x:c r="T212" s="16" t="str">
        <x:v>FTzcFsz2xqw</x:v>
      </x:c>
      <x:c r="U212" s="17" t="str"/>
      <x:c r="V212" s="151"/>
      <x:c r="W212" s="17" t="str"/>
    </x:row>
    <x:row r="213" ht="42" customHeight="1">
      <x:c r="A213" s="22" t="str">
        <x:v>ST-212</x:v>
      </x:c>
      <x:c r="B213" s="22" t="str">
        <x:v>Talk</x:v>
      </x:c>
      <x:c r="C213" s="22" t="str">
        <x:v>Other</x:v>
      </x:c>
      <x:c r="D213" s="17" t="str">
        <x:v>Machine Learning Frontiers</x:v>
      </x:c>
      <x:c r="E213" s="17" t="str">
        <x:v>Machine Learning Frontiers</x:v>
      </x:c>
      <x:c r="F213" s="23" t="str">
        <x:v>English</x:v>
      </x:c>
      <x:c r="G213" s="17" t="str">
        <x:v>Suchi Saria: Augmenting Clinical Intelligence with Machine Intelligence (ICLR 2018 invited talk)</x:v>
      </x:c>
      <x:c r="H213" s="17" t="str">
        <x:v>Machine Intelligence (ICLR 2018 invited talk)</x:v>
      </x:c>
      <x:c r="I213" s="17" t="str">
        <x:v>Steven Van Vaerenbergh</x:v>
      </x:c>
      <x:c r="J213" s="23" t="str">
        <x:v>Research Talk</x:v>
      </x:c>
      <x:c r="K213" s="24" t="n">
        <x:v>49</x:v>
      </x:c>
      <x:c r="L213" s="16" t="str">
        <x:v>https://www.youtube.com/watch?v=-maBKmsORwQ</x:v>
      </x:c>
      <x:c r="M213" s="22" t="str">
        <x:v>YouTube</x:v>
      </x:c>
      <x:c r="N213" s="25" t="n">
        <x:v>1778</x:v>
      </x:c>
      <x:c r="O213" s="23" t="str">
        <x:v>B | University / Conference / Institution</x:v>
      </x:c>
      <x:c r="P213" s="23" t="str">
        <x:v>Recommended</x:v>
      </x:c>
      <x:c r="Q213" s="23" t="str">
        <x:v>Verified</x:v>
      </x:c>
      <x:c r="R213" s="26" t="n">
        <x:v>46244</x:v>
      </x:c>
      <x:c r="S213" s="17" t="str">
        <x:v>Title, channel, and public metadata reviewed.</x:v>
      </x:c>
      <x:c r="T213" s="16" t="str">
        <x:v>-maBKmsORwQ</x:v>
      </x:c>
      <x:c r="U213" s="17" t="str"/>
      <x:c r="V213" s="151"/>
      <x:c r="W213" s="17" t="str"/>
    </x:row>
    <x:row r="214" ht="42" customHeight="1">
      <x:c r="A214" s="22" t="str">
        <x:v>ST-213</x:v>
      </x:c>
      <x:c r="B214" s="22" t="str">
        <x:v>Talk</x:v>
      </x:c>
      <x:c r="C214" s="22" t="str">
        <x:v>Other</x:v>
      </x:c>
      <x:c r="D214" s="17" t="str">
        <x:v>Trustworthy AI / Safety</x:v>
      </x:c>
      <x:c r="E214" s="17" t="str">
        <x:v>AI Safety / Alignment / Ethics</x:v>
      </x:c>
      <x:c r="F214" s="23" t="str">
        <x:v>English</x:v>
      </x:c>
      <x:c r="G214" s="17" t="str">
        <x:v>Trustworthy AI Investment as Governance</x:v>
      </x:c>
      <x:c r="H214" s="17" t="str">
        <x:v>To be added</x:v>
      </x:c>
      <x:c r="I214" s="17" t="str">
        <x:v>IndiaAI</x:v>
      </x:c>
      <x:c r="J214" s="23" t="str">
        <x:v>Research Talk</x:v>
      </x:c>
      <x:c r="K214" s="24" t="n">
        <x:v>53</x:v>
      </x:c>
      <x:c r="L214" s="16" t="str">
        <x:v>https://www.youtube.com/watch?v=GYRAUl82Pjs</x:v>
      </x:c>
      <x:c r="M214" s="22" t="str">
        <x:v>YouTube</x:v>
      </x:c>
      <x:c r="N214" s="25" t="n">
        <x:v>531</x:v>
      </x:c>
      <x:c r="O214" s="23" t="str">
        <x:v>B | University / Conference / Institution</x:v>
      </x:c>
      <x:c r="P214" s="23" t="str">
        <x:v>Recommended</x:v>
      </x:c>
      <x:c r="Q214" s="23" t="str">
        <x:v>Verified</x:v>
      </x:c>
      <x:c r="R214" s="26" t="n">
        <x:v>46244</x:v>
      </x:c>
      <x:c r="S214" s="17" t="str">
        <x:v>Title, channel, and public metadata reviewed.</x:v>
      </x:c>
      <x:c r="T214" s="16" t="str">
        <x:v>GYRAUl82Pjs</x:v>
      </x:c>
      <x:c r="U214" s="17" t="str"/>
      <x:c r="V214" s="151"/>
      <x:c r="W214" s="17" t="str"/>
    </x:row>
    <x:row r="215" ht="42" customHeight="1">
      <x:c r="A215" s="22" t="str">
        <x:v>ST-214</x:v>
      </x:c>
      <x:c r="B215" s="22" t="str">
        <x:v>Talk</x:v>
      </x:c>
      <x:c r="C215" s="22" t="str">
        <x:v>Other</x:v>
      </x:c>
      <x:c r="D215" s="17" t="str">
        <x:v>Machine Learning Frontiers</x:v>
      </x:c>
      <x:c r="E215" s="17" t="str">
        <x:v>Machine Learning Frontiers</x:v>
      </x:c>
      <x:c r="F215" s="23" t="str">
        <x:v>English</x:v>
      </x:c>
      <x:c r="G215" s="17" t="str">
        <x:v>Max Welling: Intelligence per Kilowatthour (ICML 2018 invited talk)</x:v>
      </x:c>
      <x:c r="H215" s="17" t="str">
        <x:v>Max Welling</x:v>
      </x:c>
      <x:c r="I215" s="17" t="str">
        <x:v>Steven Van Vaerenbergh</x:v>
      </x:c>
      <x:c r="J215" s="23" t="str">
        <x:v>Research Talk</x:v>
      </x:c>
      <x:c r="K215" s="24" t="n">
        <x:v>62</x:v>
      </x:c>
      <x:c r="L215" s="16" t="str">
        <x:v>https://www.youtube.com/watch?v=5DbBQDoBNYc</x:v>
      </x:c>
      <x:c r="M215" s="22" t="str">
        <x:v>YouTube</x:v>
      </x:c>
      <x:c r="N215" s="25" t="n">
        <x:v>2238</x:v>
      </x:c>
      <x:c r="O215" s="23" t="str">
        <x:v>B | University / Conference / Institution</x:v>
      </x:c>
      <x:c r="P215" s="23" t="str">
        <x:v>Recommended</x:v>
      </x:c>
      <x:c r="Q215" s="23" t="str">
        <x:v>Verified</x:v>
      </x:c>
      <x:c r="R215" s="26" t="n">
        <x:v>46244</x:v>
      </x:c>
      <x:c r="S215" s="17" t="str">
        <x:v>Title, channel, and public metadata reviewed.</x:v>
      </x:c>
      <x:c r="T215" s="16" t="str">
        <x:v>5DbBQDoBNYc</x:v>
      </x:c>
      <x:c r="U215" s="17" t="str"/>
      <x:c r="V215" s="151"/>
      <x:c r="W215" s="17" t="str"/>
    </x:row>
    <x:row r="216" ht="42" customHeight="1">
      <x:c r="A216" s="22" t="str">
        <x:v>ST-215</x:v>
      </x:c>
      <x:c r="B216" s="22" t="str">
        <x:v>Talk</x:v>
      </x:c>
      <x:c r="C216" s="22" t="str">
        <x:v>Other</x:v>
      </x:c>
      <x:c r="D216" s="17" t="str">
        <x:v>Machine Learning Frontiers</x:v>
      </x:c>
      <x:c r="E216" s="17" t="str">
        <x:v>AI Systems / MLOps; AI Education</x:v>
      </x:c>
      <x:c r="F216" s="23" t="str">
        <x:v>English</x:v>
      </x:c>
      <x:c r="G216" s="17" t="str">
        <x:v>Josh Bloom: Keynote - A Systems View of Machine Learning</x:v>
      </x:c>
      <x:c r="H216" s="17" t="str">
        <x:v>Josh Bloom</x:v>
      </x:c>
      <x:c r="I216" s="17" t="str">
        <x:v>PyData</x:v>
      </x:c>
      <x:c r="J216" s="23" t="str">
        <x:v>Conference Keynote</x:v>
      </x:c>
      <x:c r="K216" s="24" t="n">
        <x:v>46</x:v>
      </x:c>
      <x:c r="L216" s="16" t="str">
        <x:v>https://www.youtube.com/watch?v=i-1UmCYyzi4</x:v>
      </x:c>
      <x:c r="M216" s="22" t="str">
        <x:v>YouTube</x:v>
      </x:c>
      <x:c r="N216" s="25" t="n">
        <x:v>2643</x:v>
      </x:c>
      <x:c r="O216" s="23" t="str">
        <x:v>B | University / Conference / Institution</x:v>
      </x:c>
      <x:c r="P216" s="23" t="str">
        <x:v>Recommended</x:v>
      </x:c>
      <x:c r="Q216" s="23" t="str">
        <x:v>Verified</x:v>
      </x:c>
      <x:c r="R216" s="26" t="n">
        <x:v>46244</x:v>
      </x:c>
      <x:c r="S216" s="17" t="str">
        <x:v>Title, channel, and public metadata reviewed.</x:v>
      </x:c>
      <x:c r="T216" s="16" t="str">
        <x:v>i-1UmCYyzi4</x:v>
      </x:c>
      <x:c r="U216" s="17" t="str"/>
      <x:c r="V216" s="151"/>
      <x:c r="W216" s="17" t="str"/>
    </x:row>
    <x:row r="217" ht="42" customHeight="1">
      <x:c r="A217" s="22" t="str">
        <x:v>ST-216</x:v>
      </x:c>
      <x:c r="B217" s="22" t="str">
        <x:v>Talk</x:v>
      </x:c>
      <x:c r="C217" s="22" t="str">
        <x:v>Vision</x:v>
      </x:c>
      <x:c r="D217" s="17" t="str">
        <x:v>Machine Learning Research</x:v>
      </x:c>
      <x:c r="E217" s="17" t="str">
        <x:v>Computer Vision; AI Systems / MLOps</x:v>
      </x:c>
      <x:c r="F217" s="23" t="str">
        <x:v>English</x:v>
      </x:c>
      <x:c r="G217" s="17" t="str">
        <x:v>Towards Reliable Computer Vision Systems, Berkeley AI Research Lab Seminar</x:v>
      </x:c>
      <x:c r="H217" s="17" t="str">
        <x:v>To be added</x:v>
      </x:c>
      <x:c r="I217" s="17" t="str">
        <x:v>Viraj Prabhu</x:v>
      </x:c>
      <x:c r="J217" s="23" t="str">
        <x:v>Research Seminar</x:v>
      </x:c>
      <x:c r="K217" s="24" t="n">
        <x:v>61</x:v>
      </x:c>
      <x:c r="L217" s="16" t="str">
        <x:v>https://www.youtube.com/watch?v=jCedCS1mTYg</x:v>
      </x:c>
      <x:c r="M217" s="22" t="str">
        <x:v>YouTube</x:v>
      </x:c>
      <x:c r="N217" s="25" t="n">
        <x:v>253</x:v>
      </x:c>
      <x:c r="O217" s="23" t="str">
        <x:v>B | University / Conference / Institution</x:v>
      </x:c>
      <x:c r="P217" s="23" t="str">
        <x:v>Recommended</x:v>
      </x:c>
      <x:c r="Q217" s="23" t="str">
        <x:v>Verified</x:v>
      </x:c>
      <x:c r="R217" s="26" t="n">
        <x:v>46244</x:v>
      </x:c>
      <x:c r="S217" s="17" t="str">
        <x:v>Title, channel, and public metadata reviewed.</x:v>
      </x:c>
      <x:c r="T217" s="16" t="str">
        <x:v>jCedCS1mTYg</x:v>
      </x:c>
      <x:c r="U217" s="17" t="str"/>
      <x:c r="V217" s="151"/>
      <x:c r="W217" s="17" t="str"/>
    </x:row>
    <x:row r="218" ht="42" customHeight="1">
      <x:c r="A218" s="22" t="str">
        <x:v>ST-217</x:v>
      </x:c>
      <x:c r="B218" s="22" t="str">
        <x:v>Talk</x:v>
      </x:c>
      <x:c r="C218" s="22" t="str">
        <x:v>Other</x:v>
      </x:c>
      <x:c r="D218" s="17" t="str">
        <x:v>AI for Science</x:v>
      </x:c>
      <x:c r="E218" s="17" t="str">
        <x:v>AI for Science</x:v>
      </x:c>
      <x:c r="F218" s="23" t="str">
        <x:v>English</x:v>
      </x:c>
      <x:c r="G218" s="17" t="str">
        <x:v>AI3SD Summer Seminar Series 14 - AI for Science: Transforming Scientific Research - Dr Tony Hey</x:v>
      </x:c>
      <x:c r="H218" s="17" t="str">
        <x:v>To be added</x:v>
      </x:c>
      <x:c r="I218" s="17" t="str">
        <x:v>AI 4 Scientific Discovery</x:v>
      </x:c>
      <x:c r="J218" s="23" t="str">
        <x:v>Research Seminar</x:v>
      </x:c>
      <x:c r="K218" s="24" t="n">
        <x:v>46</x:v>
      </x:c>
      <x:c r="L218" s="16" t="str">
        <x:v>https://www.youtube.com/watch?v=qptQG5o0HN0</x:v>
      </x:c>
      <x:c r="M218" s="22" t="str">
        <x:v>YouTube</x:v>
      </x:c>
      <x:c r="N218" s="25" t="n">
        <x:v>212</x:v>
      </x:c>
      <x:c r="O218" s="23" t="str">
        <x:v>B | University / Conference / Institution</x:v>
      </x:c>
      <x:c r="P218" s="23" t="str">
        <x:v>Recommended</x:v>
      </x:c>
      <x:c r="Q218" s="23" t="str">
        <x:v>Verified</x:v>
      </x:c>
      <x:c r="R218" s="26" t="n">
        <x:v>46244</x:v>
      </x:c>
      <x:c r="S218" s="17" t="str">
        <x:v>Title, channel, and public metadata reviewed.</x:v>
      </x:c>
      <x:c r="T218" s="16" t="str">
        <x:v>qptQG5o0HN0</x:v>
      </x:c>
      <x:c r="U218" s="17" t="str"/>
      <x:c r="V218" s="151"/>
      <x:c r="W218" s="17" t="str"/>
    </x:row>
    <x:row r="219" ht="42" customHeight="1">
      <x:c r="A219" s="22" t="str">
        <x:v>ST-218</x:v>
      </x:c>
      <x:c r="B219" s="22" t="str">
        <x:v>Talk</x:v>
      </x:c>
      <x:c r="C219" s="22" t="str">
        <x:v>Vision</x:v>
      </x:c>
      <x:c r="D219" s="17" t="str">
        <x:v>Computer Vision</x:v>
      </x:c>
      <x:c r="E219" s="17" t="str">
        <x:v>Computer Vision</x:v>
      </x:c>
      <x:c r="F219" s="23" t="str">
        <x:v>English</x:v>
      </x:c>
      <x:c r="G219" s="17" t="str">
        <x:v>CVPR 2025 EP5 Keynote Matthias Niessner</x:v>
      </x:c>
      <x:c r="H219" s="17" t="str">
        <x:v>To be added</x:v>
      </x:c>
      <x:c r="I219" s="17" t="str">
        <x:v>AI for Creative Generation Editing Understanding</x:v>
      </x:c>
      <x:c r="J219" s="23" t="str">
        <x:v>Conference Keynote</x:v>
      </x:c>
      <x:c r="K219" s="24" t="n">
        <x:v>70</x:v>
      </x:c>
      <x:c r="L219" s="16" t="str">
        <x:v>https://www.youtube.com/watch?v=nBtfBld4Xbk</x:v>
      </x:c>
      <x:c r="M219" s="22" t="str">
        <x:v>YouTube</x:v>
      </x:c>
      <x:c r="N219" s="25" t="n">
        <x:v>172</x:v>
      </x:c>
      <x:c r="O219" s="23" t="str">
        <x:v>B | University / Conference / Institution</x:v>
      </x:c>
      <x:c r="P219" s="23" t="str">
        <x:v>Recommended</x:v>
      </x:c>
      <x:c r="Q219" s="23" t="str">
        <x:v>Verified</x:v>
      </x:c>
      <x:c r="R219" s="26" t="n">
        <x:v>46244</x:v>
      </x:c>
      <x:c r="S219" s="17" t="str">
        <x:v>Title, channel, and public metadata reviewed.</x:v>
      </x:c>
      <x:c r="T219" s="16" t="str">
        <x:v>nBtfBld4Xbk</x:v>
      </x:c>
      <x:c r="U219" s="17" t="str"/>
      <x:c r="V219" s="151"/>
      <x:c r="W219" s="17" t="str"/>
    </x:row>
    <x:row r="220" ht="42" customHeight="1">
      <x:c r="A220" s="22" t="str">
        <x:v>ST-219</x:v>
      </x:c>
      <x:c r="B220" s="22" t="str">
        <x:v>Talk</x:v>
      </x:c>
      <x:c r="C220" s="22" t="str">
        <x:v>Other</x:v>
      </x:c>
      <x:c r="D220" s="17" t="str">
        <x:v>Machine Learning Frontiers</x:v>
      </x:c>
      <x:c r="E220" s="17" t="str">
        <x:v>AI Systems / MLOps</x:v>
      </x:c>
      <x:c r="F220" s="23" t="str">
        <x:v>English</x:v>
      </x:c>
      <x:c r="G220" s="17" t="str">
        <x:v>Keynote Lecture 8: 10 Things you shouldn´t ignore with TinyML by Harvard Professor Vijay Reddi</x:v>
      </x:c>
      <x:c r="H220" s="17" t="str">
        <x:v>TinyML by Harvard Professor Vijay Reddi</x:v>
      </x:c>
      <x:c r="I220" s="17" t="str">
        <x:v>Backyard Brains</x:v>
      </x:c>
      <x:c r="J220" s="23" t="str">
        <x:v>Conference Keynote</x:v>
      </x:c>
      <x:c r="K220" s="24" t="n">
        <x:v>64</x:v>
      </x:c>
      <x:c r="L220" s="16" t="str">
        <x:v>https://www.youtube.com/watch?v=ssPYXvUNd_o</x:v>
      </x:c>
      <x:c r="M220" s="22" t="str">
        <x:v>YouTube</x:v>
      </x:c>
      <x:c r="N220" s="25" t="n">
        <x:v>470</x:v>
      </x:c>
      <x:c r="O220" s="23" t="str">
        <x:v>B | University / Conference / Institution</x:v>
      </x:c>
      <x:c r="P220" s="23" t="str">
        <x:v>Recommended</x:v>
      </x:c>
      <x:c r="Q220" s="23" t="str">
        <x:v>Verified</x:v>
      </x:c>
      <x:c r="R220" s="26" t="n">
        <x:v>46244</x:v>
      </x:c>
      <x:c r="S220" s="17" t="str">
        <x:v>Title, channel, and public metadata reviewed.</x:v>
      </x:c>
      <x:c r="T220" s="16" t="str">
        <x:v>ssPYXvUNd_o</x:v>
      </x:c>
      <x:c r="U220" s="17" t="str"/>
      <x:c r="V220" s="151"/>
      <x:c r="W220" s="17" t="str"/>
    </x:row>
    <x:row r="221" ht="42" customHeight="1">
      <x:c r="A221" s="22" t="str">
        <x:v>ST-220</x:v>
      </x:c>
      <x:c r="B221" s="22" t="str">
        <x:v>Talk</x:v>
      </x:c>
      <x:c r="C221" s="22" t="str">
        <x:v>Other</x:v>
      </x:c>
      <x:c r="D221" s="17" t="str">
        <x:v>Natural Language Processing</x:v>
      </x:c>
      <x:c r="E221" s="17" t="str">
        <x:v>Natural Language Processing; AI Education</x:v>
      </x:c>
      <x:c r="F221" s="23" t="str">
        <x:v>English</x:v>
      </x:c>
      <x:c r="G221" s="17" t="str">
        <x:v>ACL 2021 invited talk: Learning-to-learn through Model-based Optimization, by Prof Eric Xing</x:v>
      </x:c>
      <x:c r="H221" s="17" t="str">
        <x:v>ACL 2021 invited talk</x:v>
      </x:c>
      <x:c r="I221" s="17" t="str">
        <x:v>SailingLab CMU</x:v>
      </x:c>
      <x:c r="J221" s="23" t="str">
        <x:v>Research Talk</x:v>
      </x:c>
      <x:c r="K221" s="24" t="n">
        <x:v>50</x:v>
      </x:c>
      <x:c r="L221" s="16" t="str">
        <x:v>https://www.youtube.com/watch?v=j66_e7yVoAs</x:v>
      </x:c>
      <x:c r="M221" s="22" t="str">
        <x:v>YouTube</x:v>
      </x:c>
      <x:c r="N221" s="25" t="n">
        <x:v>380</x:v>
      </x:c>
      <x:c r="O221" s="23" t="str">
        <x:v>A | Official / Original Creator / Organizer</x:v>
      </x:c>
      <x:c r="P221" s="23" t="str">
        <x:v>Recommended</x:v>
      </x:c>
      <x:c r="Q221" s="23" t="str">
        <x:v>Verified</x:v>
      </x:c>
      <x:c r="R221" s="26" t="n">
        <x:v>46244</x:v>
      </x:c>
      <x:c r="S221" s="17" t="str">
        <x:v>Title, channel, and public metadata reviewed.</x:v>
      </x:c>
      <x:c r="T221" s="16" t="str">
        <x:v>j66_e7yVoAs</x:v>
      </x:c>
      <x:c r="U221" s="17" t="str"/>
      <x:c r="V221" s="151"/>
      <x:c r="W221" s="17" t="str"/>
    </x:row>
    <x:row r="222" ht="42" customHeight="1">
      <x:c r="A222" s="22" t="str">
        <x:v>ST-221</x:v>
      </x:c>
      <x:c r="B222" s="22" t="str">
        <x:v>Talk</x:v>
      </x:c>
      <x:c r="C222" s="22" t="str">
        <x:v>Other</x:v>
      </x:c>
      <x:c r="D222" s="17" t="str">
        <x:v>Machine Learning Frontiers</x:v>
      </x:c>
      <x:c r="E222" s="17" t="str">
        <x:v>Machine Learning Frontiers</x:v>
      </x:c>
      <x:c r="F222" s="23" t="str">
        <x:v>English</x:v>
      </x:c>
      <x:c r="G222" s="17" t="str">
        <x:v>ICML 2020 Human in the loop Workshop Keynote</x:v>
      </x:c>
      <x:c r="H222" s="17" t="str">
        <x:v>To be added</x:v>
      </x:c>
      <x:c r="I222" s="17" t="str">
        <x:v>Raquel Urtasun</x:v>
      </x:c>
      <x:c r="J222" s="23" t="str">
        <x:v>Conference Keynote</x:v>
      </x:c>
      <x:c r="K222" s="24" t="n">
        <x:v>41</x:v>
      </x:c>
      <x:c r="L222" s="16" t="str">
        <x:v>https://www.youtube.com/watch?v=C7fhF8DXpto</x:v>
      </x:c>
      <x:c r="M222" s="22" t="str">
        <x:v>YouTube</x:v>
      </x:c>
      <x:c r="N222" s="25" t="n">
        <x:v>267</x:v>
      </x:c>
      <x:c r="O222" s="23" t="str">
        <x:v>B | University / Conference / Institution</x:v>
      </x:c>
      <x:c r="P222" s="23" t="str">
        <x:v>Recommended</x:v>
      </x:c>
      <x:c r="Q222" s="23" t="str">
        <x:v>Verified</x:v>
      </x:c>
      <x:c r="R222" s="26" t="n">
        <x:v>46244</x:v>
      </x:c>
      <x:c r="S222" s="17" t="str">
        <x:v>Title, channel, and public metadata reviewed.</x:v>
      </x:c>
      <x:c r="T222" s="16" t="str">
        <x:v>C7fhF8DXpto</x:v>
      </x:c>
      <x:c r="U222" s="17" t="str"/>
      <x:c r="V222" s="151"/>
      <x:c r="W222" s="17" t="str"/>
    </x:row>
    <x:row r="223" ht="42" customHeight="1">
      <x:c r="A223" s="22" t="str">
        <x:v>ST-222</x:v>
      </x:c>
      <x:c r="B223" s="22" t="str">
        <x:v>Talk</x:v>
      </x:c>
      <x:c r="C223" s="22" t="str">
        <x:v>Other</x:v>
      </x:c>
      <x:c r="D223" s="17" t="str">
        <x:v>Natural Language Processing</x:v>
      </x:c>
      <x:c r="E223" s="17" t="str">
        <x:v>Natural Language Processing</x:v>
      </x:c>
      <x:c r="F223" s="23" t="str">
        <x:v>English</x:v>
      </x:c>
      <x:c r="G223" s="17" t="str">
        <x:v>(Keynote) NLP AutoML best practices and Working with Multilingual Data</x:v>
      </x:c>
      <x:c r="H223" s="17" t="str">
        <x:v>Multilingual Data</x:v>
      </x:c>
      <x:c r="I223" s="17" t="str">
        <x:v>Google Developers Space</x:v>
      </x:c>
      <x:c r="J223" s="23" t="str">
        <x:v>Conference Keynote</x:v>
      </x:c>
      <x:c r="K223" s="24" t="n">
        <x:v>25</x:v>
      </x:c>
      <x:c r="L223" s="16" t="str">
        <x:v>https://www.youtube.com/watch?v=DFnrLDdBJTA</x:v>
      </x:c>
      <x:c r="M223" s="22" t="str">
        <x:v>YouTube</x:v>
      </x:c>
      <x:c r="N223" s="25" t="n">
        <x:v>122</x:v>
      </x:c>
      <x:c r="O223" s="23" t="str">
        <x:v>B | University / Conference / Institution</x:v>
      </x:c>
      <x:c r="P223" s="23" t="str">
        <x:v>Recommended</x:v>
      </x:c>
      <x:c r="Q223" s="23" t="str">
        <x:v>Verified</x:v>
      </x:c>
      <x:c r="R223" s="26" t="n">
        <x:v>46244</x:v>
      </x:c>
      <x:c r="S223" s="17" t="str">
        <x:v>Title, channel, and public metadata reviewed.</x:v>
      </x:c>
      <x:c r="T223" s="16" t="str">
        <x:v>DFnrLDdBJTA</x:v>
      </x:c>
      <x:c r="U223" s="17" t="str"/>
      <x:c r="V223" s="151"/>
      <x:c r="W223" s="17" t="str"/>
    </x:row>
    <x:row r="224" ht="42" customHeight="1">
      <x:c r="A224" s="22" t="str">
        <x:v>ST-223</x:v>
      </x:c>
      <x:c r="B224" s="22" t="str">
        <x:v>Talk</x:v>
      </x:c>
      <x:c r="C224" s="22" t="str">
        <x:v>Other</x:v>
      </x:c>
      <x:c r="D224" s="17" t="str">
        <x:v>Multimodal Learning</x:v>
      </x:c>
      <x:c r="E224" s="17" t="str">
        <x:v>Multimodal Learning; AI Education</x:v>
      </x:c>
      <x:c r="F224" s="23" t="str">
        <x:v>English</x:v>
      </x:c>
      <x:c r="G224" s="17" t="str">
        <x:v>[Invited Talk] A Practical Guide to Robust Multimodal Machine Learning and Its Application in Edu</x:v>
      </x:c>
      <x:c r="H224" s="17" t="str">
        <x:v>To be added</x:v>
      </x:c>
      <x:c r="I224" s="17" t="str">
        <x:v>ai4ed</x:v>
      </x:c>
      <x:c r="J224" s="23" t="str">
        <x:v>Research Talk</x:v>
      </x:c>
      <x:c r="K224" s="24" t="n">
        <x:v>37</x:v>
      </x:c>
      <x:c r="L224" s="16" t="str">
        <x:v>https://www.youtube.com/watch?v=U5dnL5qpW2w</x:v>
      </x:c>
      <x:c r="M224" s="22" t="str">
        <x:v>YouTube</x:v>
      </x:c>
      <x:c r="N224" s="25" t="n">
        <x:v>65</x:v>
      </x:c>
      <x:c r="O224" s="23" t="str">
        <x:v>B | University / Conference / Institution</x:v>
      </x:c>
      <x:c r="P224" s="23" t="str">
        <x:v>Recommended</x:v>
      </x:c>
      <x:c r="Q224" s="23" t="str">
        <x:v>Verified</x:v>
      </x:c>
      <x:c r="R224" s="26" t="n">
        <x:v>46244</x:v>
      </x:c>
      <x:c r="S224" s="17" t="str">
        <x:v>Title, channel, and public metadata reviewed.</x:v>
      </x:c>
      <x:c r="T224" s="16" t="str">
        <x:v>U5dnL5qpW2w</x:v>
      </x:c>
      <x:c r="U224" s="17" t="str"/>
      <x:c r="V224" s="151"/>
      <x:c r="W224" s="17" t="str"/>
    </x:row>
    <x:row r="225" ht="42" customHeight="1">
      <x:c r="A225" s="22" t="str">
        <x:v>ST-224</x:v>
      </x:c>
      <x:c r="B225" s="22" t="str">
        <x:v>Talk</x:v>
      </x:c>
      <x:c r="C225" s="22" t="str">
        <x:v>Other</x:v>
      </x:c>
      <x:c r="D225" s="17" t="str">
        <x:v>AI for Science</x:v>
      </x:c>
      <x:c r="E225" s="17" t="str">
        <x:v>AI for Science; AI Education</x:v>
      </x:c>
      <x:c r="F225" s="23" t="str">
        <x:v>English</x:v>
      </x:c>
      <x:c r="G225" s="17" t="str">
        <x:v>AI3SD Winter Seminar Series #7: Materials Machine Learning (MML): Talk 2 - Professor Graeme Day</x:v>
      </x:c>
      <x:c r="H225" s="17" t="str">
        <x:v>To be added</x:v>
      </x:c>
      <x:c r="I225" s="17" t="str">
        <x:v>AI 4 Scientific Discovery</x:v>
      </x:c>
      <x:c r="J225" s="23" t="str">
        <x:v>Research Seminar</x:v>
      </x:c>
      <x:c r="K225" s="24" t="n">
        <x:v>37</x:v>
      </x:c>
      <x:c r="L225" s="16" t="str">
        <x:v>https://www.youtube.com/watch?v=FuWtSkfkxFI</x:v>
      </x:c>
      <x:c r="M225" s="22" t="str">
        <x:v>YouTube</x:v>
      </x:c>
      <x:c r="N225" s="25" t="n">
        <x:v>620</x:v>
      </x:c>
      <x:c r="O225" s="23" t="str">
        <x:v>B | University / Conference / Institution</x:v>
      </x:c>
      <x:c r="P225" s="23" t="str">
        <x:v>Recommended</x:v>
      </x:c>
      <x:c r="Q225" s="23" t="str">
        <x:v>Verified</x:v>
      </x:c>
      <x:c r="R225" s="26" t="n">
        <x:v>46244</x:v>
      </x:c>
      <x:c r="S225" s="17" t="str">
        <x:v>Title, channel, and public metadata reviewed.</x:v>
      </x:c>
      <x:c r="T225" s="16" t="str">
        <x:v>FuWtSkfkxFI</x:v>
      </x:c>
      <x:c r="U225" s="17" t="str"/>
      <x:c r="V225" s="151"/>
      <x:c r="W225" s="17" t="str"/>
    </x:row>
    <x:row r="226" ht="42" customHeight="1">
      <x:c r="A226" s="22" t="str">
        <x:v>ST-225</x:v>
      </x:c>
      <x:c r="B226" s="22" t="str">
        <x:v>Talk</x:v>
      </x:c>
      <x:c r="C226" s="22" t="str">
        <x:v>Other</x:v>
      </x:c>
      <x:c r="D226" s="17" t="str">
        <x:v>Trustworthy AI / Safety</x:v>
      </x:c>
      <x:c r="E226" s="17" t="str">
        <x:v>AI Safety / Alignment / Ethics</x:v>
      </x:c>
      <x:c r="F226" s="23" t="str">
        <x:v>English</x:v>
      </x:c>
      <x:c r="G226" s="17" t="str">
        <x:v>[ICON Spring26 Seminar] Ruqi Zhang (Purdue) #foundationmodels #probabilitytheory #AI</x:v>
      </x:c>
      <x:c r="H226" s="17" t="str">
        <x:v>To be added</x:v>
      </x:c>
      <x:c r="I226" s="17" t="str">
        <x:v>Purdue ICON</x:v>
      </x:c>
      <x:c r="J226" s="23" t="str">
        <x:v>Research Seminar</x:v>
      </x:c>
      <x:c r="K226" s="24" t="n">
        <x:v>64</x:v>
      </x:c>
      <x:c r="L226" s="16" t="str">
        <x:v>https://www.youtube.com/watch?v=JEcknGDhhrQ</x:v>
      </x:c>
      <x:c r="M226" s="22" t="str">
        <x:v>YouTube</x:v>
      </x:c>
      <x:c r="N226" s="25" t="n">
        <x:v>158</x:v>
      </x:c>
      <x:c r="O226" s="23" t="str">
        <x:v>B | University / Conference / Institution</x:v>
      </x:c>
      <x:c r="P226" s="23" t="str">
        <x:v>Recommended</x:v>
      </x:c>
      <x:c r="Q226" s="23" t="str">
        <x:v>Verified</x:v>
      </x:c>
      <x:c r="R226" s="26" t="n">
        <x:v>46244</x:v>
      </x:c>
      <x:c r="S226" s="17" t="str">
        <x:v>Title, channel, and public metadata reviewed.</x:v>
      </x:c>
      <x:c r="T226" s="16" t="str">
        <x:v>JEcknGDhhrQ</x:v>
      </x:c>
      <x:c r="U226" s="17" t="str"/>
      <x:c r="V226" s="151"/>
      <x:c r="W226" s="17" t="str"/>
    </x:row>
    <x:row r="227" ht="42" customHeight="1">
      <x:c r="A227" s="22" t="str">
        <x:v>ST-226</x:v>
      </x:c>
      <x:c r="B227" s="22" t="str">
        <x:v>Interview</x:v>
      </x:c>
      <x:c r="C227" s="22" t="str">
        <x:v>World Model</x:v>
      </x:c>
      <x:c r="D227" s="17" t="str">
        <x:v>World Models</x:v>
      </x:c>
      <x:c r="E227" s="17" t="str">
        <x:v>Embodied AI; Robotics; World Models; Large Language Models; Foundation Models; Industry Insights</x:v>
      </x:c>
      <x:c r="F227" s="23" t="str">
        <x:v>Chinese</x:v>
      </x:c>
      <x:c r="G227" s="17" t="str">
        <x:v>对谢赛宁的7小时马拉松访谈：世界模型、逃出硅谷、反OpenAI、AMI Labs、两次拒绝Ilya、杨立昆、李飞飞和42</x:v>
      </x:c>
      <x:c r="H227" s="17" t="str">
        <x:v>To be added</x:v>
      </x:c>
      <x:c r="I227" s="17" t="str">
        <x:v>张小珺商业访谈录</x:v>
      </x:c>
      <x:c r="J227" s="23" t="str">
        <x:v>Profile Interview</x:v>
      </x:c>
      <x:c r="K227" s="24" t="n">
        <x:v>405</x:v>
      </x:c>
      <x:c r="L227" s="16" t="str">
        <x:v>https://www.bilibili.com/video/BV1tew5zVEDf</x:v>
      </x:c>
      <x:c r="M227" s="22" t="str">
        <x:v>Bilibili</x:v>
      </x:c>
      <x:c r="N227" s="25" t="n">
        <x:v>249660</x:v>
      </x:c>
      <x:c r="O227" s="23" t="str">
        <x:v>A | Official / Original Creator / Organizer</x:v>
      </x:c>
      <x:c r="P227" s="23" t="str">
        <x:v>Core</x:v>
      </x:c>
      <x:c r="Q227" s="23" t="str">
        <x:v>Verified</x:v>
      </x:c>
      <x:c r="R227" s="26" t="n">
        <x:v>46244</x:v>
      </x:c>
      <x:c r="S227" s="17" t="str">
        <x:v>Discovered through public Bilibili search; title, creator, and accessibility verified through the official video endpoint.</x:v>
      </x:c>
      <x:c r="T227" s="16" t="str">
        <x:v>BV1tew5zVEDf</x:v>
      </x:c>
      <x:c r="U227" s="17" t="str">
        <x:v>张小珺商业访谈录</x:v>
      </x:c>
      <x:c r="V227" s="151" t="n">
        <x:v>20260316</x:v>
      </x:c>
      <x:c r="W227" s="17" t="str">
        <x:v>zhang-xiaojun-business-interviews</x:v>
      </x:c>
    </x:row>
    <x:row r="228" ht="42" customHeight="1">
      <x:c r="A228" s="22" t="str">
        <x:v>ST-227</x:v>
      </x:c>
      <x:c r="B228" s="22" t="str">
        <x:v>Interview</x:v>
      </x:c>
      <x:c r="C228" s="22" t="str">
        <x:v>World Model</x:v>
      </x:c>
      <x:c r="D228" s="17" t="str">
        <x:v>World Models</x:v>
      </x:c>
      <x:c r="E228" s="17" t="str">
        <x:v>Embodied AI; Robotics; World Models; Large Language Models; Foundation Models; Industry Insights</x:v>
      </x:c>
      <x:c r="F228" s="23" t="str">
        <x:v>Chinese</x:v>
      </x:c>
      <x:c r="G228" s="17" t="str">
        <x:v>与梅涛院士聊世界模型的 3 小时访谈：语言、视频、具身终将汇聚，这会是一条全然不同的路径</x:v>
      </x:c>
      <x:c r="H228" s="17" t="str">
        <x:v>To be added</x:v>
      </x:c>
      <x:c r="I228" s="17" t="str">
        <x:v>卫诗婕_漫谈播客集</x:v>
      </x:c>
      <x:c r="J228" s="23" t="str">
        <x:v>Profile Interview</x:v>
      </x:c>
      <x:c r="K228" s="24" t="n">
        <x:v>201</x:v>
      </x:c>
      <x:c r="L228" s="16" t="str">
        <x:v>https://www.bilibili.com/video/BV1n2gD6gEoo</x:v>
      </x:c>
      <x:c r="M228" s="22" t="str">
        <x:v>Bilibili</x:v>
      </x:c>
      <x:c r="N228" s="25" t="n">
        <x:v>30073</x:v>
      </x:c>
      <x:c r="O228" s="23" t="str">
        <x:v>C | Community Selection</x:v>
      </x:c>
      <x:c r="P228" s="23" t="str">
        <x:v>Reserve</x:v>
      </x:c>
      <x:c r="Q228" s="23" t="str">
        <x:v>Verified</x:v>
      </x:c>
      <x:c r="R228" s="26" t="n">
        <x:v>46244</x:v>
      </x:c>
      <x:c r="S228" s="17" t="str">
        <x:v>Discovered through public Bilibili search; title, creator, and accessibility verified through the official video endpoint.</x:v>
      </x:c>
      <x:c r="T228" s="16" t="str">
        <x:v>BV1n2gD6gEoo</x:v>
      </x:c>
      <x:c r="U228" s="17" t="str">
        <x:v>卫诗婕｜漫谈播客集</x:v>
      </x:c>
      <x:c r="V228" s="151" t="n">
        <x:v>20260723</x:v>
      </x:c>
      <x:c r="W228" s="17" t="str">
        <x:v>wei-shijie-mantan-podcast</x:v>
      </x:c>
    </x:row>
    <x:row r="229" ht="42" customHeight="1">
      <x:c r="A229" s="22" t="str">
        <x:v>ST-228</x:v>
      </x:c>
      <x:c r="B229" s="22" t="str">
        <x:v>Interview</x:v>
      </x:c>
      <x:c r="C229" s="22" t="str">
        <x:v>World Model</x:v>
      </x:c>
      <x:c r="D229" s="17" t="str">
        <x:v>World Models</x:v>
      </x:c>
      <x:c r="E229" s="17" t="str">
        <x:v>Embodied AI; Robotics; World Models; Large Language Models; Foundation Models; Industry Insights</x:v>
      </x:c>
      <x:c r="F229" s="23" t="str">
        <x:v>Chinese</x:v>
      </x:c>
      <x:c r="G229" s="17" t="str">
        <x:v>【双语】李飞飞最新访谈：机器人学了十年还是笨？因为我们连"训练场"都没建好</x:v>
      </x:c>
      <x:c r="H229" s="17" t="str">
        <x:v>双语</x:v>
      </x:c>
      <x:c r="I229" s="17" t="str">
        <x:v>历史的进城</x:v>
      </x:c>
      <x:c r="J229" s="23" t="str">
        <x:v>Profile Interview</x:v>
      </x:c>
      <x:c r="K229" s="24" t="n">
        <x:v>42</x:v>
      </x:c>
      <x:c r="L229" s="16" t="str">
        <x:v>https://www.bilibili.com/video/BV1CU3B6VEc4</x:v>
      </x:c>
      <x:c r="M229" s="22" t="str">
        <x:v>Bilibili</x:v>
      </x:c>
      <x:c r="N229" s="25" t="n">
        <x:v>11782</x:v>
      </x:c>
      <x:c r="O229" s="23" t="str">
        <x:v>C | Community Selection</x:v>
      </x:c>
      <x:c r="P229" s="23" t="str">
        <x:v>Reserve</x:v>
      </x:c>
      <x:c r="Q229" s="23" t="str">
        <x:v>Verified</x:v>
      </x:c>
      <x:c r="R229" s="26" t="n">
        <x:v>46244</x:v>
      </x:c>
      <x:c r="S229" s="17" t="str">
        <x:v>Discovered through public Bilibili search; title, creator, and accessibility verified through the official video endpoint.</x:v>
      </x:c>
      <x:c r="T229" s="16" t="str">
        <x:v>BV1CU3B6VEc4</x:v>
      </x:c>
      <x:c r="U229" s="17" t="str"/>
      <x:c r="V229" s="151"/>
      <x:c r="W229" s="17" t="str"/>
    </x:row>
    <x:row r="230" ht="42" customHeight="1">
      <x:c r="A230" s="22" t="str">
        <x:v>ST-229</x:v>
      </x:c>
      <x:c r="B230" s="22" t="str">
        <x:v>Interview</x:v>
      </x:c>
      <x:c r="C230" s="22" t="str">
        <x:v>World Model</x:v>
      </x:c>
      <x:c r="D230" s="17" t="str">
        <x:v>World Models</x:v>
      </x:c>
      <x:c r="E230" s="17" t="str">
        <x:v>Embodied AI; Robotics; World Models; Large Language Models; Foundation Models; Industry Insights</x:v>
      </x:c>
      <x:c r="F230" s="23" t="str">
        <x:v>Chinese</x:v>
      </x:c>
      <x:c r="G230" s="17" t="str">
        <x:v>【人物访谈】  Yann LeCun 谈：大语言模型之后会是什么</x:v>
      </x:c>
      <x:c r="H230" s="17" t="str">
        <x:v>】  Yann LeCun 谈</x:v>
      </x:c>
      <x:c r="I230" s="17" t="str">
        <x:v>KrillinAI小林</x:v>
      </x:c>
      <x:c r="J230" s="23" t="str">
        <x:v>Profile Interview</x:v>
      </x:c>
      <x:c r="K230" s="24" t="n">
        <x:v>82</x:v>
      </x:c>
      <x:c r="L230" s="16" t="str">
        <x:v>https://www.bilibili.com/video/BV1o5LP6VEc8</x:v>
      </x:c>
      <x:c r="M230" s="22" t="str">
        <x:v>Bilibili</x:v>
      </x:c>
      <x:c r="N230" s="25" t="n">
        <x:v>5953</x:v>
      </x:c>
      <x:c r="O230" s="23" t="str">
        <x:v>C | Community Selection</x:v>
      </x:c>
      <x:c r="P230" s="23" t="str">
        <x:v>Reserve</x:v>
      </x:c>
      <x:c r="Q230" s="23" t="str">
        <x:v>Verified</x:v>
      </x:c>
      <x:c r="R230" s="26" t="n">
        <x:v>46244</x:v>
      </x:c>
      <x:c r="S230" s="17" t="str">
        <x:v>Discovered through public Bilibili search; title, creator, and accessibility verified through the official video endpoint.</x:v>
      </x:c>
      <x:c r="T230" s="16" t="str">
        <x:v>BV1o5LP6VEc8</x:v>
      </x:c>
      <x:c r="U230" s="17" t="str"/>
      <x:c r="V230" s="151"/>
      <x:c r="W230" s="17" t="str"/>
    </x:row>
    <x:row r="231" ht="42" customHeight="1">
      <x:c r="A231" s="22" t="str">
        <x:v>ST-230</x:v>
      </x:c>
      <x:c r="B231" s="22" t="str">
        <x:v>Interview</x:v>
      </x:c>
      <x:c r="C231" s="22" t="str">
        <x:v>World Model</x:v>
      </x:c>
      <x:c r="D231" s="17" t="str">
        <x:v>World Models</x:v>
      </x:c>
      <x:c r="E231" s="17" t="str">
        <x:v>Embodied AI; Robotics; World Models; Deep Learning; Neural Networks; Model Training</x:v>
      </x:c>
      <x:c r="F231" s="23" t="str">
        <x:v>Chinese</x:v>
      </x:c>
      <x:c r="G231" s="17" t="str">
        <x:v>李飞飞YC访谈：空间智能是人工智能的下一个前沿 [附文稿]</x:v>
      </x:c>
      <x:c r="H231" s="17" t="str">
        <x:v>附文稿</x:v>
      </x:c>
      <x:c r="I231" s="17" t="str">
        <x:v>Web3天空之城</x:v>
      </x:c>
      <x:c r="J231" s="23" t="str">
        <x:v>Profile Interview</x:v>
      </x:c>
      <x:c r="K231" s="24" t="n">
        <x:v>44</x:v>
      </x:c>
      <x:c r="L231" s="16" t="str">
        <x:v>https://www.bilibili.com/video/BV1Gz3WzPEUt</x:v>
      </x:c>
      <x:c r="M231" s="22" t="str">
        <x:v>Bilibili</x:v>
      </x:c>
      <x:c r="N231" s="25" t="n">
        <x:v>3836</x:v>
      </x:c>
      <x:c r="O231" s="23" t="str">
        <x:v>C | Community Selection</x:v>
      </x:c>
      <x:c r="P231" s="23" t="str">
        <x:v>Reserve</x:v>
      </x:c>
      <x:c r="Q231" s="23" t="str">
        <x:v>Verified</x:v>
      </x:c>
      <x:c r="R231" s="26" t="n">
        <x:v>46244</x:v>
      </x:c>
      <x:c r="S231" s="17" t="str">
        <x:v>Discovered through public Bilibili search; title, creator, and accessibility verified through the official video endpoint.</x:v>
      </x:c>
      <x:c r="T231" s="16" t="str">
        <x:v>BV1Gz3WzPEUt</x:v>
      </x:c>
      <x:c r="U231" s="17" t="str"/>
      <x:c r="V231" s="151"/>
      <x:c r="W231" s="17" t="str"/>
    </x:row>
    <x:row r="232" ht="42" customHeight="1">
      <x:c r="A232" s="22" t="str">
        <x:v>ST-231</x:v>
      </x:c>
      <x:c r="B232" s="22" t="str">
        <x:v>Interview</x:v>
      </x:c>
      <x:c r="C232" s="22" t="str">
        <x:v>World Model</x:v>
      </x:c>
      <x:c r="D232" s="17" t="str">
        <x:v>World Models</x:v>
      </x:c>
      <x:c r="E232" s="17" t="str">
        <x:v>Embodied AI; Robotics; World Models</x:v>
      </x:c>
      <x:c r="F232" s="23" t="str">
        <x:v>Chinese</x:v>
      </x:c>
      <x:c r="G232" s="17" t="str">
        <x:v>李飞飞深度对话：大世界模型与空间智能的未来，AI如何理解现实世界？| World Labs / AI 现实应用</x:v>
      </x:c>
      <x:c r="H232" s="17" t="str">
        <x:v>To be added</x:v>
      </x:c>
      <x:c r="I232" s="17" t="str">
        <x:v>赛博门外憨</x:v>
      </x:c>
      <x:c r="J232" s="23" t="str">
        <x:v>Profile Interview</x:v>
      </x:c>
      <x:c r="K232" s="24" t="n">
        <x:v>14</x:v>
      </x:c>
      <x:c r="L232" s="16" t="str">
        <x:v>https://www.bilibili.com/video/BV13XTc6GEdV</x:v>
      </x:c>
      <x:c r="M232" s="22" t="str">
        <x:v>Bilibili</x:v>
      </x:c>
      <x:c r="N232" s="25" t="n">
        <x:v>2534</x:v>
      </x:c>
      <x:c r="O232" s="23" t="str">
        <x:v>C | Community Selection</x:v>
      </x:c>
      <x:c r="P232" s="23" t="str">
        <x:v>Reserve</x:v>
      </x:c>
      <x:c r="Q232" s="23" t="str">
        <x:v>Verified</x:v>
      </x:c>
      <x:c r="R232" s="26" t="n">
        <x:v>46244</x:v>
      </x:c>
      <x:c r="S232" s="17" t="str">
        <x:v>Discovered through public Bilibili search; title, creator, and accessibility verified through the official video endpoint.</x:v>
      </x:c>
      <x:c r="T232" s="16" t="str">
        <x:v>BV13XTc6GEdV</x:v>
      </x:c>
      <x:c r="U232" s="17" t="str"/>
      <x:c r="V232" s="151"/>
      <x:c r="W232" s="17" t="str"/>
    </x:row>
    <x:row r="233" ht="42" customHeight="1">
      <x:c r="A233" s="22" t="str">
        <x:v>ST-232</x:v>
      </x:c>
      <x:c r="B233" s="22" t="str">
        <x:v>Interview</x:v>
      </x:c>
      <x:c r="C233" s="22" t="str">
        <x:v>World Model</x:v>
      </x:c>
      <x:c r="D233" s="17" t="str">
        <x:v>World Models</x:v>
      </x:c>
      <x:c r="E233" s="17" t="str">
        <x:v>Embodied AI; Robotics; World Models; Large Language Models; Foundation Models; Industry Insights</x:v>
      </x:c>
      <x:c r="F233" s="23" t="str">
        <x:v>Chinese</x:v>
      </x:c>
      <x:c r="G233" s="17" t="str">
        <x:v>[中字]杨立昆深度访谈：LLM之后，AI将走向世界模型</x:v>
      </x:c>
      <x:c r="H233" s="17" t="str">
        <x:v>中字</x:v>
      </x:c>
      <x:c r="I233" s="17" t="str">
        <x:v>悠澄夏</x:v>
      </x:c>
      <x:c r="J233" s="23" t="str">
        <x:v>Profile Interview</x:v>
      </x:c>
      <x:c r="K233" s="24" t="n">
        <x:v>81</x:v>
      </x:c>
      <x:c r="L233" s="16" t="str">
        <x:v>https://www.bilibili.com/video/BV1XQLu6pEJ3</x:v>
      </x:c>
      <x:c r="M233" s="22" t="str">
        <x:v>Bilibili</x:v>
      </x:c>
      <x:c r="N233" s="25" t="n">
        <x:v>2120</x:v>
      </x:c>
      <x:c r="O233" s="23" t="str">
        <x:v>C | Community Selection</x:v>
      </x:c>
      <x:c r="P233" s="23" t="str">
        <x:v>Reserve</x:v>
      </x:c>
      <x:c r="Q233" s="23" t="str">
        <x:v>Verified</x:v>
      </x:c>
      <x:c r="R233" s="26" t="n">
        <x:v>46244</x:v>
      </x:c>
      <x:c r="S233" s="17" t="str">
        <x:v>Discovered through public Bilibili search; title, creator, and accessibility verified through the official video endpoint.</x:v>
      </x:c>
      <x:c r="T233" s="16" t="str">
        <x:v>BV1XQLu6pEJ3</x:v>
      </x:c>
      <x:c r="U233" s="17" t="str"/>
      <x:c r="V233" s="151"/>
      <x:c r="W233" s="17" t="str"/>
    </x:row>
    <x:row r="234" ht="42" customHeight="1">
      <x:c r="A234" s="22" t="str">
        <x:v>ST-233</x:v>
      </x:c>
      <x:c r="B234" s="22" t="str">
        <x:v>Interview</x:v>
      </x:c>
      <x:c r="C234" s="22" t="str">
        <x:v>World Model</x:v>
      </x:c>
      <x:c r="D234" s="17" t="str">
        <x:v>World Models</x:v>
      </x:c>
      <x:c r="E234" s="17" t="str">
        <x:v>Embodied AI; Robotics; World Models; Large Language Models; Foundation Models; Industry Insights</x:v>
      </x:c>
      <x:c r="F234" s="23" t="str">
        <x:v>Chinese</x:v>
      </x:c>
      <x:c r="G234" s="17" t="str">
        <x:v>【中英】【附文稿】Yann LeCun最新对谈：LLM已是过去式，世界模型才是未来</x:v>
      </x:c>
      <x:c r="H234" s="17" t="str">
        <x:v>中英</x:v>
      </x:c>
      <x:c r="I234" s="17" t="str">
        <x:v>Gelai_AI</x:v>
      </x:c>
      <x:c r="J234" s="23" t="str">
        <x:v>Profile Interview</x:v>
      </x:c>
      <x:c r="K234" s="24" t="n">
        <x:v>53</x:v>
      </x:c>
      <x:c r="L234" s="16" t="str">
        <x:v>https://www.bilibili.com/video/BV1A2Fmz4ESa</x:v>
      </x:c>
      <x:c r="M234" s="22" t="str">
        <x:v>Bilibili</x:v>
      </x:c>
      <x:c r="N234" s="25" t="n">
        <x:v>1789</x:v>
      </x:c>
      <x:c r="O234" s="23" t="str">
        <x:v>C | Community Selection</x:v>
      </x:c>
      <x:c r="P234" s="23" t="str">
        <x:v>Reserve</x:v>
      </x:c>
      <x:c r="Q234" s="23" t="str">
        <x:v>Verified</x:v>
      </x:c>
      <x:c r="R234" s="26" t="n">
        <x:v>46244</x:v>
      </x:c>
      <x:c r="S234" s="17" t="str">
        <x:v>Discovered through public Bilibili search; title, creator, and accessibility verified through the official video endpoint.</x:v>
      </x:c>
      <x:c r="T234" s="16" t="str">
        <x:v>BV1A2Fmz4ESa</x:v>
      </x:c>
      <x:c r="U234" s="17" t="str"/>
      <x:c r="V234" s="151"/>
      <x:c r="W234" s="17" t="str"/>
    </x:row>
    <x:row r="235" ht="42" customHeight="1">
      <x:c r="A235" s="22" t="str">
        <x:v>ST-234</x:v>
      </x:c>
      <x:c r="B235" s="22" t="str">
        <x:v>Interview</x:v>
      </x:c>
      <x:c r="C235" s="22" t="str">
        <x:v>Agent</x:v>
      </x:c>
      <x:c r="D235" s="17" t="str">
        <x:v>Agents</x:v>
      </x:c>
      <x:c r="E235" s="17" t="str">
        <x:v>Agents; Multi-Agent Systems</x:v>
      </x:c>
      <x:c r="F235" s="23" t="str">
        <x:v>Chinese</x:v>
      </x:c>
      <x:c r="G235" s="17" t="str">
        <x:v>张亚勤：智能体发展的一些观点（2026太湖对话）</x:v>
      </x:c>
      <x:c r="H235" s="17" t="str">
        <x:v>To be added</x:v>
      </x:c>
      <x:c r="I235" s="17" t="str">
        <x:v>清华大学智能产业院</x:v>
      </x:c>
      <x:c r="J235" s="23" t="str">
        <x:v>Profile Interview</x:v>
      </x:c>
      <x:c r="K235" s="24" t="n">
        <x:v>25</x:v>
      </x:c>
      <x:c r="L235" s="16" t="str">
        <x:v>https://www.bilibili.com/video/BV1UsEn6HE4p</x:v>
      </x:c>
      <x:c r="M235" s="22" t="str">
        <x:v>Bilibili</x:v>
      </x:c>
      <x:c r="N235" s="25" t="n">
        <x:v>3048</x:v>
      </x:c>
      <x:c r="O235" s="23" t="str">
        <x:v>B | University / Conference / Institution</x:v>
      </x:c>
      <x:c r="P235" s="23" t="str">
        <x:v>Recommended</x:v>
      </x:c>
      <x:c r="Q235" s="23" t="str">
        <x:v>Verified</x:v>
      </x:c>
      <x:c r="R235" s="26" t="n">
        <x:v>46244</x:v>
      </x:c>
      <x:c r="S235" s="17" t="str">
        <x:v>Discovered through public Bilibili search; title, creator, and accessibility verified through the official video endpoint.</x:v>
      </x:c>
      <x:c r="T235" s="16" t="str">
        <x:v>BV1UsEn6HE4p</x:v>
      </x:c>
      <x:c r="U235" s="17" t="str"/>
      <x:c r="V235" s="151"/>
      <x:c r="W235" s="17" t="str"/>
    </x:row>
    <x:row r="236" ht="42" customHeight="1">
      <x:c r="A236" s="22" t="str">
        <x:v>ST-235</x:v>
      </x:c>
      <x:c r="B236" s="22" t="str">
        <x:v>Interview</x:v>
      </x:c>
      <x:c r="C236" s="22" t="str">
        <x:v>Agent</x:v>
      </x:c>
      <x:c r="D236" s="17" t="str">
        <x:v>Agents</x:v>
      </x:c>
      <x:c r="E236" s="17" t="str">
        <x:v>Agents; Multi-Agent Systems; Large Language Models; Foundation Models; Industry Insights</x:v>
      </x:c>
      <x:c r="F236" s="23" t="str">
        <x:v>Chinese</x:v>
      </x:c>
      <x:c r="G236" s="17" t="str">
        <x:v>对罗福莉的3.5小时访谈：AI范式已然巨变！OpenClaw、智能体框架、Agent范式很吃Post-train、卡的分配比例、巨变下的组织</x:v>
      </x:c>
      <x:c r="H236" s="17" t="str">
        <x:v>To be added</x:v>
      </x:c>
      <x:c r="I236" s="17" t="str">
        <x:v>张小珺商业访谈录</x:v>
      </x:c>
      <x:c r="J236" s="23" t="str">
        <x:v>Profile Interview</x:v>
      </x:c>
      <x:c r="K236" s="24" t="n">
        <x:v>215</x:v>
      </x:c>
      <x:c r="L236" s="16" t="str">
        <x:v>https://www.bilibili.com/video/BV1iVoVBgERD</x:v>
      </x:c>
      <x:c r="M236" s="22" t="str">
        <x:v>Bilibili</x:v>
      </x:c>
      <x:c r="N236" s="25" t="n">
        <x:v>476487</x:v>
      </x:c>
      <x:c r="O236" s="23" t="str">
        <x:v>A | Official / Original Creator / Organizer</x:v>
      </x:c>
      <x:c r="P236" s="23" t="str">
        <x:v>Core</x:v>
      </x:c>
      <x:c r="Q236" s="23" t="str">
        <x:v>Verified</x:v>
      </x:c>
      <x:c r="R236" s="26" t="n">
        <x:v>46244</x:v>
      </x:c>
      <x:c r="S236" s="17" t="str">
        <x:v>Discovered through public Bilibili search; title, creator, and accessibility verified through the official video endpoint.</x:v>
      </x:c>
      <x:c r="T236" s="16" t="str">
        <x:v>BV1iVoVBgERD</x:v>
      </x:c>
      <x:c r="U236" s="17" t="str">
        <x:v>张小珺商业访谈录</x:v>
      </x:c>
      <x:c r="V236" s="151" t="n">
        <x:v>20260424</x:v>
      </x:c>
      <x:c r="W236" s="17" t="str">
        <x:v>zhang-xiaojun-business-interviews</x:v>
      </x:c>
    </x:row>
    <x:row r="237" ht="42" customHeight="1">
      <x:c r="A237" s="22" t="str">
        <x:v>ST-236</x:v>
      </x:c>
      <x:c r="B237" s="22" t="str">
        <x:v>Interview</x:v>
      </x:c>
      <x:c r="C237" s="22" t="str">
        <x:v>Agent</x:v>
      </x:c>
      <x:c r="D237" s="17" t="str">
        <x:v>Agents</x:v>
      </x:c>
      <x:c r="E237" s="17" t="str">
        <x:v>Agents; Multi-Agent Systems; Large Language Models; Foundation Models; Industry Insights</x:v>
      </x:c>
      <x:c r="F237" s="23" t="str">
        <x:v>Chinese</x:v>
      </x:c>
      <x:c r="G237" s="17" t="str">
        <x:v>Manus全球爆火，我们独家对话Manus创始人肖弘！</x:v>
      </x:c>
      <x:c r="H237" s="17" t="str">
        <x:v>To be added</x:v>
      </x:c>
      <x:c r="I237" s="17" t="str">
        <x:v>张小珺商业访谈录</x:v>
      </x:c>
      <x:c r="J237" s="23" t="str">
        <x:v>Profile Interview</x:v>
      </x:c>
      <x:c r="K237" s="24" t="n">
        <x:v>71</x:v>
      </x:c>
      <x:c r="L237" s="16" t="str">
        <x:v>https://www.bilibili.com/video/BV1N7oBYNEoU</x:v>
      </x:c>
      <x:c r="M237" s="22" t="str">
        <x:v>Bilibili</x:v>
      </x:c>
      <x:c r="N237" s="25" t="n">
        <x:v>69492</x:v>
      </x:c>
      <x:c r="O237" s="23" t="str">
        <x:v>A | Official / Original Creator / Organizer</x:v>
      </x:c>
      <x:c r="P237" s="23" t="str">
        <x:v>Core</x:v>
      </x:c>
      <x:c r="Q237" s="23" t="str">
        <x:v>Verified</x:v>
      </x:c>
      <x:c r="R237" s="26" t="n">
        <x:v>46244</x:v>
      </x:c>
      <x:c r="S237" s="17" t="str">
        <x:v>Discovered through public Bilibili search; title, creator, and accessibility verified through the official video endpoint.</x:v>
      </x:c>
      <x:c r="T237" s="16" t="str">
        <x:v>BV1N7oBYNEoU</x:v>
      </x:c>
      <x:c r="U237" s="17" t="str">
        <x:v>张小珺商业访谈录</x:v>
      </x:c>
      <x:c r="V237" s="151" t="n">
        <x:v>20250323</x:v>
      </x:c>
      <x:c r="W237" s="17" t="str">
        <x:v>zhang-xiaojun-business-interviews</x:v>
      </x:c>
    </x:row>
    <x:row r="238" ht="42" customHeight="1">
      <x:c r="A238" s="22" t="str">
        <x:v>ST-237</x:v>
      </x:c>
      <x:c r="B238" s="22" t="str">
        <x:v>Interview</x:v>
      </x:c>
      <x:c r="C238" s="22" t="str">
        <x:v>Agent</x:v>
      </x:c>
      <x:c r="D238" s="17" t="str">
        <x:v>Agents</x:v>
      </x:c>
      <x:c r="E238" s="17" t="str">
        <x:v>Agents; Multi-Agent Systems; Large Language Models; Foundation Models; Industry Insights</x:v>
      </x:c>
      <x:c r="F238" s="23" t="str">
        <x:v>Chinese</x:v>
      </x:c>
      <x:c r="G238" s="17" t="str">
        <x:v>【十字路口】对话 MiniMax 闫俊杰：M3、10X 计划、10T 模型、和智能的终局【视频播客】</x:v>
      </x:c>
      <x:c r="H238" s="17" t="str">
        <x:v>MiniMax 闫俊杰</x:v>
      </x:c>
      <x:c r="I238" s="17" t="str">
        <x:v>Koji杨远骋at十字路口</x:v>
      </x:c>
      <x:c r="J238" s="23" t="str">
        <x:v>Video Podcast</x:v>
      </x:c>
      <x:c r="K238" s="24" t="n">
        <x:v>38</x:v>
      </x:c>
      <x:c r="L238" s="16" t="str">
        <x:v>https://www.bilibili.com/video/BV1VGjh6WEf9</x:v>
      </x:c>
      <x:c r="M238" s="22" t="str">
        <x:v>Bilibili</x:v>
      </x:c>
      <x:c r="N238" s="25" t="n">
        <x:v>19177</x:v>
      </x:c>
      <x:c r="O238" s="23" t="str">
        <x:v>C | Community Selection</x:v>
      </x:c>
      <x:c r="P238" s="23" t="str">
        <x:v>Reserve</x:v>
      </x:c>
      <x:c r="Q238" s="23" t="str">
        <x:v>Verified</x:v>
      </x:c>
      <x:c r="R238" s="26" t="n">
        <x:v>46244</x:v>
      </x:c>
      <x:c r="S238" s="17" t="str">
        <x:v>Discovered through public Bilibili search; title, creator, and accessibility verified through the official video endpoint.</x:v>
      </x:c>
      <x:c r="T238" s="16" t="str">
        <x:v>BV1VGjh6WEf9</x:v>
      </x:c>
      <x:c r="U238" s="17" t="str">
        <x:v>十字路口｜视频播客</x:v>
      </x:c>
      <x:c r="V238" s="151" t="n">
        <x:v>20260621</x:v>
      </x:c>
      <x:c r="W238" s="17" t="str">
        <x:v>crossroads-video-podcast</x:v>
      </x:c>
    </x:row>
    <x:row r="239" ht="42" customHeight="1">
      <x:c r="A239" s="22" t="str">
        <x:v>ST-238</x:v>
      </x:c>
      <x:c r="B239" s="22" t="str">
        <x:v>Interview</x:v>
      </x:c>
      <x:c r="C239" s="22" t="str">
        <x:v>Agent</x:v>
      </x:c>
      <x:c r="D239" s="17" t="str">
        <x:v>Agents</x:v>
      </x:c>
      <x:c r="E239" s="17" t="str">
        <x:v>Agents; Multi-Agent Systems; Large Language Models; Foundation Models; Industry Insights</x:v>
      </x:c>
      <x:c r="F239" s="23" t="str">
        <x:v>Chinese</x:v>
      </x:c>
      <x:c r="G239" s="17" t="str">
        <x:v>Manus创始人季逸超访谈整理：20亿美金的Agent复盘</x:v>
      </x:c>
      <x:c r="H239" s="17" t="str">
        <x:v>整理</x:v>
      </x:c>
      <x:c r="I239" s="17" t="str">
        <x:v>碳硅同传</x:v>
      </x:c>
      <x:c r="J239" s="23" t="str">
        <x:v>Profile Interview</x:v>
      </x:c>
      <x:c r="K239" s="24" t="n">
        <x:v>23</x:v>
      </x:c>
      <x:c r="L239" s="16" t="str">
        <x:v>https://www.bilibili.com/video/BV1aWi7B4EYt</x:v>
      </x:c>
      <x:c r="M239" s="22" t="str">
        <x:v>Bilibili</x:v>
      </x:c>
      <x:c r="N239" s="25" t="n">
        <x:v>2607</x:v>
      </x:c>
      <x:c r="O239" s="23" t="str">
        <x:v>C | Community Selection</x:v>
      </x:c>
      <x:c r="P239" s="23" t="str">
        <x:v>Reserve</x:v>
      </x:c>
      <x:c r="Q239" s="23" t="str">
        <x:v>Verified</x:v>
      </x:c>
      <x:c r="R239" s="26" t="n">
        <x:v>46244</x:v>
      </x:c>
      <x:c r="S239" s="17" t="str">
        <x:v>Discovered through public Bilibili search; title, creator, and accessibility verified through the official video endpoint.</x:v>
      </x:c>
      <x:c r="T239" s="16" t="str">
        <x:v>BV1aWi7B4EYt</x:v>
      </x:c>
      <x:c r="U239" s="17" t="str"/>
      <x:c r="V239" s="151"/>
      <x:c r="W239" s="17" t="str"/>
    </x:row>
    <x:row r="240" ht="42" customHeight="1">
      <x:c r="A240" s="22" t="str">
        <x:v>ST-239</x:v>
      </x:c>
      <x:c r="B240" s="22" t="str">
        <x:v>Interview</x:v>
      </x:c>
      <x:c r="C240" s="22" t="str">
        <x:v>Agent</x:v>
      </x:c>
      <x:c r="D240" s="17" t="str">
        <x:v>Agents</x:v>
      </x:c>
      <x:c r="E240" s="17" t="str">
        <x:v>Agents; Multi-Agent Systems; Large Language Models; Foundation Models; Industry Insights</x:v>
      </x:c>
      <x:c r="F240" s="23" t="str">
        <x:v>Chinese</x:v>
      </x:c>
      <x:c r="G240" s="17" t="str">
        <x:v>【十字路口】「模型能力已经够了，要卷就卷 infra」｜对谈戴冠兰：Runta 创始人【视频播客】</x:v>
      </x:c>
      <x:c r="H240" s="17" t="str">
        <x:v>十字路口</x:v>
      </x:c>
      <x:c r="I240" s="17" t="str">
        <x:v>Koji杨远骋at十字路口</x:v>
      </x:c>
      <x:c r="J240" s="23" t="str">
        <x:v>Video Podcast</x:v>
      </x:c>
      <x:c r="K240" s="24" t="n">
        <x:v>56</x:v>
      </x:c>
      <x:c r="L240" s="16" t="str">
        <x:v>https://www.bilibili.com/video/BV12Lu16wEgL</x:v>
      </x:c>
      <x:c r="M240" s="22" t="str">
        <x:v>Bilibili</x:v>
      </x:c>
      <x:c r="N240" s="25" t="n">
        <x:v>1731</x:v>
      </x:c>
      <x:c r="O240" s="23" t="str">
        <x:v>C | Community Selection</x:v>
      </x:c>
      <x:c r="P240" s="23" t="str">
        <x:v>Reserve</x:v>
      </x:c>
      <x:c r="Q240" s="23" t="str">
        <x:v>Verified</x:v>
      </x:c>
      <x:c r="R240" s="26" t="n">
        <x:v>46244</x:v>
      </x:c>
      <x:c r="S240" s="17" t="str">
        <x:v>Discovered through public Bilibili search; title, creator, and accessibility verified through the official video endpoint.</x:v>
      </x:c>
      <x:c r="T240" s="16" t="str">
        <x:v>BV12Lu16wEgL</x:v>
      </x:c>
      <x:c r="U240" s="17" t="str">
        <x:v>十字路口｜视频播客</x:v>
      </x:c>
      <x:c r="V240" s="151" t="n">
        <x:v>20260809</x:v>
      </x:c>
      <x:c r="W240" s="17" t="str">
        <x:v>crossroads-video-podcast</x:v>
      </x:c>
    </x:row>
    <x:row r="241" ht="42" customHeight="1">
      <x:c r="A241" s="22" t="str">
        <x:v>ST-240</x:v>
      </x:c>
      <x:c r="B241" s="22" t="str">
        <x:v>Interview</x:v>
      </x:c>
      <x:c r="C241" s="22" t="str">
        <x:v>Agent</x:v>
      </x:c>
      <x:c r="D241" s="17" t="str">
        <x:v>Agents</x:v>
      </x:c>
      <x:c r="E241" s="17" t="str">
        <x:v>Agents; Multi-Agent Systems</x:v>
      </x:c>
      <x:c r="F241" s="23" t="str">
        <x:v>Chinese</x:v>
      </x:c>
      <x:c r="G241" s="17" t="str">
        <x:v>Agent 实战揭秘：第一仗打下来，学到了什么？｜AgenticNow Salon #4 圆桌</x:v>
      </x:c>
      <x:c r="H241" s="17" t="str">
        <x:v>To be added</x:v>
      </x:c>
      <x:c r="I241" s="17" t="str">
        <x:v>CryptoKitchen</x:v>
      </x:c>
      <x:c r="J241" s="23" t="str">
        <x:v>Panel Discussion</x:v>
      </x:c>
      <x:c r="K241" s="24" t="n">
        <x:v>44</x:v>
      </x:c>
      <x:c r="L241" s="16" t="str">
        <x:v>https://www.bilibili.com/video/BV1QMuo6iEPW</x:v>
      </x:c>
      <x:c r="M241" s="22" t="str">
        <x:v>Bilibili</x:v>
      </x:c>
      <x:c r="N241" s="25" t="n">
        <x:v>83</x:v>
      </x:c>
      <x:c r="O241" s="23" t="str">
        <x:v>C | Community Selection</x:v>
      </x:c>
      <x:c r="P241" s="23" t="str">
        <x:v>Reserve</x:v>
      </x:c>
      <x:c r="Q241" s="23" t="str">
        <x:v>Verified</x:v>
      </x:c>
      <x:c r="R241" s="26" t="n">
        <x:v>46244</x:v>
      </x:c>
      <x:c r="S241" s="17" t="str">
        <x:v>Discovered through public Bilibili search; title, creator, and accessibility verified through the official video endpoint.</x:v>
      </x:c>
      <x:c r="T241" s="16" t="str">
        <x:v>BV1QMuo6iEPW</x:v>
      </x:c>
      <x:c r="U241" s="17" t="str"/>
      <x:c r="V241" s="151"/>
      <x:c r="W241" s="17" t="str"/>
    </x:row>
    <x:row r="242" ht="42" customHeight="1">
      <x:c r="A242" s="22" t="str">
        <x:v>ST-241</x:v>
      </x:c>
      <x:c r="B242" s="22" t="str">
        <x:v>Interview</x:v>
      </x:c>
      <x:c r="C242" s="22" t="str">
        <x:v>Agent</x:v>
      </x:c>
      <x:c r="D242" s="17" t="str">
        <x:v>Agents</x:v>
      </x:c>
      <x:c r="E242" s="17" t="str">
        <x:v>Agents; Multi-Agent Systems</x:v>
      </x:c>
      <x:c r="F242" s="23" t="str">
        <x:v>Chinese</x:v>
      </x:c>
      <x:c r="G242" s="17" t="str">
        <x:v>Manus被Meta收购，深度对谈创始人肖弘：我更希望做个小公司</x:v>
      </x:c>
      <x:c r="H242" s="17" t="str">
        <x:v>To be added</x:v>
      </x:c>
      <x:c r="I242" s="17" t="str">
        <x:v>机器之心官方</x:v>
      </x:c>
      <x:c r="J242" s="23" t="str">
        <x:v>Profile Interview</x:v>
      </x:c>
      <x:c r="K242" s="24" t="n">
        <x:v>29</x:v>
      </x:c>
      <x:c r="L242" s="16" t="str">
        <x:v>https://www.bilibili.com/video/BV1RovaBTEAN</x:v>
      </x:c>
      <x:c r="M242" s="22" t="str">
        <x:v>Bilibili</x:v>
      </x:c>
      <x:c r="N242" s="25" t="n">
        <x:v>89600</x:v>
      </x:c>
      <x:c r="O242" s="23" t="str">
        <x:v>A | Official / Original Creator / Organizer</x:v>
      </x:c>
      <x:c r="P242" s="23" t="str">
        <x:v>Core</x:v>
      </x:c>
      <x:c r="Q242" s="23" t="str">
        <x:v>Verified</x:v>
      </x:c>
      <x:c r="R242" s="26" t="n">
        <x:v>46244</x:v>
      </x:c>
      <x:c r="S242" s="17" t="str">
        <x:v>Discovered through public Bilibili search; title, creator, and accessibility verified through the official video endpoint.</x:v>
      </x:c>
      <x:c r="T242" s="16" t="str">
        <x:v>BV1RovaBTEAN</x:v>
      </x:c>
      <x:c r="U242" s="17" t="str"/>
      <x:c r="V242" s="151"/>
      <x:c r="W242" s="17" t="str"/>
    </x:row>
    <x:row r="243" ht="42" customHeight="1">
      <x:c r="A243" s="22" t="str">
        <x:v>ST-242</x:v>
      </x:c>
      <x:c r="B243" s="22" t="str">
        <x:v>Interview</x:v>
      </x:c>
      <x:c r="C243" s="22" t="str">
        <x:v>Vision</x:v>
      </x:c>
      <x:c r="D243" s="17" t="str">
        <x:v>Vision</x:v>
      </x:c>
      <x:c r="E243" s="17" t="str">
        <x:v>Vision</x:v>
      </x:c>
      <x:c r="F243" s="23" t="str">
        <x:v>Chinese</x:v>
      </x:c>
      <x:c r="G243" s="17" t="str">
        <x:v>人工智能与人最大的区别是什么，李飞飞访谈，讲的太好了！</x:v>
      </x:c>
      <x:c r="H243" s="17" t="str">
        <x:v>To be added</x:v>
      </x:c>
      <x:c r="I243" s="17" t="str">
        <x:v>人工智能基础</x:v>
      </x:c>
      <x:c r="J243" s="23" t="str">
        <x:v>Profile Interview</x:v>
      </x:c>
      <x:c r="K243" s="24" t="n">
        <x:v>16</x:v>
      </x:c>
      <x:c r="L243" s="16" t="str">
        <x:v>https://www.bilibili.com/video/BV1QD4y117Fn</x:v>
      </x:c>
      <x:c r="M243" s="22" t="str">
        <x:v>Bilibili</x:v>
      </x:c>
      <x:c r="N243" s="25" t="n">
        <x:v>93701</x:v>
      </x:c>
      <x:c r="O243" s="23" t="str">
        <x:v>B | University / Conference / Institution</x:v>
      </x:c>
      <x:c r="P243" s="23" t="str">
        <x:v>Recommended</x:v>
      </x:c>
      <x:c r="Q243" s="23" t="str">
        <x:v>Verified</x:v>
      </x:c>
      <x:c r="R243" s="26" t="n">
        <x:v>46244</x:v>
      </x:c>
      <x:c r="S243" s="17" t="str">
        <x:v>Discovered through public Bilibili search; title, creator, and accessibility verified through the official video endpoint.</x:v>
      </x:c>
      <x:c r="T243" s="16" t="str">
        <x:v>BV1QD4y117Fn</x:v>
      </x:c>
      <x:c r="U243" s="17" t="str"/>
      <x:c r="V243" s="151"/>
      <x:c r="W243" s="17" t="str"/>
    </x:row>
    <x:row r="244" ht="42" customHeight="1">
      <x:c r="A244" s="22" t="str">
        <x:v>ST-243</x:v>
      </x:c>
      <x:c r="B244" s="22" t="str">
        <x:v>Interview</x:v>
      </x:c>
      <x:c r="C244" s="22" t="str">
        <x:v>Vision</x:v>
      </x:c>
      <x:c r="D244" s="17" t="str">
        <x:v>Vision</x:v>
      </x:c>
      <x:c r="E244" s="17" t="str">
        <x:v>Vision</x:v>
      </x:c>
      <x:c r="F244" s="23" t="str">
        <x:v>Chinese</x:v>
      </x:c>
      <x:c r="G244" s="17" t="str">
        <x:v>对话朱松纯：归国，另辟AI“心”径</x:v>
      </x:c>
      <x:c r="H244" s="17" t="str">
        <x:v>朱松纯</x:v>
      </x:c>
      <x:c r="I244" s="17" t="str">
        <x:v>嫣予゜</x:v>
      </x:c>
      <x:c r="J244" s="23" t="str">
        <x:v>Profile Interview</x:v>
      </x:c>
      <x:c r="K244" s="24" t="n">
        <x:v>27</x:v>
      </x:c>
      <x:c r="L244" s="16" t="str">
        <x:v>https://www.bilibili.com/video/BV1D4eUzZEzc</x:v>
      </x:c>
      <x:c r="M244" s="22" t="str">
        <x:v>Bilibili</x:v>
      </x:c>
      <x:c r="N244" s="25" t="n">
        <x:v>44155</x:v>
      </x:c>
      <x:c r="O244" s="23" t="str">
        <x:v>C | Community Selection</x:v>
      </x:c>
      <x:c r="P244" s="23" t="str">
        <x:v>Reserve</x:v>
      </x:c>
      <x:c r="Q244" s="23" t="str">
        <x:v>Verified</x:v>
      </x:c>
      <x:c r="R244" s="26" t="n">
        <x:v>46244</x:v>
      </x:c>
      <x:c r="S244" s="17" t="str">
        <x:v>Discovered through public Bilibili search; title, creator, and accessibility verified through the official video endpoint.</x:v>
      </x:c>
      <x:c r="T244" s="16" t="str">
        <x:v>BV1D4eUzZEzc</x:v>
      </x:c>
      <x:c r="U244" s="17" t="str"/>
      <x:c r="V244" s="151"/>
      <x:c r="W244" s="17" t="str"/>
    </x:row>
    <x:row r="245" ht="42" customHeight="1">
      <x:c r="A245" s="22" t="str">
        <x:v>ST-244</x:v>
      </x:c>
      <x:c r="B245" s="22" t="str">
        <x:v>Interview</x:v>
      </x:c>
      <x:c r="C245" s="22" t="str">
        <x:v>Vision</x:v>
      </x:c>
      <x:c r="D245" s="17" t="str">
        <x:v>Vision</x:v>
      </x:c>
      <x:c r="E245" s="17" t="str">
        <x:v>Vision</x:v>
      </x:c>
      <x:c r="F245" s="23" t="str">
        <x:v>Chinese</x:v>
      </x:c>
      <x:c r="G245" s="17" t="str">
        <x:v>恺明老师和同学们的对话，值得一看 | 何恺明 | Kaiming He | 原创中英字幕</x:v>
      </x:c>
      <x:c r="H245" s="17" t="str">
        <x:v>To be added</x:v>
      </x:c>
      <x:c r="I245" s="17" t="str">
        <x:v>京口先生</x:v>
      </x:c>
      <x:c r="J245" s="23" t="str">
        <x:v>Profile Interview</x:v>
      </x:c>
      <x:c r="K245" s="24" t="n">
        <x:v>29</x:v>
      </x:c>
      <x:c r="L245" s="16" t="str">
        <x:v>https://www.bilibili.com/video/BV1bnfdBpEPs</x:v>
      </x:c>
      <x:c r="M245" s="22" t="str">
        <x:v>Bilibili</x:v>
      </x:c>
      <x:c r="N245" s="25" t="n">
        <x:v>22263</x:v>
      </x:c>
      <x:c r="O245" s="23" t="str">
        <x:v>C | Community Selection</x:v>
      </x:c>
      <x:c r="P245" s="23" t="str">
        <x:v>Reserve</x:v>
      </x:c>
      <x:c r="Q245" s="23" t="str">
        <x:v>Verified</x:v>
      </x:c>
      <x:c r="R245" s="26" t="n">
        <x:v>46244</x:v>
      </x:c>
      <x:c r="S245" s="17" t="str">
        <x:v>Discovered through public Bilibili search; title, creator, and accessibility verified through the official video endpoint.</x:v>
      </x:c>
      <x:c r="T245" s="16" t="str">
        <x:v>BV1bnfdBpEPs</x:v>
      </x:c>
      <x:c r="U245" s="17" t="str"/>
      <x:c r="V245" s="151"/>
      <x:c r="W245" s="17" t="str"/>
    </x:row>
    <x:row r="246" ht="42" customHeight="1">
      <x:c r="A246" s="22" t="str">
        <x:v>ST-245</x:v>
      </x:c>
      <x:c r="B246" s="22" t="str">
        <x:v>Interview</x:v>
      </x:c>
      <x:c r="C246" s="22" t="str">
        <x:v>Vision</x:v>
      </x:c>
      <x:c r="D246" s="17" t="str">
        <x:v>Vision</x:v>
      </x:c>
      <x:c r="E246" s="17" t="str">
        <x:v>Vision</x:v>
      </x:c>
      <x:c r="F246" s="23" t="str">
        <x:v>Chinese</x:v>
      </x:c>
      <x:c r="G246" s="17" t="str">
        <x:v>杨澜访谈录-开启人工智能时代 给AI一双慧眼 斯坦福大学人工智能实验室主任—李飞飞</x:v>
      </x:c>
      <x:c r="H246" s="17" t="str">
        <x:v>To be added</x:v>
      </x:c>
      <x:c r="I246" s="17" t="str">
        <x:v>明月空悠悠</x:v>
      </x:c>
      <x:c r="J246" s="23" t="str">
        <x:v>Profile Interview</x:v>
      </x:c>
      <x:c r="K246" s="24" t="n">
        <x:v>28</x:v>
      </x:c>
      <x:c r="L246" s="16" t="str">
        <x:v>https://www.bilibili.com/video/BV1hJ411F71K</x:v>
      </x:c>
      <x:c r="M246" s="22" t="str">
        <x:v>Bilibili</x:v>
      </x:c>
      <x:c r="N246" s="25" t="n">
        <x:v>5522</x:v>
      </x:c>
      <x:c r="O246" s="23" t="str">
        <x:v>B | University / Conference / Institution</x:v>
      </x:c>
      <x:c r="P246" s="23" t="str">
        <x:v>Recommended</x:v>
      </x:c>
      <x:c r="Q246" s="23" t="str">
        <x:v>Verified</x:v>
      </x:c>
      <x:c r="R246" s="26" t="n">
        <x:v>46244</x:v>
      </x:c>
      <x:c r="S246" s="17" t="str">
        <x:v>Discovered through public Bilibili search; title, creator, and accessibility verified through the official video endpoint.</x:v>
      </x:c>
      <x:c r="T246" s="16" t="str">
        <x:v>BV1hJ411F71K</x:v>
      </x:c>
      <x:c r="U246" s="17" t="str"/>
      <x:c r="V246" s="151"/>
      <x:c r="W246" s="17" t="str"/>
    </x:row>
    <x:row r="247" ht="42" customHeight="1">
      <x:c r="A247" s="22" t="str">
        <x:v>ST-246</x:v>
      </x:c>
      <x:c r="B247" s="22" t="str">
        <x:v>Interview</x:v>
      </x:c>
      <x:c r="C247" s="22" t="str">
        <x:v>Vision</x:v>
      </x:c>
      <x:c r="D247" s="17" t="str">
        <x:v>Vision</x:v>
      </x:c>
      <x:c r="E247" s="17" t="str">
        <x:v>Vision</x:v>
      </x:c>
      <x:c r="F247" s="23" t="str">
        <x:v>Chinese</x:v>
      </x:c>
      <x:c r="G247" s="17" t="str">
        <x:v>李飞飞访谈：未来10年或将只剩两种工（中文语音）</x:v>
      </x:c>
      <x:c r="H247" s="17" t="str">
        <x:v>To be added</x:v>
      </x:c>
      <x:c r="I247" s="17" t="str">
        <x:v>明文传输不</x:v>
      </x:c>
      <x:c r="J247" s="23" t="str">
        <x:v>Profile Interview</x:v>
      </x:c>
      <x:c r="K247" s="24" t="n">
        <x:v>56</x:v>
      </x:c>
      <x:c r="L247" s="16" t="str">
        <x:v>https://www.bilibili.com/video/BV1dy7W63E5Q</x:v>
      </x:c>
      <x:c r="M247" s="22" t="str">
        <x:v>Bilibili</x:v>
      </x:c>
      <x:c r="N247" s="25" t="n">
        <x:v>5491</x:v>
      </x:c>
      <x:c r="O247" s="23" t="str">
        <x:v>C | Community Selection</x:v>
      </x:c>
      <x:c r="P247" s="23" t="str">
        <x:v>Reserve</x:v>
      </x:c>
      <x:c r="Q247" s="23" t="str">
        <x:v>Verified</x:v>
      </x:c>
      <x:c r="R247" s="26" t="n">
        <x:v>46244</x:v>
      </x:c>
      <x:c r="S247" s="17" t="str">
        <x:v>Discovered through public Bilibili search; title, creator, and accessibility verified through the official video endpoint.</x:v>
      </x:c>
      <x:c r="T247" s="16" t="str">
        <x:v>BV1dy7W63E5Q</x:v>
      </x:c>
      <x:c r="U247" s="17" t="str"/>
      <x:c r="V247" s="151"/>
      <x:c r="W247" s="17" t="str"/>
    </x:row>
    <x:row r="248" ht="42" customHeight="1">
      <x:c r="A248" s="22" t="str">
        <x:v>ST-247</x:v>
      </x:c>
      <x:c r="B248" s="22" t="str">
        <x:v>Interview</x:v>
      </x:c>
      <x:c r="C248" s="22" t="str">
        <x:v>Vision</x:v>
      </x:c>
      <x:c r="D248" s="17" t="str">
        <x:v>Vision</x:v>
      </x:c>
      <x:c r="E248" s="17" t="str">
        <x:v>Embodied AI; Robotics; World Models</x:v>
      </x:c>
      <x:c r="F248" s="23" t="str">
        <x:v>Chinese</x:v>
      </x:c>
      <x:c r="G248" s="17" t="str">
        <x:v>李飞飞最新深度访谈：AI的下一维度不是语言，而是你看不见的空间智能！GPT做不到的“世界模型”到底有多震撼</x:v>
      </x:c>
      <x:c r="H248" s="17" t="str">
        <x:v>To be added</x:v>
      </x:c>
      <x:c r="I248" s="17" t="str">
        <x:v>小李知识创造财富</x:v>
      </x:c>
      <x:c r="J248" s="23" t="str">
        <x:v>Profile Interview</x:v>
      </x:c>
      <x:c r="K248" s="24" t="n">
        <x:v>18</x:v>
      </x:c>
      <x:c r="L248" s="16" t="str">
        <x:v>https://www.bilibili.com/video/BV1q3VW6FELW</x:v>
      </x:c>
      <x:c r="M248" s="22" t="str">
        <x:v>Bilibili</x:v>
      </x:c>
      <x:c r="N248" s="25" t="n">
        <x:v>5365</x:v>
      </x:c>
      <x:c r="O248" s="23" t="str">
        <x:v>C | Community Selection</x:v>
      </x:c>
      <x:c r="P248" s="23" t="str">
        <x:v>Reserve</x:v>
      </x:c>
      <x:c r="Q248" s="23" t="str">
        <x:v>Verified</x:v>
      </x:c>
      <x:c r="R248" s="26" t="n">
        <x:v>46244</x:v>
      </x:c>
      <x:c r="S248" s="17" t="str">
        <x:v>Discovered through public Bilibili search; title, creator, and accessibility verified through the official video endpoint.</x:v>
      </x:c>
      <x:c r="T248" s="16" t="str">
        <x:v>BV1q3VW6FELW</x:v>
      </x:c>
      <x:c r="U248" s="17" t="str"/>
      <x:c r="V248" s="151"/>
      <x:c r="W248" s="17" t="str"/>
    </x:row>
    <x:row r="249" ht="42" customHeight="1">
      <x:c r="A249" s="22" t="str">
        <x:v>ST-248</x:v>
      </x:c>
      <x:c r="B249" s="22" t="str">
        <x:v>Interview</x:v>
      </x:c>
      <x:c r="C249" s="22" t="str">
        <x:v>Vision</x:v>
      </x:c>
      <x:c r="D249" s="17" t="str">
        <x:v>Vision</x:v>
      </x:c>
      <x:c r="E249" s="17" t="str">
        <x:v>Agents; Multi-Agent Systems</x:v>
      </x:c>
      <x:c r="F249" s="23" t="str">
        <x:v>Chinese</x:v>
      </x:c>
      <x:c r="G249" s="17" t="str">
        <x:v>回家丨赤子归航 对话人工智能专家朱松纯</x:v>
      </x:c>
      <x:c r="H249" s="17" t="str">
        <x:v>To be added</x:v>
      </x:c>
      <x:c r="I249" s="17" t="str">
        <x:v>嫣予゜</x:v>
      </x:c>
      <x:c r="J249" s="23" t="str">
        <x:v>Profile Interview</x:v>
      </x:c>
      <x:c r="K249" s="24" t="n">
        <x:v>41</x:v>
      </x:c>
      <x:c r="L249" s="16" t="str">
        <x:v>https://www.bilibili.com/video/BV14sFzzzEMd</x:v>
      </x:c>
      <x:c r="M249" s="22" t="str">
        <x:v>Bilibili</x:v>
      </x:c>
      <x:c r="N249" s="25" t="n">
        <x:v>3939</x:v>
      </x:c>
      <x:c r="O249" s="23" t="str">
        <x:v>C | Community Selection</x:v>
      </x:c>
      <x:c r="P249" s="23" t="str">
        <x:v>Reserve</x:v>
      </x:c>
      <x:c r="Q249" s="23" t="str">
        <x:v>Verified</x:v>
      </x:c>
      <x:c r="R249" s="26" t="n">
        <x:v>46244</x:v>
      </x:c>
      <x:c r="S249" s="17" t="str">
        <x:v>Discovered through public Bilibili search; title, creator, and accessibility verified through the official video endpoint.</x:v>
      </x:c>
      <x:c r="T249" s="16" t="str">
        <x:v>BV14sFzzzEMd</x:v>
      </x:c>
      <x:c r="U249" s="17" t="str"/>
      <x:c r="V249" s="151"/>
      <x:c r="W249" s="17" t="str"/>
    </x:row>
    <x:row r="250" ht="42" customHeight="1">
      <x:c r="A250" s="22" t="str">
        <x:v>ST-249</x:v>
      </x:c>
      <x:c r="B250" s="22" t="str">
        <x:v>Interview</x:v>
      </x:c>
      <x:c r="C250" s="22" t="str">
        <x:v>Vision</x:v>
      </x:c>
      <x:c r="D250" s="17" t="str">
        <x:v>Vision</x:v>
      </x:c>
      <x:c r="E250" s="17" t="str">
        <x:v>Vision</x:v>
      </x:c>
      <x:c r="F250" s="23" t="str">
        <x:v>Chinese</x:v>
      </x:c>
      <x:c r="G250" s="17" t="str">
        <x:v>萨提亚·纳德拉与沈向洋CVPR对谈：那些未来可期的计算机视觉研究与应用</x:v>
      </x:c>
      <x:c r="H250" s="17" t="str">
        <x:v>To be added</x:v>
      </x:c>
      <x:c r="I250" s="17" t="str">
        <x:v>微软科技</x:v>
      </x:c>
      <x:c r="J250" s="23" t="str">
        <x:v>Profile Interview</x:v>
      </x:c>
      <x:c r="K250" s="24" t="n">
        <x:v>25</x:v>
      </x:c>
      <x:c r="L250" s="16" t="str">
        <x:v>https://www.bilibili.com/video/BV1hi4y1G7zS</x:v>
      </x:c>
      <x:c r="M250" s="22" t="str">
        <x:v>Bilibili</x:v>
      </x:c>
      <x:c r="N250" s="25" t="n">
        <x:v>3264</x:v>
      </x:c>
      <x:c r="O250" s="23" t="str">
        <x:v>C | Community Selection</x:v>
      </x:c>
      <x:c r="P250" s="23" t="str">
        <x:v>Reserve</x:v>
      </x:c>
      <x:c r="Q250" s="23" t="str">
        <x:v>Verified</x:v>
      </x:c>
      <x:c r="R250" s="26" t="n">
        <x:v>46244</x:v>
      </x:c>
      <x:c r="S250" s="17" t="str">
        <x:v>Discovered through public Bilibili search; title, creator, and accessibility verified through the official video endpoint.</x:v>
      </x:c>
      <x:c r="T250" s="16" t="str">
        <x:v>BV1hi4y1G7zS</x:v>
      </x:c>
      <x:c r="U250" s="17" t="str"/>
      <x:c r="V250" s="151"/>
      <x:c r="W250" s="17" t="str"/>
    </x:row>
    <x:row r="251" ht="42" customHeight="1">
      <x:c r="A251" s="22" t="str">
        <x:v>ST-250</x:v>
      </x:c>
      <x:c r="B251" s="22" t="str">
        <x:v>Interview</x:v>
      </x:c>
      <x:c r="C251" s="22" t="str">
        <x:v>Robotics</x:v>
      </x:c>
      <x:c r="D251" s="17" t="str">
        <x:v>Robotics</x:v>
      </x:c>
      <x:c r="E251" s="17" t="str">
        <x:v>Embodied AI; Robotics; World Models</x:v>
      </x:c>
      <x:c r="F251" s="23" t="str">
        <x:v>Chinese</x:v>
      </x:c>
      <x:c r="G251" s="17" t="str">
        <x:v>首档机器人与人类对谈的视频播客！机器人聊搞抽象，把刘擎整崩溃了？丨硅基聊天室EP01【视频播客】</x:v>
      </x:c>
      <x:c r="H251" s="17" t="str">
        <x:v>视频播客</x:v>
      </x:c>
      <x:c r="I251" s="17" t="str">
        <x:v>硅基聊天室</x:v>
      </x:c>
      <x:c r="J251" s="23" t="str">
        <x:v>Video Podcast</x:v>
      </x:c>
      <x:c r="K251" s="24" t="n">
        <x:v>91</x:v>
      </x:c>
      <x:c r="L251" s="16" t="str">
        <x:v>https://www.bilibili.com/video/BV1YnLB6TELA</x:v>
      </x:c>
      <x:c r="M251" s="22" t="str">
        <x:v>Bilibili</x:v>
      </x:c>
      <x:c r="N251" s="25" t="n">
        <x:v>1670045</x:v>
      </x:c>
      <x:c r="O251" s="23" t="str">
        <x:v>A | Official / Original Creator / Organizer</x:v>
      </x:c>
      <x:c r="P251" s="23" t="str">
        <x:v>Core</x:v>
      </x:c>
      <x:c r="Q251" s="23" t="str">
        <x:v>Verified</x:v>
      </x:c>
      <x:c r="R251" s="26" t="n">
        <x:v>46244</x:v>
      </x:c>
      <x:c r="S251" s="17" t="str">
        <x:v>Discovered through public Bilibili search; title, creator, and accessibility verified through the official video endpoint.</x:v>
      </x:c>
      <x:c r="T251" s="16" t="str">
        <x:v>BV1YnLB6TELA</x:v>
      </x:c>
      <x:c r="U251" s="17" t="str"/>
      <x:c r="V251" s="151"/>
      <x:c r="W251" s="17" t="str"/>
    </x:row>
    <x:row r="252" ht="42" customHeight="1">
      <x:c r="A252" s="22" t="str">
        <x:v>ST-251</x:v>
      </x:c>
      <x:c r="B252" s="22" t="str">
        <x:v>Interview</x:v>
      </x:c>
      <x:c r="C252" s="22" t="str">
        <x:v>Robotics</x:v>
      </x:c>
      <x:c r="D252" s="17" t="str">
        <x:v>Robotics</x:v>
      </x:c>
      <x:c r="E252" s="17" t="str">
        <x:v>Embodied AI; Robotics; World Models; Large Language Models; Foundation Models; Industry Insights</x:v>
      </x:c>
      <x:c r="F252" s="23" t="str">
        <x:v>Chinese</x:v>
      </x:c>
      <x:c r="G252" s="17" t="str">
        <x:v>Danfei Xu：人类数据，行为克隆，机器人GPT-3，全栈，EgoMimic，遥操作，UMI，斯坦福 | WhynotTV Podcast #5</x:v>
      </x:c>
      <x:c r="H252" s="17" t="str">
        <x:v>To be added</x:v>
      </x:c>
      <x:c r="I252" s="17" t="str">
        <x:v>WhynotTV</x:v>
      </x:c>
      <x:c r="J252" s="23" t="str">
        <x:v>Profile Interview</x:v>
      </x:c>
      <x:c r="K252" s="24" t="n">
        <x:v>137</x:v>
      </x:c>
      <x:c r="L252" s="16" t="str">
        <x:v>https://www.bilibili.com/video/BV1usRgBEESe</x:v>
      </x:c>
      <x:c r="M252" s="22" t="str">
        <x:v>Bilibili</x:v>
      </x:c>
      <x:c r="N252" s="25" t="n">
        <x:v>188681</x:v>
      </x:c>
      <x:c r="O252" s="23" t="str">
        <x:v>B | University / Conference / Institution</x:v>
      </x:c>
      <x:c r="P252" s="23" t="str">
        <x:v>Recommended</x:v>
      </x:c>
      <x:c r="Q252" s="23" t="str">
        <x:v>Verified</x:v>
      </x:c>
      <x:c r="R252" s="26" t="n">
        <x:v>46244</x:v>
      </x:c>
      <x:c r="S252" s="17" t="str">
        <x:v>Discovered through public Bilibili search; title, creator, and accessibility verified through the official video endpoint.</x:v>
      </x:c>
      <x:c r="T252" s="16" t="str">
        <x:v>BV1usRgBEESe</x:v>
      </x:c>
      <x:c r="U252" s="17" t="str"/>
      <x:c r="V252" s="151"/>
      <x:c r="W252" s="17" t="str"/>
    </x:row>
    <x:row r="253" ht="42" customHeight="1">
      <x:c r="A253" s="22" t="str">
        <x:v>ST-252</x:v>
      </x:c>
      <x:c r="B253" s="22" t="str">
        <x:v>Interview</x:v>
      </x:c>
      <x:c r="C253" s="22" t="str">
        <x:v>Robotics</x:v>
      </x:c>
      <x:c r="D253" s="17" t="str">
        <x:v>Robotics</x:v>
      </x:c>
      <x:c r="E253" s="17" t="str">
        <x:v>Embodied AI; Robotics; World Models; Reinforcement Learning; Policy Optimization</x:v>
      </x:c>
      <x:c r="F253" s="23" t="str">
        <x:v>Chinese</x:v>
      </x:c>
      <x:c r="G253" s="17" t="str">
        <x:v>对Physical Intelligence柯丽一鸣4小时访谈：PI的开源模型研究，机器人的江湖、族谱与主角</x:v>
      </x:c>
      <x:c r="H253" s="17" t="str">
        <x:v>To be added</x:v>
      </x:c>
      <x:c r="I253" s="17" t="str">
        <x:v>张小珺商业访谈录</x:v>
      </x:c>
      <x:c r="J253" s="23" t="str">
        <x:v>Profile Interview</x:v>
      </x:c>
      <x:c r="K253" s="24" t="n">
        <x:v>226</x:v>
      </x:c>
      <x:c r="L253" s="16" t="str">
        <x:v>https://www.bilibili.com/video/BV12bNB6vEtt</x:v>
      </x:c>
      <x:c r="M253" s="22" t="str">
        <x:v>Bilibili</x:v>
      </x:c>
      <x:c r="N253" s="25" t="n">
        <x:v>86567</x:v>
      </x:c>
      <x:c r="O253" s="23" t="str">
        <x:v>A | Official / Original Creator / Organizer</x:v>
      </x:c>
      <x:c r="P253" s="23" t="str">
        <x:v>Core</x:v>
      </x:c>
      <x:c r="Q253" s="23" t="str">
        <x:v>Verified</x:v>
      </x:c>
      <x:c r="R253" s="26" t="n">
        <x:v>46244</x:v>
      </x:c>
      <x:c r="S253" s="17" t="str">
        <x:v>Discovered through public Bilibili search; title, creator, and accessibility verified through the official video endpoint.</x:v>
      </x:c>
      <x:c r="T253" s="16" t="str">
        <x:v>BV12bNB6vEtt</x:v>
      </x:c>
      <x:c r="U253" s="17" t="str">
        <x:v>张小珺商业访谈录</x:v>
      </x:c>
      <x:c r="V253" s="151" t="n">
        <x:v>20260716</x:v>
      </x:c>
      <x:c r="W253" s="17" t="str">
        <x:v>zhang-xiaojun-business-interviews</x:v>
      </x:c>
    </x:row>
    <x:row r="254" ht="42" customHeight="1">
      <x:c r="A254" s="22" t="str">
        <x:v>ST-253</x:v>
      </x:c>
      <x:c r="B254" s="22" t="str">
        <x:v>Interview</x:v>
      </x:c>
      <x:c r="C254" s="22" t="str">
        <x:v>Robotics</x:v>
      </x:c>
      <x:c r="D254" s="17" t="str">
        <x:v>Robotics</x:v>
      </x:c>
      <x:c r="E254" s="17" t="str">
        <x:v>Embodied AI; Robotics; World Models</x:v>
      </x:c>
      <x:c r="F254" s="23" t="str">
        <x:v>Chinese</x:v>
      </x:c>
      <x:c r="G254" s="17" t="str">
        <x:v>90 后华为天才少年的具身启航：具身是一场马拉松，VLA 和世界模型都不是答案｜与黄青虬的访谈</x:v>
      </x:c>
      <x:c r="H254" s="17" t="str">
        <x:v>To be added</x:v>
      </x:c>
      <x:c r="I254" s="17" t="str">
        <x:v>卫诗婕_漫谈播客集</x:v>
      </x:c>
      <x:c r="J254" s="23" t="str">
        <x:v>Profile Interview</x:v>
      </x:c>
      <x:c r="K254" s="24" t="n">
        <x:v>146</x:v>
      </x:c>
      <x:c r="L254" s="16" t="str">
        <x:v>https://www.bilibili.com/video/BV1ijuc6XEec</x:v>
      </x:c>
      <x:c r="M254" s="22" t="str">
        <x:v>Bilibili</x:v>
      </x:c>
      <x:c r="N254" s="25" t="n">
        <x:v>19648</x:v>
      </x:c>
      <x:c r="O254" s="23" t="str">
        <x:v>B | University / Conference / Institution</x:v>
      </x:c>
      <x:c r="P254" s="23" t="str">
        <x:v>Recommended</x:v>
      </x:c>
      <x:c r="Q254" s="23" t="str">
        <x:v>Verified</x:v>
      </x:c>
      <x:c r="R254" s="26" t="n">
        <x:v>46244</x:v>
      </x:c>
      <x:c r="S254" s="17" t="str">
        <x:v>Discovered through public Bilibili search; title, creator, and accessibility verified through the official video endpoint.</x:v>
      </x:c>
      <x:c r="T254" s="16" t="str">
        <x:v>BV1ijuc6XEec</x:v>
      </x:c>
      <x:c r="U254" s="17" t="str">
        <x:v>卫诗婕｜漫谈播客集</x:v>
      </x:c>
      <x:c r="V254" s="151" t="n">
        <x:v>20260804</x:v>
      </x:c>
      <x:c r="W254" s="17" t="str">
        <x:v>wei-shijie-mantan-podcast</x:v>
      </x:c>
    </x:row>
    <x:row r="255" ht="42" customHeight="1">
      <x:c r="A255" s="22" t="str">
        <x:v>ST-254</x:v>
      </x:c>
      <x:c r="B255" s="22" t="str">
        <x:v>Interview</x:v>
      </x:c>
      <x:c r="C255" s="22" t="str">
        <x:v>Robotics</x:v>
      </x:c>
      <x:c r="D255" s="17" t="str">
        <x:v>Robotics</x:v>
      </x:c>
      <x:c r="E255" s="17" t="str">
        <x:v>Embodied AI; Robotics; World Models</x:v>
      </x:c>
      <x:c r="F255" s="23" t="str">
        <x:v>Chinese</x:v>
      </x:c>
      <x:c r="G255" s="17" t="str">
        <x:v>对话稚晖君X王闯 我们看清了人形机器人的下一站</x:v>
      </x:c>
      <x:c r="H255" s="17" t="str">
        <x:v>To be added</x:v>
      </x:c>
      <x:c r="I255" s="17" t="str">
        <x:v>看看新闻Knews</x:v>
      </x:c>
      <x:c r="J255" s="23" t="str">
        <x:v>Profile Interview</x:v>
      </x:c>
      <x:c r="K255" s="24" t="n">
        <x:v>12</x:v>
      </x:c>
      <x:c r="L255" s="16" t="str">
        <x:v>https://www.bilibili.com/video/BV1GSXZBSERC</x:v>
      </x:c>
      <x:c r="M255" s="22" t="str">
        <x:v>Bilibili</x:v>
      </x:c>
      <x:c r="N255" s="25" t="n">
        <x:v>12033</x:v>
      </x:c>
      <x:c r="O255" s="23" t="str">
        <x:v>C | Community Selection</x:v>
      </x:c>
      <x:c r="P255" s="23" t="str">
        <x:v>Reserve</x:v>
      </x:c>
      <x:c r="Q255" s="23" t="str">
        <x:v>Verified</x:v>
      </x:c>
      <x:c r="R255" s="26" t="n">
        <x:v>46244</x:v>
      </x:c>
      <x:c r="S255" s="17" t="str">
        <x:v>Discovered through public Bilibili search; title, creator, and accessibility verified through the official video endpoint.</x:v>
      </x:c>
      <x:c r="T255" s="16" t="str">
        <x:v>BV1GSXZBSERC</x:v>
      </x:c>
      <x:c r="U255" s="17" t="str"/>
      <x:c r="V255" s="151"/>
      <x:c r="W255" s="17" t="str"/>
    </x:row>
    <x:row r="256" ht="42" customHeight="1">
      <x:c r="A256" s="22" t="str">
        <x:v>ST-255</x:v>
      </x:c>
      <x:c r="B256" s="22" t="str">
        <x:v>Interview</x:v>
      </x:c>
      <x:c r="C256" s="22" t="str">
        <x:v>Robotics</x:v>
      </x:c>
      <x:c r="D256" s="17" t="str">
        <x:v>Robotics</x:v>
      </x:c>
      <x:c r="E256" s="17" t="str">
        <x:v>Robotics</x:v>
      </x:c>
      <x:c r="F256" s="23" t="str">
        <x:v>Chinese</x:v>
      </x:c>
      <x:c r="G256" s="17" t="str">
        <x:v>对话博登智能创始人赵捷：Physical AI的新竞争，将真实世界数据沉淀为模型资产</x:v>
      </x:c>
      <x:c r="H256" s="17" t="str">
        <x:v>博登智能创始人赵捷</x:v>
      </x:c>
      <x:c r="I256" s="17" t="str">
        <x:v>观察者网</x:v>
      </x:c>
      <x:c r="J256" s="23" t="str">
        <x:v>Profile Interview</x:v>
      </x:c>
      <x:c r="K256" s="24" t="n">
        <x:v>20</x:v>
      </x:c>
      <x:c r="L256" s="16" t="str">
        <x:v>https://www.bilibili.com/video/BV1eFKP6nEAN</x:v>
      </x:c>
      <x:c r="M256" s="22" t="str">
        <x:v>Bilibili</x:v>
      </x:c>
      <x:c r="N256" s="25" t="n">
        <x:v>3642</x:v>
      </x:c>
      <x:c r="O256" s="23" t="str">
        <x:v>C | Community Selection</x:v>
      </x:c>
      <x:c r="P256" s="23" t="str">
        <x:v>Reserve</x:v>
      </x:c>
      <x:c r="Q256" s="23" t="str">
        <x:v>Verified</x:v>
      </x:c>
      <x:c r="R256" s="26" t="n">
        <x:v>46244</x:v>
      </x:c>
      <x:c r="S256" s="17" t="str">
        <x:v>Discovered through public Bilibili search; title, creator, and accessibility verified through the official video endpoint.</x:v>
      </x:c>
      <x:c r="T256" s="16" t="str">
        <x:v>BV1eFKP6nEAN</x:v>
      </x:c>
      <x:c r="U256" s="17" t="str"/>
      <x:c r="V256" s="151"/>
      <x:c r="W256" s="17" t="str"/>
    </x:row>
    <x:row r="257" ht="42" customHeight="1">
      <x:c r="A257" s="22" t="str">
        <x:v>ST-256</x:v>
      </x:c>
      <x:c r="B257" s="22" t="str">
        <x:v>Interview</x:v>
      </x:c>
      <x:c r="C257" s="22" t="str">
        <x:v>Robotics</x:v>
      </x:c>
      <x:c r="D257" s="17" t="str">
        <x:v>Robotics</x:v>
      </x:c>
      <x:c r="E257" s="17" t="str">
        <x:v>Embodied AI; Robotics; World Models</x:v>
      </x:c>
      <x:c r="F257" s="23" t="str">
        <x:v>Chinese</x:v>
      </x:c>
      <x:c r="G257" s="17" t="str">
        <x:v>对话首形科技U航：当仿生机器人拥有感情|未知之境EP002</x:v>
      </x:c>
      <x:c r="H257" s="17" t="str">
        <x:v>首形科技U航</x:v>
      </x:c>
      <x:c r="I257" s="17" t="str">
        <x:v>第一财经</x:v>
      </x:c>
      <x:c r="J257" s="23" t="str">
        <x:v>Profile Interview</x:v>
      </x:c>
      <x:c r="K257" s="24" t="n">
        <x:v>27</x:v>
      </x:c>
      <x:c r="L257" s="16" t="str">
        <x:v>https://www.bilibili.com/video/BV16TKU6WEfP</x:v>
      </x:c>
      <x:c r="M257" s="22" t="str">
        <x:v>Bilibili</x:v>
      </x:c>
      <x:c r="N257" s="25" t="n">
        <x:v>3189</x:v>
      </x:c>
      <x:c r="O257" s="23" t="str">
        <x:v>B | University / Conference / Institution</x:v>
      </x:c>
      <x:c r="P257" s="23" t="str">
        <x:v>Recommended</x:v>
      </x:c>
      <x:c r="Q257" s="23" t="str">
        <x:v>Verified</x:v>
      </x:c>
      <x:c r="R257" s="26" t="n">
        <x:v>46244</x:v>
      </x:c>
      <x:c r="S257" s="17" t="str">
        <x:v>Discovered through public Bilibili search; title, creator, and accessibility verified through the official video endpoint.</x:v>
      </x:c>
      <x:c r="T257" s="16" t="str">
        <x:v>BV16TKU6WEfP</x:v>
      </x:c>
      <x:c r="U257" s="17" t="str"/>
      <x:c r="V257" s="151"/>
      <x:c r="W257" s="17" t="str"/>
    </x:row>
    <x:row r="258" ht="42" customHeight="1">
      <x:c r="A258" s="22" t="str">
        <x:v>ST-257</x:v>
      </x:c>
      <x:c r="B258" s="22" t="str">
        <x:v>Interview</x:v>
      </x:c>
      <x:c r="C258" s="22" t="str">
        <x:v>Robotics</x:v>
      </x:c>
      <x:c r="D258" s="17" t="str">
        <x:v>Robotics</x:v>
      </x:c>
      <x:c r="E258" s="17" t="str">
        <x:v>Embodied AI; Robotics; World Models</x:v>
      </x:c>
      <x:c r="F258" s="23" t="str">
        <x:v>Chinese</x:v>
      </x:c>
      <x:c r="G258" s="17" t="str">
        <x:v>【中音】李飞飞最新访谈：呼唤教育革命，人形机器人商用｜「赵何娟Talk」</x:v>
      </x:c>
      <x:c r="H258" s="17" t="str">
        <x:v>中音</x:v>
      </x:c>
      <x:c r="I258" s="17" t="str">
        <x:v>全球科技AI</x:v>
      </x:c>
      <x:c r="J258" s="23" t="str">
        <x:v>Profile Interview</x:v>
      </x:c>
      <x:c r="K258" s="24" t="n">
        <x:v>65</x:v>
      </x:c>
      <x:c r="L258" s="16" t="str">
        <x:v>https://www.bilibili.com/video/BV1hLvzBEEbS</x:v>
      </x:c>
      <x:c r="M258" s="22" t="str">
        <x:v>Bilibili</x:v>
      </x:c>
      <x:c r="N258" s="25" t="n">
        <x:v>2744</x:v>
      </x:c>
      <x:c r="O258" s="23" t="str">
        <x:v>C | Community Selection</x:v>
      </x:c>
      <x:c r="P258" s="23" t="str">
        <x:v>Reserve</x:v>
      </x:c>
      <x:c r="Q258" s="23" t="str">
        <x:v>Verified</x:v>
      </x:c>
      <x:c r="R258" s="26" t="n">
        <x:v>46244</x:v>
      </x:c>
      <x:c r="S258" s="17" t="str">
        <x:v>Discovered through public Bilibili search; title, creator, and accessibility verified through the official video endpoint.</x:v>
      </x:c>
      <x:c r="T258" s="16" t="str">
        <x:v>BV1hLvzBEEbS</x:v>
      </x:c>
      <x:c r="U258" s="17" t="str"/>
      <x:c r="V258" s="151"/>
      <x:c r="W258" s="17" t="str"/>
    </x:row>
    <x:row r="259" ht="42" customHeight="1">
      <x:c r="A259" s="22" t="str">
        <x:v>ST-258</x:v>
      </x:c>
      <x:c r="B259" s="22" t="str">
        <x:v>Course</x:v>
      </x:c>
      <x:c r="C259" s="22" t="str">
        <x:v>World Model</x:v>
      </x:c>
      <x:c r="D259" s="17" t="str">
        <x:v>World Models</x:v>
      </x:c>
      <x:c r="E259" s="17" t="str">
        <x:v>Embodied AI; Robotics; World Models; Agents; Multi-Agent Systems</x:v>
      </x:c>
      <x:c r="F259" s="23" t="str">
        <x:v>Chinese</x:v>
      </x:c>
      <x:c r="G259" s="17" t="str">
        <x:v>全面解析“世界模型”：定义、路线、实践与AGI的更近一步【硅谷101】</x:v>
      </x:c>
      <x:c r="H259" s="17" t="str">
        <x:v>硅谷101</x:v>
      </x:c>
      <x:c r="I259" s="17" t="str">
        <x:v>硅谷101</x:v>
      </x:c>
      <x:c r="J259" s="23" t="str">
        <x:v>Open Course / Tutorial</x:v>
      </x:c>
      <x:c r="K259" s="24" t="n">
        <x:v>50</x:v>
      </x:c>
      <x:c r="L259" s="16" t="str">
        <x:v>https://www.bilibili.com/video/BV11LPWzNEkm</x:v>
      </x:c>
      <x:c r="M259" s="22" t="str">
        <x:v>Bilibili</x:v>
      </x:c>
      <x:c r="N259" s="25" t="n">
        <x:v>274484</x:v>
      </x:c>
      <x:c r="O259" s="23" t="str">
        <x:v>A | Official / Original Creator / Organizer</x:v>
      </x:c>
      <x:c r="P259" s="23" t="str">
        <x:v>Core</x:v>
      </x:c>
      <x:c r="Q259" s="23" t="str">
        <x:v>Verified</x:v>
      </x:c>
      <x:c r="R259" s="26" t="n">
        <x:v>46244</x:v>
      </x:c>
      <x:c r="S259" s="17" t="str">
        <x:v>Discovered through public Bilibili search; title, creator, and accessibility verified through the official video endpoint.</x:v>
      </x:c>
      <x:c r="T259" s="16" t="str">
        <x:v>BV11LPWzNEkm</x:v>
      </x:c>
      <x:c r="U259" s="17" t="str"/>
      <x:c r="V259" s="151"/>
      <x:c r="W259" s="17" t="str"/>
    </x:row>
    <x:row r="260" ht="42" customHeight="1">
      <x:c r="A260" s="22" t="str">
        <x:v>ST-259</x:v>
      </x:c>
      <x:c r="B260" s="22" t="str">
        <x:v>Course</x:v>
      </x:c>
      <x:c r="C260" s="22" t="str">
        <x:v>World Model</x:v>
      </x:c>
      <x:c r="D260" s="17" t="str">
        <x:v>World Models</x:v>
      </x:c>
      <x:c r="E260" s="17" t="str">
        <x:v>Embodied AI; Robotics; World Models</x:v>
      </x:c>
      <x:c r="F260" s="23" t="str">
        <x:v>Chinese</x:v>
      </x:c>
      <x:c r="G260" s="17" t="str">
        <x:v>[浅读论文]小鹏X-World__世界模型如何实现VLA2.0的闭环仿真?</x:v>
      </x:c>
      <x:c r="H260" s="17" t="str">
        <x:v>浅读论文</x:v>
      </x:c>
      <x:c r="I260" s="17" t="str">
        <x:v>USTC_Beginner</x:v>
      </x:c>
      <x:c r="J260" s="23" t="str">
        <x:v>Open Course / Tutorial</x:v>
      </x:c>
      <x:c r="K260" s="24" t="n">
        <x:v>24</x:v>
      </x:c>
      <x:c r="L260" s="16" t="str">
        <x:v>https://www.bilibili.com/video/BV1g99nBLEMM</x:v>
      </x:c>
      <x:c r="M260" s="22" t="str">
        <x:v>Bilibili</x:v>
      </x:c>
      <x:c r="N260" s="25" t="n">
        <x:v>17640</x:v>
      </x:c>
      <x:c r="O260" s="23" t="str">
        <x:v>C | Community Selection</x:v>
      </x:c>
      <x:c r="P260" s="23" t="str">
        <x:v>Reserve</x:v>
      </x:c>
      <x:c r="Q260" s="23" t="str">
        <x:v>Verified</x:v>
      </x:c>
      <x:c r="R260" s="26" t="n">
        <x:v>46244</x:v>
      </x:c>
      <x:c r="S260" s="17" t="str">
        <x:v>Discovered through public Bilibili search; title, creator, and accessibility verified through the official video endpoint.</x:v>
      </x:c>
      <x:c r="T260" s="16" t="str">
        <x:v>BV1g99nBLEMM</x:v>
      </x:c>
      <x:c r="U260" s="17" t="str"/>
      <x:c r="V260" s="151"/>
      <x:c r="W260" s="17" t="str"/>
    </x:row>
    <x:row r="261" ht="42" customHeight="1">
      <x:c r="A261" s="22" t="str">
        <x:v>ST-260</x:v>
      </x:c>
      <x:c r="B261" s="22" t="str">
        <x:v>Course</x:v>
      </x:c>
      <x:c r="C261" s="22" t="str">
        <x:v>World Model</x:v>
      </x:c>
      <x:c r="D261" s="17" t="str">
        <x:v>World Models</x:v>
      </x:c>
      <x:c r="E261" s="17" t="str">
        <x:v>Embodied AI; Robotics; World Models; Large Language Models; Foundation Models; Industry Insights</x:v>
      </x:c>
      <x:c r="F261" s="23" t="str">
        <x:v>Chinese</x:v>
      </x:c>
      <x:c r="G261" s="17" t="str">
        <x:v>【浙江大学-大模型导论】第22讲 世界模型</x:v>
      </x:c>
      <x:c r="H261" s="17" t="str">
        <x:v>浙江大学-大模型导论</x:v>
      </x:c>
      <x:c r="I261" s="17" t="str">
        <x:v>毛玉仁老师</x:v>
      </x:c>
      <x:c r="J261" s="23" t="str">
        <x:v>Course Series</x:v>
      </x:c>
      <x:c r="K261" s="24" t="n">
        <x:v>17</x:v>
      </x:c>
      <x:c r="L261" s="16" t="str">
        <x:v>https://www.bilibili.com/video/BV1Lgcsz2Eou</x:v>
      </x:c>
      <x:c r="M261" s="22" t="str">
        <x:v>Bilibili</x:v>
      </x:c>
      <x:c r="N261" s="25" t="n">
        <x:v>8619</x:v>
      </x:c>
      <x:c r="O261" s="23" t="str">
        <x:v>C | Community Selection</x:v>
      </x:c>
      <x:c r="P261" s="23" t="str">
        <x:v>Reserve</x:v>
      </x:c>
      <x:c r="Q261" s="23" t="str">
        <x:v>Verified</x:v>
      </x:c>
      <x:c r="R261" s="26" t="n">
        <x:v>46244</x:v>
      </x:c>
      <x:c r="S261" s="17" t="str">
        <x:v>Discovered through public Bilibili search; title, creator, and accessibility verified through the official video endpoint.</x:v>
      </x:c>
      <x:c r="T261" s="16" t="str">
        <x:v>BV1Lgcsz2Eou</x:v>
      </x:c>
      <x:c r="U261" s="17" t="str"/>
      <x:c r="V261" s="151"/>
      <x:c r="W261" s="17" t="str"/>
    </x:row>
    <x:row r="262" ht="42" customHeight="1">
      <x:c r="A262" s="22" t="str">
        <x:v>ST-261</x:v>
      </x:c>
      <x:c r="B262" s="22" t="str">
        <x:v>Course</x:v>
      </x:c>
      <x:c r="C262" s="22" t="str">
        <x:v>World Model</x:v>
      </x:c>
      <x:c r="D262" s="17" t="str">
        <x:v>World Models</x:v>
      </x:c>
      <x:c r="E262" s="17" t="str">
        <x:v>Embodied AI; Robotics; World Models</x:v>
      </x:c>
      <x:c r="F262" s="23" t="str">
        <x:v>Chinese</x:v>
      </x:c>
      <x:c r="G262" s="17" t="str">
        <x:v>世界模型DreamerV3论文拆解：从原理到模型完整结构分析</x:v>
      </x:c>
      <x:c r="H262" s="17" t="str">
        <x:v>To be added</x:v>
      </x:c>
      <x:c r="I262" s="17" t="str">
        <x:v>゚海问香</x:v>
      </x:c>
      <x:c r="J262" s="23" t="str">
        <x:v>Open Course / Tutorial</x:v>
      </x:c>
      <x:c r="K262" s="24" t="n">
        <x:v>34</x:v>
      </x:c>
      <x:c r="L262" s="16" t="str">
        <x:v>https://www.bilibili.com/video/BV1XeE96WEek</x:v>
      </x:c>
      <x:c r="M262" s="22" t="str">
        <x:v>Bilibili</x:v>
      </x:c>
      <x:c r="N262" s="25" t="n">
        <x:v>2069</x:v>
      </x:c>
      <x:c r="O262" s="23" t="str">
        <x:v>C | Community Selection</x:v>
      </x:c>
      <x:c r="P262" s="23" t="str">
        <x:v>Reserve</x:v>
      </x:c>
      <x:c r="Q262" s="23" t="str">
        <x:v>Verified</x:v>
      </x:c>
      <x:c r="R262" s="26" t="n">
        <x:v>46244</x:v>
      </x:c>
      <x:c r="S262" s="17" t="str">
        <x:v>Discovered through public Bilibili search; title, creator, and accessibility verified through the official video endpoint.</x:v>
      </x:c>
      <x:c r="T262" s="16" t="str">
        <x:v>BV1XeE96WEek</x:v>
      </x:c>
      <x:c r="U262" s="17" t="str"/>
      <x:c r="V262" s="151"/>
      <x:c r="W262" s="17" t="str"/>
    </x:row>
    <x:row r="263" ht="42" customHeight="1">
      <x:c r="A263" s="22" t="str">
        <x:v>ST-262</x:v>
      </x:c>
      <x:c r="B263" s="22" t="str">
        <x:v>Course</x:v>
      </x:c>
      <x:c r="C263" s="22" t="str">
        <x:v>Agent</x:v>
      </x:c>
      <x:c r="D263" s="17" t="str">
        <x:v>Agents</x:v>
      </x:c>
      <x:c r="E263" s="17" t="str">
        <x:v>Agents; Multi-Agent Systems; Large Language Models; Foundation Models; Industry Insights</x:v>
      </x:c>
      <x:c r="F263" s="23" t="str">
        <x:v>Chinese</x:v>
      </x:c>
      <x:c r="G263" s="17" t="str">
        <x:v>黑马程序员大模型RAG与Agent智能体项目实战教程，基于主流的LangChain技术从大模型提示词到实战项目</x:v>
      </x:c>
      <x:c r="H263" s="17" t="str">
        <x:v>To be added</x:v>
      </x:c>
      <x:c r="I263" s="17" t="str">
        <x:v>黑马程序员</x:v>
      </x:c>
      <x:c r="J263" s="23" t="str">
        <x:v>Open Course / Tutorial</x:v>
      </x:c>
      <x:c r="K263" s="24" t="n">
        <x:v>932</x:v>
      </x:c>
      <x:c r="L263" s="16" t="str">
        <x:v>https://www.bilibili.com/video/BV1yjz5BLEoY</x:v>
      </x:c>
      <x:c r="M263" s="22" t="str">
        <x:v>Bilibili</x:v>
      </x:c>
      <x:c r="N263" s="25" t="n">
        <x:v>3220640</x:v>
      </x:c>
      <x:c r="O263" s="23" t="str">
        <x:v>A | Official / Original Creator / Organizer</x:v>
      </x:c>
      <x:c r="P263" s="23" t="str">
        <x:v>Core</x:v>
      </x:c>
      <x:c r="Q263" s="23" t="str">
        <x:v>Verified</x:v>
      </x:c>
      <x:c r="R263" s="26" t="n">
        <x:v>46244</x:v>
      </x:c>
      <x:c r="S263" s="17" t="str">
        <x:v>Discovered through public Bilibili search; title, creator, and accessibility verified through the official video endpoint.</x:v>
      </x:c>
      <x:c r="T263" s="16" t="str">
        <x:v>BV1yjz5BLEoY</x:v>
      </x:c>
      <x:c r="U263" s="17" t="str"/>
      <x:c r="V263" s="151"/>
      <x:c r="W263" s="17" t="str"/>
    </x:row>
    <x:row r="264" ht="42" customHeight="1">
      <x:c r="A264" s="22" t="str">
        <x:v>ST-263</x:v>
      </x:c>
      <x:c r="B264" s="22" t="str">
        <x:v>Course</x:v>
      </x:c>
      <x:c r="C264" s="22" t="str">
        <x:v>Agent</x:v>
      </x:c>
      <x:c r="D264" s="17" t="str">
        <x:v>Agents</x:v>
      </x:c>
      <x:c r="E264" s="17" t="str">
        <x:v>Agents; Multi-Agent Systems; Large Language Models; Foundation Models; Industry Insights</x:v>
      </x:c>
      <x:c r="F264" s="23" t="str">
        <x:v>Chinese</x:v>
      </x:c>
      <x:c r="G264" s="17" t="str">
        <x:v>2026版LangChain教程，langchain快速入门， Agent智能体rag项目实战</x:v>
      </x:c>
      <x:c r="H264" s="17" t="str">
        <x:v>To be added</x:v>
      </x:c>
      <x:c r="I264" s="17" t="str">
        <x:v>尚硅谷</x:v>
      </x:c>
      <x:c r="J264" s="23" t="str">
        <x:v>Open Course / Tutorial</x:v>
      </x:c>
      <x:c r="K264" s="24" t="n">
        <x:v>1285</x:v>
      </x:c>
      <x:c r="L264" s="16" t="str">
        <x:v>https://www.bilibili.com/video/BV1rv7A6oEeP</x:v>
      </x:c>
      <x:c r="M264" s="22" t="str">
        <x:v>Bilibili</x:v>
      </x:c>
      <x:c r="N264" s="25" t="n">
        <x:v>1209156</x:v>
      </x:c>
      <x:c r="O264" s="23" t="str">
        <x:v>A | Official / Original Creator / Organizer</x:v>
      </x:c>
      <x:c r="P264" s="23" t="str">
        <x:v>Core</x:v>
      </x:c>
      <x:c r="Q264" s="23" t="str">
        <x:v>Verified</x:v>
      </x:c>
      <x:c r="R264" s="26" t="n">
        <x:v>46244</x:v>
      </x:c>
      <x:c r="S264" s="17" t="str">
        <x:v>Discovered through public Bilibili search; title, creator, and accessibility verified through the official video endpoint.</x:v>
      </x:c>
      <x:c r="T264" s="16" t="str">
        <x:v>BV1rv7A6oEeP</x:v>
      </x:c>
      <x:c r="U264" s="17" t="str"/>
      <x:c r="V264" s="151"/>
      <x:c r="W264" s="17" t="str"/>
    </x:row>
    <x:row r="265" ht="42" customHeight="1">
      <x:c r="A265" s="22" t="str">
        <x:v>ST-264</x:v>
      </x:c>
      <x:c r="B265" s="22" t="str">
        <x:v>Course</x:v>
      </x:c>
      <x:c r="C265" s="22" t="str">
        <x:v>Agent</x:v>
      </x:c>
      <x:c r="D265" s="17" t="str">
        <x:v>Agents</x:v>
      </x:c>
      <x:c r="E265" s="17" t="str">
        <x:v>Agents; Multi-Agent Systems; Trustworthy AI; Content Detection; Safety</x:v>
      </x:c>
      <x:c r="F265" s="23" t="str">
        <x:v>Chinese</x:v>
      </x:c>
      <x:c r="G265" s="17" t="str">
        <x:v>【2026新版Agent项目实战】企业级智能体实战教程，从入门到独立开发——涵盖Dify复杂业务流编排、RAGFlow高精度检索优化、MCP协议集成，黑马程序员</x:v>
      </x:c>
      <x:c r="H265" s="17" t="str">
        <x:v>2026新版Agent项目实战</x:v>
      </x:c>
      <x:c r="I265" s="17" t="str">
        <x:v>博学谷</x:v>
      </x:c>
      <x:c r="J265" s="23" t="str">
        <x:v>Open Course / Tutorial</x:v>
      </x:c>
      <x:c r="K265" s="24" t="n">
        <x:v>467</x:v>
      </x:c>
      <x:c r="L265" s="16" t="str">
        <x:v>https://www.bilibili.com/video/BV1JCzCBnEEg</x:v>
      </x:c>
      <x:c r="M265" s="22" t="str">
        <x:v>Bilibili</x:v>
      </x:c>
      <x:c r="N265" s="25" t="n">
        <x:v>65428</x:v>
      </x:c>
      <x:c r="O265" s="23" t="str">
        <x:v>C | Community Selection</x:v>
      </x:c>
      <x:c r="P265" s="23" t="str">
        <x:v>Reserve</x:v>
      </x:c>
      <x:c r="Q265" s="23" t="str">
        <x:v>Verified</x:v>
      </x:c>
      <x:c r="R265" s="26" t="n">
        <x:v>46244</x:v>
      </x:c>
      <x:c r="S265" s="17" t="str">
        <x:v>Discovered through public Bilibili search; title, creator, and accessibility verified through the official video endpoint.</x:v>
      </x:c>
      <x:c r="T265" s="16" t="str">
        <x:v>BV1JCzCBnEEg</x:v>
      </x:c>
      <x:c r="U265" s="17" t="str"/>
      <x:c r="V265" s="151"/>
      <x:c r="W265" s="17" t="str"/>
    </x:row>
    <x:row r="266" ht="42" customHeight="1">
      <x:c r="A266" s="22" t="str">
        <x:v>ST-265</x:v>
      </x:c>
      <x:c r="B266" s="22" t="str">
        <x:v>Course</x:v>
      </x:c>
      <x:c r="C266" s="22" t="str">
        <x:v>Agent</x:v>
      </x:c>
      <x:c r="D266" s="17" t="str">
        <x:v>Agents</x:v>
      </x:c>
      <x:c r="E266" s="17" t="str">
        <x:v>Agents; Multi-Agent Systems; Reinforcement Learning; Policy Optimization</x:v>
      </x:c>
      <x:c r="F266" s="23" t="str">
        <x:v>Chinese</x:v>
      </x:c>
      <x:c r="G266" s="17" t="str">
        <x:v>深度强化学习与多智能体强化学习 第一课</x:v>
      </x:c>
      <x:c r="H266" s="17" t="str">
        <x:v>To be added</x:v>
      </x:c>
      <x:c r="I266" s="17" t="str">
        <x:v>-xurunnan-</x:v>
      </x:c>
      <x:c r="J266" s="23" t="str">
        <x:v>Open Course / Tutorial</x:v>
      </x:c>
      <x:c r="K266" s="24" t="n">
        <x:v>186</x:v>
      </x:c>
      <x:c r="L266" s="16" t="str">
        <x:v>https://www.bilibili.com/video/BV1DK411y7Dv</x:v>
      </x:c>
      <x:c r="M266" s="22" t="str">
        <x:v>Bilibili</x:v>
      </x:c>
      <x:c r="N266" s="25" t="n">
        <x:v>43908</x:v>
      </x:c>
      <x:c r="O266" s="23" t="str">
        <x:v>C | Community Selection</x:v>
      </x:c>
      <x:c r="P266" s="23" t="str">
        <x:v>Reserve</x:v>
      </x:c>
      <x:c r="Q266" s="23" t="str">
        <x:v>Verified</x:v>
      </x:c>
      <x:c r="R266" s="26" t="n">
        <x:v>46244</x:v>
      </x:c>
      <x:c r="S266" s="17" t="str">
        <x:v>Discovered through public Bilibili search; title, creator, and accessibility verified through the official video endpoint.</x:v>
      </x:c>
      <x:c r="T266" s="16" t="str">
        <x:v>BV1DK411y7Dv</x:v>
      </x:c>
      <x:c r="U266" s="17" t="str">
        <x:v>Deep Reinforcement Learning and Multi-Agent Reinforcement Learning</x:v>
      </x:c>
      <x:c r="V266" s="151" t="n">
        <x:v>20230108</x:v>
      </x:c>
      <x:c r="W266" s="17" t="str">
        <x:v>deep-rl-marl-course</x:v>
      </x:c>
    </x:row>
    <x:row r="267" ht="42" customHeight="1">
      <x:c r="A267" s="22" t="str">
        <x:v>ST-266</x:v>
      </x:c>
      <x:c r="B267" s="22" t="str">
        <x:v>Course</x:v>
      </x:c>
      <x:c r="C267" s="22" t="str">
        <x:v>Agent</x:v>
      </x:c>
      <x:c r="D267" s="17" t="str">
        <x:v>Agents</x:v>
      </x:c>
      <x:c r="E267" s="17" t="str">
        <x:v>Agents; Multi-Agent Systems; Reinforcement Learning; Policy Optimization</x:v>
      </x:c>
      <x:c r="F267" s="23" t="str">
        <x:v>Chinese</x:v>
      </x:c>
      <x:c r="G267" s="17" t="str">
        <x:v>多智能体强化学习</x:v>
      </x:c>
      <x:c r="H267" s="17" t="str">
        <x:v>To be added</x:v>
      </x:c>
      <x:c r="I267" s="17" t="str">
        <x:v>感知互联与数据智能</x:v>
      </x:c>
      <x:c r="J267" s="23" t="str">
        <x:v>Open Course / Tutorial</x:v>
      </x:c>
      <x:c r="K267" s="24" t="n">
        <x:v>50</x:v>
      </x:c>
      <x:c r="L267" s="16" t="str">
        <x:v>https://www.bilibili.com/video/BV1tF411b7bg</x:v>
      </x:c>
      <x:c r="M267" s="22" t="str">
        <x:v>Bilibili</x:v>
      </x:c>
      <x:c r="N267" s="25" t="n">
        <x:v>18244</x:v>
      </x:c>
      <x:c r="O267" s="23" t="str">
        <x:v>C | Community Selection</x:v>
      </x:c>
      <x:c r="P267" s="23" t="str">
        <x:v>Reserve</x:v>
      </x:c>
      <x:c r="Q267" s="23" t="str">
        <x:v>Verified</x:v>
      </x:c>
      <x:c r="R267" s="26" t="n">
        <x:v>46244</x:v>
      </x:c>
      <x:c r="S267" s="17" t="str">
        <x:v>Discovered through public Bilibili search; title, creator, and accessibility verified through the official video endpoint.</x:v>
      </x:c>
      <x:c r="T267" s="16" t="str">
        <x:v>BV1tF411b7bg</x:v>
      </x:c>
      <x:c r="U267" s="17" t="str"/>
      <x:c r="V267" s="151"/>
      <x:c r="W267" s="17" t="str"/>
    </x:row>
    <x:row r="268" ht="42" customHeight="1">
      <x:c r="A268" s="22" t="str">
        <x:v>ST-267</x:v>
      </x:c>
      <x:c r="B268" s="22" t="str">
        <x:v>Course</x:v>
      </x:c>
      <x:c r="C268" s="22" t="str">
        <x:v>Agent</x:v>
      </x:c>
      <x:c r="D268" s="17" t="str">
        <x:v>Agents</x:v>
      </x:c>
      <x:c r="E268" s="17" t="str">
        <x:v>Agents; Multi-Agent Systems; Reinforcement Learning; Policy Optimization</x:v>
      </x:c>
      <x:c r="F268" s="23" t="str">
        <x:v>Chinese</x:v>
      </x:c>
      <x:c r="G268" s="17" t="str">
        <x:v>深度强化学习与多智能体强化学习 第八课（下）-多智能体强化学习MADDPG</x:v>
      </x:c>
      <x:c r="H268" s="17" t="str">
        <x:v>To be added</x:v>
      </x:c>
      <x:c r="I268" s="17" t="str">
        <x:v>-xurunnan-</x:v>
      </x:c>
      <x:c r="J268" s="23" t="str">
        <x:v>Open Course / Tutorial</x:v>
      </x:c>
      <x:c r="K268" s="24" t="n">
        <x:v>76</x:v>
      </x:c>
      <x:c r="L268" s="16" t="str">
        <x:v>https://www.bilibili.com/video/BV1Fd4y1L7ZU</x:v>
      </x:c>
      <x:c r="M268" s="22" t="str">
        <x:v>Bilibili</x:v>
      </x:c>
      <x:c r="N268" s="25" t="n">
        <x:v>15913</x:v>
      </x:c>
      <x:c r="O268" s="23" t="str">
        <x:v>C | Community Selection</x:v>
      </x:c>
      <x:c r="P268" s="23" t="str">
        <x:v>Reserve</x:v>
      </x:c>
      <x:c r="Q268" s="23" t="str">
        <x:v>Verified</x:v>
      </x:c>
      <x:c r="R268" s="26" t="n">
        <x:v>46244</x:v>
      </x:c>
      <x:c r="S268" s="17" t="str">
        <x:v>Discovered through public Bilibili search; title, creator, and accessibility verified through the official video endpoint.</x:v>
      </x:c>
      <x:c r="T268" s="16" t="str">
        <x:v>BV1Fd4y1L7ZU</x:v>
      </x:c>
      <x:c r="U268" s="17" t="str">
        <x:v>Deep Reinforcement Learning and Multi-Agent Reinforcement Learning</x:v>
      </x:c>
      <x:c r="V268" s="151" t="n">
        <x:v>20230115</x:v>
      </x:c>
      <x:c r="W268" s="17" t="str">
        <x:v>deep-rl-marl-course</x:v>
      </x:c>
    </x:row>
    <x:row r="269" ht="42" customHeight="1">
      <x:c r="A269" s="22" t="str">
        <x:v>ST-268</x:v>
      </x:c>
      <x:c r="B269" s="22" t="str">
        <x:v>Course</x:v>
      </x:c>
      <x:c r="C269" s="22" t="str">
        <x:v>Agent</x:v>
      </x:c>
      <x:c r="D269" s="17" t="str">
        <x:v>Agents</x:v>
      </x:c>
      <x:c r="E269" s="17" t="str">
        <x:v>Agents; Multi-Agent Systems</x:v>
      </x:c>
      <x:c r="F269" s="23" t="str">
        <x:v>Chinese</x:v>
      </x:c>
      <x:c r="G269" s="17" t="str">
        <x:v>微软最新AI Agent入门课程 • 中英</x:v>
      </x:c>
      <x:c r="H269" s="17" t="str">
        <x:v>To be added</x:v>
      </x:c>
      <x:c r="I269" s="17" t="str">
        <x:v>Mindofuture</x:v>
      </x:c>
      <x:c r="J269" s="23" t="str">
        <x:v>Open Course / Tutorial</x:v>
      </x:c>
      <x:c r="K269" s="24" t="n">
        <x:v>129</x:v>
      </x:c>
      <x:c r="L269" s="16" t="str">
        <x:v>https://www.bilibili.com/video/BV18TZYY8EuJ</x:v>
      </x:c>
      <x:c r="M269" s="22" t="str">
        <x:v>Bilibili</x:v>
      </x:c>
      <x:c r="N269" s="25" t="n">
        <x:v>15040</x:v>
      </x:c>
      <x:c r="O269" s="23" t="str">
        <x:v>C | Community Selection</x:v>
      </x:c>
      <x:c r="P269" s="23" t="str">
        <x:v>Reserve</x:v>
      </x:c>
      <x:c r="Q269" s="23" t="str">
        <x:v>Verified</x:v>
      </x:c>
      <x:c r="R269" s="26" t="n">
        <x:v>46244</x:v>
      </x:c>
      <x:c r="S269" s="17" t="str">
        <x:v>Discovered through public Bilibili search; title, creator, and accessibility verified through the official video endpoint.</x:v>
      </x:c>
      <x:c r="T269" s="16" t="str">
        <x:v>BV18TZYY8EuJ</x:v>
      </x:c>
      <x:c r="U269" s="17" t="str"/>
      <x:c r="V269" s="151"/>
      <x:c r="W269" s="17" t="str"/>
    </x:row>
    <x:row r="270" ht="42" customHeight="1">
      <x:c r="A270" s="22" t="str">
        <x:v>ST-269</x:v>
      </x:c>
      <x:c r="B270" s="22" t="str">
        <x:v>Course</x:v>
      </x:c>
      <x:c r="C270" s="22" t="str">
        <x:v>Agent</x:v>
      </x:c>
      <x:c r="D270" s="17" t="str">
        <x:v>Agents</x:v>
      </x:c>
      <x:c r="E270" s="17" t="str">
        <x:v>Agents; Multi-Agent Systems; Reinforcement Learning; Policy Optimization</x:v>
      </x:c>
      <x:c r="F270" s="23" t="str">
        <x:v>Chinese</x:v>
      </x:c>
      <x:c r="G270" s="17" t="str">
        <x:v>上海交大张伟楠强化学习课程第14讲：多智能体强化学习I</x:v>
      </x:c>
      <x:c r="H270" s="17" t="str">
        <x:v>To be added</x:v>
      </x:c>
      <x:c r="I270" s="17" t="str">
        <x:v>张伟楠SJTU</x:v>
      </x:c>
      <x:c r="J270" s="23" t="str">
        <x:v>Course Series</x:v>
      </x:c>
      <x:c r="K270" s="24" t="n">
        <x:v>33</x:v>
      </x:c>
      <x:c r="L270" s="16" t="str">
        <x:v>https://www.bilibili.com/video/BV1Qopze2E1M</x:v>
      </x:c>
      <x:c r="M270" s="22" t="str">
        <x:v>Bilibili</x:v>
      </x:c>
      <x:c r="N270" s="25" t="n">
        <x:v>12068</x:v>
      </x:c>
      <x:c r="O270" s="23" t="str">
        <x:v>C | Community Selection</x:v>
      </x:c>
      <x:c r="P270" s="23" t="str">
        <x:v>Reserve</x:v>
      </x:c>
      <x:c r="Q270" s="23" t="str">
        <x:v>Verified</x:v>
      </x:c>
      <x:c r="R270" s="26" t="n">
        <x:v>46244</x:v>
      </x:c>
      <x:c r="S270" s="17" t="str">
        <x:v>Discovered through public Bilibili search; title, creator, and accessibility verified through the official video endpoint.</x:v>
      </x:c>
      <x:c r="T270" s="16" t="str">
        <x:v>BV1Qopze2E1M</x:v>
      </x:c>
      <x:c r="U270" s="17" t="str"/>
      <x:c r="V270" s="151"/>
      <x:c r="W270" s="17" t="str"/>
    </x:row>
    <x:row r="271" ht="42" customHeight="1">
      <x:c r="A271" s="22" t="str">
        <x:v>ST-270</x:v>
      </x:c>
      <x:c r="B271" s="22" t="str">
        <x:v>Course</x:v>
      </x:c>
      <x:c r="C271" s="22" t="str">
        <x:v>Vision</x:v>
      </x:c>
      <x:c r="D271" s="17" t="str">
        <x:v>Vision</x:v>
      </x:c>
      <x:c r="E271" s="17" t="str">
        <x:v>Deep Learning; Neural Networks; Model Training; Trustworthy AI; Content Detection; Safety</x:v>
      </x:c>
      <x:c r="F271" s="23" t="str">
        <x:v>Chinese</x:v>
      </x:c>
      <x:c r="G271" s="17" t="str">
        <x:v>【中英双版·2025春季】李飞飞·斯坦福CS231n计算机视觉课程（全18讲）</x:v>
      </x:c>
      <x:c r="H271" s="17" t="str">
        <x:v>中英双版·2025春季</x:v>
      </x:c>
      <x:c r="I271" s="17" t="str">
        <x:v>人工智能网课</x:v>
      </x:c>
      <x:c r="J271" s="23" t="str">
        <x:v>Course Series</x:v>
      </x:c>
      <x:c r="K271" s="24" t="n">
        <x:v>1273</x:v>
      </x:c>
      <x:c r="L271" s="16" t="str">
        <x:v>https://www.bilibili.com/video/BV1YJ3PzLEiW</x:v>
      </x:c>
      <x:c r="M271" s="22" t="str">
        <x:v>Bilibili</x:v>
      </x:c>
      <x:c r="N271" s="25" t="n">
        <x:v>1152258</x:v>
      </x:c>
      <x:c r="O271" s="23" t="str">
        <x:v>B | University / Conference / Institution</x:v>
      </x:c>
      <x:c r="P271" s="23" t="str">
        <x:v>Recommended</x:v>
      </x:c>
      <x:c r="Q271" s="23" t="str">
        <x:v>Verified</x:v>
      </x:c>
      <x:c r="R271" s="26" t="n">
        <x:v>46244</x:v>
      </x:c>
      <x:c r="S271" s="17" t="str">
        <x:v>Discovered through public Bilibili search; title, creator, and accessibility verified through the official video endpoint.</x:v>
      </x:c>
      <x:c r="T271" s="16" t="str">
        <x:v>BV1YJ3PzLEiW</x:v>
      </x:c>
      <x:c r="U271" s="17" t="str"/>
      <x:c r="V271" s="151"/>
      <x:c r="W271" s="17" t="str"/>
    </x:row>
    <x:row r="272" ht="42" customHeight="1">
      <x:c r="A272" s="22" t="str">
        <x:v>ST-271</x:v>
      </x:c>
      <x:c r="B272" s="22" t="str">
        <x:v>Course</x:v>
      </x:c>
      <x:c r="C272" s="22" t="str">
        <x:v>Vision</x:v>
      </x:c>
      <x:c r="D272" s="17" t="str">
        <x:v>Vision</x:v>
      </x:c>
      <x:c r="E272" s="17" t="str">
        <x:v>Deep Learning; Neural Networks; Model Training</x:v>
      </x:c>
      <x:c r="F272" s="23" t="str">
        <x:v>Chinese</x:v>
      </x:c>
      <x:c r="G272" s="17" t="str">
        <x:v>计算机视觉与深度学习 北京邮电大学 鲁鹏 清晰版合集（完整版）</x:v>
      </x:c>
      <x:c r="H272" s="17" t="str">
        <x:v>To be added</x:v>
      </x:c>
      <x:c r="I272" s="17" t="str">
        <x:v>CV-xueba</x:v>
      </x:c>
      <x:c r="J272" s="23" t="str">
        <x:v>Open Course / Tutorial</x:v>
      </x:c>
      <x:c r="K272" s="24" t="n">
        <x:v>1597</x:v>
      </x:c>
      <x:c r="L272" s="16" t="str">
        <x:v>https://www.bilibili.com/video/BV1V54y1B7K3</x:v>
      </x:c>
      <x:c r="M272" s="22" t="str">
        <x:v>Bilibili</x:v>
      </x:c>
      <x:c r="N272" s="25" t="n">
        <x:v>725036</x:v>
      </x:c>
      <x:c r="O272" s="23" t="str">
        <x:v>B | University / Conference / Institution</x:v>
      </x:c>
      <x:c r="P272" s="23" t="str">
        <x:v>Recommended</x:v>
      </x:c>
      <x:c r="Q272" s="23" t="str">
        <x:v>Verified</x:v>
      </x:c>
      <x:c r="R272" s="26" t="n">
        <x:v>46244</x:v>
      </x:c>
      <x:c r="S272" s="17" t="str">
        <x:v>Discovered through public Bilibili search; title, creator, and accessibility verified through the official video endpoint.</x:v>
      </x:c>
      <x:c r="T272" s="16" t="str">
        <x:v>BV1V54y1B7K3</x:v>
      </x:c>
      <x:c r="U272" s="17" t="str"/>
      <x:c r="V272" s="151"/>
      <x:c r="W272" s="17" t="str"/>
    </x:row>
    <x:row r="273" ht="42" customHeight="1">
      <x:c r="A273" s="22" t="str">
        <x:v>ST-272</x:v>
      </x:c>
      <x:c r="B273" s="22" t="str">
        <x:v>Course</x:v>
      </x:c>
      <x:c r="C273" s="22" t="str">
        <x:v>Vision</x:v>
      </x:c>
      <x:c r="D273" s="17" t="str">
        <x:v>Vision</x:v>
      </x:c>
      <x:c r="E273" s="17" t="str">
        <x:v>Vision</x:v>
      </x:c>
      <x:c r="F273" s="23" t="str">
        <x:v>Chinese</x:v>
      </x:c>
      <x:c r="G273" s="17" t="str">
        <x:v>计算机视觉零基础入门</x:v>
      </x:c>
      <x:c r="H273" s="17" t="str">
        <x:v>To be added</x:v>
      </x:c>
      <x:c r="I273" s="17" t="str">
        <x:v>自兴人工智能教育</x:v>
      </x:c>
      <x:c r="J273" s="23" t="str">
        <x:v>Open Course / Tutorial</x:v>
      </x:c>
      <x:c r="K273" s="24" t="n">
        <x:v>1199</x:v>
      </x:c>
      <x:c r="L273" s="16" t="str">
        <x:v>https://www.bilibili.com/video/BV19x411X7k6</x:v>
      </x:c>
      <x:c r="M273" s="22" t="str">
        <x:v>Bilibili</x:v>
      </x:c>
      <x:c r="N273" s="25" t="n">
        <x:v>155551</x:v>
      </x:c>
      <x:c r="O273" s="23" t="str">
        <x:v>C | Community Selection</x:v>
      </x:c>
      <x:c r="P273" s="23" t="str">
        <x:v>Reserve</x:v>
      </x:c>
      <x:c r="Q273" s="23" t="str">
        <x:v>Verified</x:v>
      </x:c>
      <x:c r="R273" s="26" t="n">
        <x:v>46244</x:v>
      </x:c>
      <x:c r="S273" s="17" t="str">
        <x:v>Discovered through public Bilibili search; title, creator, and accessibility verified through the official video endpoint.</x:v>
      </x:c>
      <x:c r="T273" s="16" t="str">
        <x:v>BV19x411X7k6</x:v>
      </x:c>
      <x:c r="U273" s="17" t="str"/>
      <x:c r="V273" s="151"/>
      <x:c r="W273" s="17" t="str"/>
    </x:row>
    <x:row r="274" ht="42" customHeight="1">
      <x:c r="A274" s="22" t="str">
        <x:v>ST-273</x:v>
      </x:c>
      <x:c r="B274" s="22" t="str">
        <x:v>Course</x:v>
      </x:c>
      <x:c r="C274" s="22" t="str">
        <x:v>Vision</x:v>
      </x:c>
      <x:c r="D274" s="17" t="str">
        <x:v>Vision</x:v>
      </x:c>
      <x:c r="E274" s="17" t="str">
        <x:v>Vision</x:v>
      </x:c>
      <x:c r="F274" s="23" t="str">
        <x:v>Chinese</x:v>
      </x:c>
      <x:c r="G274" s="17" t="str">
        <x:v>Jetson Nano计算机视觉初学者全教程（含3项目）</x:v>
      </x:c>
      <x:c r="H274" s="17" t="str">
        <x:v>To be added</x:v>
      </x:c>
      <x:c r="I274" s="17" t="str">
        <x:v>啥都会一点的研究生</x:v>
      </x:c>
      <x:c r="J274" s="23" t="str">
        <x:v>Open Course / Tutorial</x:v>
      </x:c>
      <x:c r="K274" s="24" t="n">
        <x:v>272</x:v>
      </x:c>
      <x:c r="L274" s="16" t="str">
        <x:v>https://www.bilibili.com/video/BV1g44y1J7zS</x:v>
      </x:c>
      <x:c r="M274" s="22" t="str">
        <x:v>Bilibili</x:v>
      </x:c>
      <x:c r="N274" s="25" t="n">
        <x:v>67990</x:v>
      </x:c>
      <x:c r="O274" s="23" t="str">
        <x:v>C | Community Selection</x:v>
      </x:c>
      <x:c r="P274" s="23" t="str">
        <x:v>Reserve</x:v>
      </x:c>
      <x:c r="Q274" s="23" t="str">
        <x:v>Verified</x:v>
      </x:c>
      <x:c r="R274" s="26" t="n">
        <x:v>46244</x:v>
      </x:c>
      <x:c r="S274" s="17" t="str">
        <x:v>Discovered through public Bilibili search; title, creator, and accessibility verified through the official video endpoint.</x:v>
      </x:c>
      <x:c r="T274" s="16" t="str">
        <x:v>BV1g44y1J7zS</x:v>
      </x:c>
      <x:c r="U274" s="17" t="str"/>
      <x:c r="V274" s="151"/>
      <x:c r="W274" s="17" t="str"/>
    </x:row>
    <x:row r="275" ht="42" customHeight="1">
      <x:c r="A275" s="22" t="str">
        <x:v>ST-274</x:v>
      </x:c>
      <x:c r="B275" s="22" t="str">
        <x:v>Course</x:v>
      </x:c>
      <x:c r="C275" s="22" t="str">
        <x:v>Vision</x:v>
      </x:c>
      <x:c r="D275" s="17" t="str">
        <x:v>Vision</x:v>
      </x:c>
      <x:c r="E275" s="17" t="str">
        <x:v>Vision</x:v>
      </x:c>
      <x:c r="F275" s="23" t="str">
        <x:v>Chinese</x:v>
      </x:c>
      <x:c r="G275" s="17" t="str">
        <x:v>【OpenMMLab 公开课】计算机视觉与 OpenMMLab 概述</x:v>
      </x:c>
      <x:c r="H275" s="17" t="str">
        <x:v>OpenMMLab open course</x:v>
      </x:c>
      <x:c r="I275" s="17" t="str">
        <x:v>OpenMMLab</x:v>
      </x:c>
      <x:c r="J275" s="23" t="str">
        <x:v>Open Course / Tutorial</x:v>
      </x:c>
      <x:c r="K275" s="24" t="n">
        <x:v>93</x:v>
      </x:c>
      <x:c r="L275" s="16" t="str">
        <x:v>https://www.bilibili.com/video/BV1R341117FJ</x:v>
      </x:c>
      <x:c r="M275" s="22" t="str">
        <x:v>Bilibili</x:v>
      </x:c>
      <x:c r="N275" s="25" t="n">
        <x:v>21571</x:v>
      </x:c>
      <x:c r="O275" s="23" t="str">
        <x:v>A | Official / Original Creator / Organizer</x:v>
      </x:c>
      <x:c r="P275" s="23" t="str">
        <x:v>Core</x:v>
      </x:c>
      <x:c r="Q275" s="23" t="str">
        <x:v>Verified</x:v>
      </x:c>
      <x:c r="R275" s="26" t="n">
        <x:v>46244</x:v>
      </x:c>
      <x:c r="S275" s="17" t="str">
        <x:v>Discovered through public Bilibili search; title, creator, and accessibility verified through the official video endpoint.</x:v>
      </x:c>
      <x:c r="T275" s="16" t="str">
        <x:v>BV1R341117FJ</x:v>
      </x:c>
      <x:c r="U275" s="17" t="str"/>
      <x:c r="V275" s="151"/>
      <x:c r="W275" s="17" t="str"/>
    </x:row>
    <x:row r="276" ht="42" customHeight="1">
      <x:c r="A276" s="22" t="str">
        <x:v>ST-275</x:v>
      </x:c>
      <x:c r="B276" s="22" t="str">
        <x:v>Course</x:v>
      </x:c>
      <x:c r="C276" s="22" t="str">
        <x:v>Vision</x:v>
      </x:c>
      <x:c r="D276" s="17" t="str">
        <x:v>Vision</x:v>
      </x:c>
      <x:c r="E276" s="17" t="str">
        <x:v>Deep Learning; Neural Networks; Model Training</x:v>
      </x:c>
      <x:c r="F276" s="23" t="str">
        <x:v>Chinese</x:v>
      </x:c>
      <x:c r="G276" s="17" t="str">
        <x:v>【国家级精品课】上海交大教授（新12讲 ）计算机视觉公开课分享，这绝对是我见过最好的计算机视觉-深度学习教程了！-人工智能课程/计算机视觉基础/图像处理</x:v>
      </x:c>
      <x:c r="H276" s="17" t="str">
        <x:v>（新12讲 ）计算机视觉公开课分享</x:v>
      </x:c>
      <x:c r="I276" s="17" t="str">
        <x:v>Darics</x:v>
      </x:c>
      <x:c r="J276" s="23" t="str">
        <x:v>Open Course / Tutorial</x:v>
      </x:c>
      <x:c r="K276" s="24" t="n">
        <x:v>1107</x:v>
      </x:c>
      <x:c r="L276" s="16" t="str">
        <x:v>https://www.bilibili.com/video/BV1NW4y1g7SX</x:v>
      </x:c>
      <x:c r="M276" s="22" t="str">
        <x:v>Bilibili</x:v>
      </x:c>
      <x:c r="N276" s="25" t="n">
        <x:v>4907</x:v>
      </x:c>
      <x:c r="O276" s="23" t="str">
        <x:v>C | Community Selection</x:v>
      </x:c>
      <x:c r="P276" s="23" t="str">
        <x:v>Reserve</x:v>
      </x:c>
      <x:c r="Q276" s="23" t="str">
        <x:v>Verified</x:v>
      </x:c>
      <x:c r="R276" s="26" t="n">
        <x:v>46244</x:v>
      </x:c>
      <x:c r="S276" s="17" t="str">
        <x:v>Discovered through public Bilibili search; title, creator, and accessibility verified through the official video endpoint.</x:v>
      </x:c>
      <x:c r="T276" s="16" t="str">
        <x:v>BV1NW4y1g7SX</x:v>
      </x:c>
      <x:c r="U276" s="17" t="str"/>
      <x:c r="V276" s="151"/>
      <x:c r="W276" s="17" t="str"/>
    </x:row>
    <x:row r="277" ht="42" customHeight="1">
      <x:c r="A277" s="22" t="str">
        <x:v>ST-276</x:v>
      </x:c>
      <x:c r="B277" s="22" t="str">
        <x:v>Course</x:v>
      </x:c>
      <x:c r="C277" s="22" t="str">
        <x:v>Vision</x:v>
      </x:c>
      <x:c r="D277" s="17" t="str">
        <x:v>Vision</x:v>
      </x:c>
      <x:c r="E277" s="17" t="str">
        <x:v>Vision</x:v>
      </x:c>
      <x:c r="F277" s="23" t="str">
        <x:v>Chinese</x:v>
      </x:c>
      <x:c r="G277" s="17" t="str">
        <x:v>适合所有基础的【MMLAB实战】教程！配置安装+原理讲解+代码实战，3个小时带你吃透论文实验神器OpenMMLAB框架！</x:v>
      </x:c>
      <x:c r="H277" s="17" t="str">
        <x:v>MMLAB实战</x:v>
      </x:c>
      <x:c r="I277" s="17" t="str">
        <x:v>迪哥有话聊</x:v>
      </x:c>
      <x:c r="J277" s="23" t="str">
        <x:v>Open Course / Tutorial</x:v>
      </x:c>
      <x:c r="K277" s="24" t="n">
        <x:v>438</x:v>
      </x:c>
      <x:c r="L277" s="16" t="str">
        <x:v>https://www.bilibili.com/video/BV1Mou4zaEjd</x:v>
      </x:c>
      <x:c r="M277" s="22" t="str">
        <x:v>Bilibili</x:v>
      </x:c>
      <x:c r="N277" s="25" t="n">
        <x:v>646</x:v>
      </x:c>
      <x:c r="O277" s="23" t="str">
        <x:v>C | Community Selection</x:v>
      </x:c>
      <x:c r="P277" s="23" t="str">
        <x:v>Reserve</x:v>
      </x:c>
      <x:c r="Q277" s="23" t="str">
        <x:v>Verified</x:v>
      </x:c>
      <x:c r="R277" s="26" t="n">
        <x:v>46244</x:v>
      </x:c>
      <x:c r="S277" s="17" t="str">
        <x:v>Discovered through public Bilibili search; title, creator, and accessibility verified through the official video endpoint.</x:v>
      </x:c>
      <x:c r="T277" s="16" t="str">
        <x:v>BV1Mou4zaEjd</x:v>
      </x:c>
      <x:c r="U277" s="17" t="str"/>
      <x:c r="V277" s="151"/>
      <x:c r="W277" s="17" t="str"/>
    </x:row>
    <x:row r="278" ht="42" customHeight="1">
      <x:c r="A278" s="22" t="str">
        <x:v>ST-277</x:v>
      </x:c>
      <x:c r="B278" s="22" t="str">
        <x:v>Course</x:v>
      </x:c>
      <x:c r="C278" s="22" t="str">
        <x:v>Vision</x:v>
      </x:c>
      <x:c r="D278" s="17" t="str">
        <x:v>Vision</x:v>
      </x:c>
      <x:c r="E278" s="17" t="str">
        <x:v>Deep Learning; Neural Networks; Model Training</x:v>
      </x:c>
      <x:c r="F278" s="23" t="str">
        <x:v>Chinese</x:v>
      </x:c>
      <x:c r="G278" s="17" t="str">
        <x:v>计算机视觉-深度学习, 李飞飞斯坦福CS231n | 2026最新版18讲 中英双语 深度学习必修【计算机-大四/研一】</x:v>
      </x:c>
      <x:c r="H278" s="17" t="str">
        <x:v>计算机-大四/研一</x:v>
      </x:c>
      <x:c r="I278" s="17" t="str">
        <x:v>AI学习日记</x:v>
      </x:c>
      <x:c r="J278" s="23" t="str">
        <x:v>Open Course / Tutorial</x:v>
      </x:c>
      <x:c r="K278" s="24" t="n">
        <x:v>915</x:v>
      </x:c>
      <x:c r="L278" s="16" t="str">
        <x:v>https://www.bilibili.com/video/BV16rub6gEUe</x:v>
      </x:c>
      <x:c r="M278" s="22" t="str">
        <x:v>Bilibili</x:v>
      </x:c>
      <x:c r="N278" s="25" t="n">
        <x:v>526</x:v>
      </x:c>
      <x:c r="O278" s="23" t="str">
        <x:v>B | University / Conference / Institution</x:v>
      </x:c>
      <x:c r="P278" s="23" t="str">
        <x:v>Recommended</x:v>
      </x:c>
      <x:c r="Q278" s="23" t="str">
        <x:v>Verified</x:v>
      </x:c>
      <x:c r="R278" s="26" t="n">
        <x:v>46244</x:v>
      </x:c>
      <x:c r="S278" s="17" t="str">
        <x:v>Discovered through public Bilibili search; title, creator, and accessibility verified through the official video endpoint.</x:v>
      </x:c>
      <x:c r="T278" s="16" t="str">
        <x:v>BV16rub6gEUe</x:v>
      </x:c>
      <x:c r="U278" s="17" t="str"/>
      <x:c r="V278" s="151"/>
      <x:c r="W278" s="17" t="str"/>
    </x:row>
    <x:row r="279" ht="42" customHeight="1">
      <x:c r="A279" s="22" t="str">
        <x:v>ST-278</x:v>
      </x:c>
      <x:c r="B279" s="22" t="str">
        <x:v>Course</x:v>
      </x:c>
      <x:c r="C279" s="22" t="str">
        <x:v>Robotics</x:v>
      </x:c>
      <x:c r="D279" s="17" t="str">
        <x:v>Robotics</x:v>
      </x:c>
      <x:c r="E279" s="17" t="str">
        <x:v>Embodied AI; Robotics; World Models</x:v>
      </x:c>
      <x:c r="F279" s="23" t="str">
        <x:v>Chinese</x:v>
      </x:c>
      <x:c r="G279" s="17" t="str">
        <x:v>【Autolabor初级教程】ROS机器人入门</x:v>
      </x:c>
      <x:c r="H279" s="17" t="str">
        <x:v>Autolabor初级教程</x:v>
      </x:c>
      <x:c r="I279" s="17" t="str">
        <x:v>Autolabor官方</x:v>
      </x:c>
      <x:c r="J279" s="23" t="str">
        <x:v>Open Course / Tutorial</x:v>
      </x:c>
      <x:c r="K279" s="24" t="n">
        <x:v>2955</x:v>
      </x:c>
      <x:c r="L279" s="16" t="str">
        <x:v>https://www.bilibili.com/video/BV1Ci4y1L7ZZ</x:v>
      </x:c>
      <x:c r="M279" s="22" t="str">
        <x:v>Bilibili</x:v>
      </x:c>
      <x:c r="N279" s="25" t="n">
        <x:v>3427671</x:v>
      </x:c>
      <x:c r="O279" s="23" t="str">
        <x:v>A | Official / Original Creator / Organizer</x:v>
      </x:c>
      <x:c r="P279" s="23" t="str">
        <x:v>Core</x:v>
      </x:c>
      <x:c r="Q279" s="23" t="str">
        <x:v>Verified</x:v>
      </x:c>
      <x:c r="R279" s="26" t="n">
        <x:v>46244</x:v>
      </x:c>
      <x:c r="S279" s="17" t="str">
        <x:v>Discovered through public Bilibili search; title, creator, and accessibility verified through the official video endpoint.</x:v>
      </x:c>
      <x:c r="T279" s="16" t="str">
        <x:v>BV1Ci4y1L7ZZ</x:v>
      </x:c>
      <x:c r="U279" s="17" t="str"/>
      <x:c r="V279" s="151"/>
      <x:c r="W279" s="17" t="str"/>
    </x:row>
    <x:row r="280" ht="42" customHeight="1">
      <x:c r="A280" s="22" t="str">
        <x:v>ST-279</x:v>
      </x:c>
      <x:c r="B280" s="22" t="str">
        <x:v>Course</x:v>
      </x:c>
      <x:c r="C280" s="22" t="str">
        <x:v>Robotics</x:v>
      </x:c>
      <x:c r="D280" s="17" t="str">
        <x:v>Robotics</x:v>
      </x:c>
      <x:c r="E280" s="17" t="str">
        <x:v>Embodied AI; Robotics; World Models</x:v>
      </x:c>
      <x:c r="F280" s="23" t="str">
        <x:v>Chinese</x:v>
      </x:c>
      <x:c r="G280" s="17" t="str">
        <x:v>【古月居】古月·ROS2入门21讲 | 带你认识一个全新的机器人操作系统</x:v>
      </x:c>
      <x:c r="H280" s="17" t="str">
        <x:v>古月居</x:v>
      </x:c>
      <x:c r="I280" s="17" t="str">
        <x:v>古月居GYH</x:v>
      </x:c>
      <x:c r="J280" s="23" t="str">
        <x:v>Open Course / Tutorial</x:v>
      </x:c>
      <x:c r="K280" s="24" t="n">
        <x:v>437</x:v>
      </x:c>
      <x:c r="L280" s="16" t="str">
        <x:v>https://www.bilibili.com/video/BV16B4y1Q7jQ</x:v>
      </x:c>
      <x:c r="M280" s="22" t="str">
        <x:v>Bilibili</x:v>
      </x:c>
      <x:c r="N280" s="25" t="n">
        <x:v>1051390</x:v>
      </x:c>
      <x:c r="O280" s="23" t="str">
        <x:v>C | Community Selection</x:v>
      </x:c>
      <x:c r="P280" s="23" t="str">
        <x:v>Reserve</x:v>
      </x:c>
      <x:c r="Q280" s="23" t="str">
        <x:v>Verified</x:v>
      </x:c>
      <x:c r="R280" s="26" t="n">
        <x:v>46244</x:v>
      </x:c>
      <x:c r="S280" s="17" t="str">
        <x:v>Discovered through public Bilibili search; title, creator, and accessibility verified through the official video endpoint.</x:v>
      </x:c>
      <x:c r="T280" s="16" t="str">
        <x:v>BV16B4y1Q7jQ</x:v>
      </x:c>
      <x:c r="U280" s="17" t="str"/>
      <x:c r="V280" s="151"/>
      <x:c r="W280" s="17" t="str"/>
    </x:row>
    <x:row r="281" ht="42" customHeight="1">
      <x:c r="A281" s="22" t="str">
        <x:v>ST-280</x:v>
      </x:c>
      <x:c r="B281" s="22" t="str">
        <x:v>Course</x:v>
      </x:c>
      <x:c r="C281" s="22" t="str">
        <x:v>Robotics</x:v>
      </x:c>
      <x:c r="D281" s="17" t="str">
        <x:v>Robotics</x:v>
      </x:c>
      <x:c r="E281" s="17" t="str">
        <x:v>Embodied AI; Robotics; World Models</x:v>
      </x:c>
      <x:c r="F281" s="23" t="str">
        <x:v>Chinese</x:v>
      </x:c>
      <x:c r="G281" s="17" t="str">
        <x:v>【2021.12.20更新】ROS机器人官方视频教程，从0开发ROS机器人</x:v>
      </x:c>
      <x:c r="H281" s="17" t="str">
        <x:v>2021.12.20更新</x:v>
      </x:c>
      <x:c r="I281" s="17" t="str">
        <x:v>朱有鹏</x:v>
      </x:c>
      <x:c r="J281" s="23" t="str">
        <x:v>Open Course / Tutorial</x:v>
      </x:c>
      <x:c r="K281" s="24" t="n">
        <x:v>922</x:v>
      </x:c>
      <x:c r="L281" s="16" t="str">
        <x:v>https://www.bilibili.com/video/BV1b5411g7hr</x:v>
      </x:c>
      <x:c r="M281" s="22" t="str">
        <x:v>Bilibili</x:v>
      </x:c>
      <x:c r="N281" s="25" t="n">
        <x:v>249757</x:v>
      </x:c>
      <x:c r="O281" s="23" t="str">
        <x:v>C | Community Selection</x:v>
      </x:c>
      <x:c r="P281" s="23" t="str">
        <x:v>Reserve</x:v>
      </x:c>
      <x:c r="Q281" s="23" t="str">
        <x:v>Verified</x:v>
      </x:c>
      <x:c r="R281" s="26" t="n">
        <x:v>46244</x:v>
      </x:c>
      <x:c r="S281" s="17" t="str">
        <x:v>Discovered through public Bilibili search; title, creator, and accessibility verified through the official video endpoint.</x:v>
      </x:c>
      <x:c r="T281" s="16" t="str">
        <x:v>BV1b5411g7hr</x:v>
      </x:c>
      <x:c r="U281" s="17" t="str"/>
      <x:c r="V281" s="151"/>
      <x:c r="W281" s="17" t="str"/>
    </x:row>
    <x:row r="282" ht="42" customHeight="1">
      <x:c r="A282" s="22" t="str">
        <x:v>ST-281</x:v>
      </x:c>
      <x:c r="B282" s="22" t="str">
        <x:v>Course</x:v>
      </x:c>
      <x:c r="C282" s="22" t="str">
        <x:v>Robotics</x:v>
      </x:c>
      <x:c r="D282" s="17" t="str">
        <x:v>Robotics</x:v>
      </x:c>
      <x:c r="E282" s="17" t="str">
        <x:v>Embodied AI; Robotics; World Models</x:v>
      </x:c>
      <x:c r="F282" s="23" t="str">
        <x:v>Chinese</x:v>
      </x:c>
      <x:c r="G282" s="17" t="str">
        <x:v>70分钟快速入门Gazebo机器人仿真</x:v>
      </x:c>
      <x:c r="H282" s="17" t="str">
        <x:v>To be added</x:v>
      </x:c>
      <x:c r="I282" s="17" t="str">
        <x:v>冰达机器人</x:v>
      </x:c>
      <x:c r="J282" s="23" t="str">
        <x:v>Open Course / Tutorial</x:v>
      </x:c>
      <x:c r="K282" s="24" t="n">
        <x:v>70</x:v>
      </x:c>
      <x:c r="L282" s="16" t="str">
        <x:v>https://www.bilibili.com/video/BV143411C75B</x:v>
      </x:c>
      <x:c r="M282" s="22" t="str">
        <x:v>Bilibili</x:v>
      </x:c>
      <x:c r="N282" s="25" t="n">
        <x:v>227068</x:v>
      </x:c>
      <x:c r="O282" s="23" t="str">
        <x:v>C | Community Selection</x:v>
      </x:c>
      <x:c r="P282" s="23" t="str">
        <x:v>Reserve</x:v>
      </x:c>
      <x:c r="Q282" s="23" t="str">
        <x:v>Verified</x:v>
      </x:c>
      <x:c r="R282" s="26" t="n">
        <x:v>46244</x:v>
      </x:c>
      <x:c r="S282" s="17" t="str">
        <x:v>Discovered through public Bilibili search; title, creator, and accessibility verified through the official video endpoint.</x:v>
      </x:c>
      <x:c r="T282" s="16" t="str">
        <x:v>BV143411C75B</x:v>
      </x:c>
      <x:c r="U282" s="17" t="str"/>
      <x:c r="V282" s="151"/>
      <x:c r="W282" s="17" t="str"/>
    </x:row>
    <x:row r="283" ht="42" customHeight="1">
      <x:c r="A283" s="22" t="str">
        <x:v>ST-282</x:v>
      </x:c>
      <x:c r="B283" s="22" t="str">
        <x:v>Course</x:v>
      </x:c>
      <x:c r="C283" s="22" t="str">
        <x:v>Robotics</x:v>
      </x:c>
      <x:c r="D283" s="17" t="str">
        <x:v>Robotics</x:v>
      </x:c>
      <x:c r="E283" s="17" t="str">
        <x:v>Embodied AI; Robotics; World Models</x:v>
      </x:c>
      <x:c r="F283" s="23" t="str">
        <x:v>Chinese</x:v>
      </x:c>
      <x:c r="G283" s="17" t="str">
        <x:v>机器人操作系统ROS零基础入门_ROS机器人入门课程【129课】</x:v>
      </x:c>
      <x:c r="H283" s="17" t="str">
        <x:v>129课</x:v>
      </x:c>
      <x:c r="I283" s="17" t="str">
        <x:v>让你三行代码</x:v>
      </x:c>
      <x:c r="J283" s="23" t="str">
        <x:v>Open Course / Tutorial</x:v>
      </x:c>
      <x:c r="K283" s="24" t="n">
        <x:v>1218</x:v>
      </x:c>
      <x:c r="L283" s="16" t="str">
        <x:v>https://www.bilibili.com/video/BV1164y1R7F8</x:v>
      </x:c>
      <x:c r="M283" s="22" t="str">
        <x:v>Bilibili</x:v>
      </x:c>
      <x:c r="N283" s="25" t="n">
        <x:v>53834</x:v>
      </x:c>
      <x:c r="O283" s="23" t="str">
        <x:v>C | Community Selection</x:v>
      </x:c>
      <x:c r="P283" s="23" t="str">
        <x:v>Reserve</x:v>
      </x:c>
      <x:c r="Q283" s="23" t="str">
        <x:v>Verified</x:v>
      </x:c>
      <x:c r="R283" s="26" t="n">
        <x:v>46244</x:v>
      </x:c>
      <x:c r="S283" s="17" t="str">
        <x:v>Discovered through public Bilibili search; title, creator, and accessibility verified through the official video endpoint.</x:v>
      </x:c>
      <x:c r="T283" s="16" t="str">
        <x:v>BV1164y1R7F8</x:v>
      </x:c>
      <x:c r="U283" s="17" t="str"/>
      <x:c r="V283" s="151"/>
      <x:c r="W283" s="17" t="str"/>
    </x:row>
    <x:row r="284" ht="42" customHeight="1">
      <x:c r="A284" s="22" t="str">
        <x:v>ST-283</x:v>
      </x:c>
      <x:c r="B284" s="22" t="str">
        <x:v>Course</x:v>
      </x:c>
      <x:c r="C284" s="22" t="str">
        <x:v>Robotics</x:v>
      </x:c>
      <x:c r="D284" s="17" t="str">
        <x:v>Robotics</x:v>
      </x:c>
      <x:c r="E284" s="17" t="str">
        <x:v>Embodied AI; Robotics; World Models</x:v>
      </x:c>
      <x:c r="F284" s="23" t="str">
        <x:v>Chinese</x:v>
      </x:c>
      <x:c r="G284" s="17" t="str">
        <x:v>【2026】ROS2入门教程，机器人开发入门到实战</x:v>
      </x:c>
      <x:c r="H284" s="17" t="str">
        <x:v>2026</x:v>
      </x:c>
      <x:c r="I284" s="17" t="str">
        <x:v>具身智能课程</x:v>
      </x:c>
      <x:c r="J284" s="23" t="str">
        <x:v>Open Course / Tutorial</x:v>
      </x:c>
      <x:c r="K284" s="24" t="n">
        <x:v>656</x:v>
      </x:c>
      <x:c r="L284" s="16" t="str">
        <x:v>https://www.bilibili.com/video/BV1cTVA6VENf</x:v>
      </x:c>
      <x:c r="M284" s="22" t="str">
        <x:v>Bilibili</x:v>
      </x:c>
      <x:c r="N284" s="25" t="n">
        <x:v>41553</x:v>
      </x:c>
      <x:c r="O284" s="23" t="str">
        <x:v>C | Community Selection</x:v>
      </x:c>
      <x:c r="P284" s="23" t="str">
        <x:v>Reserve</x:v>
      </x:c>
      <x:c r="Q284" s="23" t="str">
        <x:v>Verified</x:v>
      </x:c>
      <x:c r="R284" s="26" t="n">
        <x:v>46244</x:v>
      </x:c>
      <x:c r="S284" s="17" t="str">
        <x:v>Discovered through public Bilibili search; title, creator, and accessibility verified through the official video endpoint.</x:v>
      </x:c>
      <x:c r="T284" s="16" t="str">
        <x:v>BV1cTVA6VENf</x:v>
      </x:c>
      <x:c r="U284" s="17" t="str"/>
      <x:c r="V284" s="151"/>
      <x:c r="W284" s="17" t="str"/>
    </x:row>
    <x:row r="285" ht="42" customHeight="1">
      <x:c r="A285" s="22" t="str">
        <x:v>ST-284</x:v>
      </x:c>
      <x:c r="B285" s="22" t="str">
        <x:v>Course</x:v>
      </x:c>
      <x:c r="C285" s="22" t="str">
        <x:v>Robotics</x:v>
      </x:c>
      <x:c r="D285" s="17" t="str">
        <x:v>Robotics</x:v>
      </x:c>
      <x:c r="E285" s="17" t="str">
        <x:v>Embodied AI; Robotics; World Models</x:v>
      </x:c>
      <x:c r="F285" s="23" t="str">
        <x:v>Chinese</x:v>
      </x:c>
      <x:c r="G285" s="17" t="str">
        <x:v>教程来了!半小时速通VLA具身智能！爆改lerobot+蚂蚁灵波VLA上手实操超详细指导</x:v>
      </x:c>
      <x:c r="H285" s="17" t="str">
        <x:v>To be added</x:v>
      </x:c>
      <x:c r="I285" s="17" t="str">
        <x:v>陈老师具身xbotics</x:v>
      </x:c>
      <x:c r="J285" s="23" t="str">
        <x:v>Open Course / Tutorial</x:v>
      </x:c>
      <x:c r="K285" s="24" t="n">
        <x:v>33</x:v>
      </x:c>
      <x:c r="L285" s="16" t="str">
        <x:v>https://www.bilibili.com/video/BV1oUVG6NEZi</x:v>
      </x:c>
      <x:c r="M285" s="22" t="str">
        <x:v>Bilibili</x:v>
      </x:c>
      <x:c r="N285" s="25" t="n">
        <x:v>29790</x:v>
      </x:c>
      <x:c r="O285" s="23" t="str">
        <x:v>C | Community Selection</x:v>
      </x:c>
      <x:c r="P285" s="23" t="str">
        <x:v>Reserve</x:v>
      </x:c>
      <x:c r="Q285" s="23" t="str">
        <x:v>Verified</x:v>
      </x:c>
      <x:c r="R285" s="26" t="n">
        <x:v>46244</x:v>
      </x:c>
      <x:c r="S285" s="17" t="str">
        <x:v>Discovered through public Bilibili search; title, creator, and accessibility verified through the official video endpoint.</x:v>
      </x:c>
      <x:c r="T285" s="16" t="str">
        <x:v>BV1oUVG6NEZi</x:v>
      </x:c>
      <x:c r="U285" s="17" t="str"/>
      <x:c r="V285" s="151"/>
      <x:c r="W285" s="17" t="str"/>
    </x:row>
    <x:row r="286" ht="42" customHeight="1">
      <x:c r="A286" s="22" t="str">
        <x:v>ST-285</x:v>
      </x:c>
      <x:c r="B286" s="22" t="str">
        <x:v>Course</x:v>
      </x:c>
      <x:c r="C286" s="22" t="str">
        <x:v>Robotics</x:v>
      </x:c>
      <x:c r="D286" s="17" t="str">
        <x:v>Robotics</x:v>
      </x:c>
      <x:c r="E286" s="17" t="str">
        <x:v>Embodied AI; Robotics; World Models; Reinforcement Learning; Policy Optimization</x:v>
      </x:c>
      <x:c r="F286" s="23" t="str">
        <x:v>Chinese</x:v>
      </x:c>
      <x:c r="G286" s="17" t="str">
        <x:v>具身智能入门：基于模仿学习的方法（ACT、Aloha、mobile Aloha、behavior robot suite）</x:v>
      </x:c>
      <x:c r="H286" s="17" t="str">
        <x:v>To be added</x:v>
      </x:c>
      <x:c r="I286" s="17" t="str">
        <x:v>尤里卡AI</x:v>
      </x:c>
      <x:c r="J286" s="23" t="str">
        <x:v>Open Course / Tutorial</x:v>
      </x:c>
      <x:c r="K286" s="24" t="n">
        <x:v>32</x:v>
      </x:c>
      <x:c r="L286" s="16" t="str">
        <x:v>https://www.bilibili.com/video/BV1xgdDYeE4U</x:v>
      </x:c>
      <x:c r="M286" s="22" t="str">
        <x:v>Bilibili</x:v>
      </x:c>
      <x:c r="N286" s="25" t="n">
        <x:v>26173</x:v>
      </x:c>
      <x:c r="O286" s="23" t="str">
        <x:v>C | Community Selection</x:v>
      </x:c>
      <x:c r="P286" s="23" t="str">
        <x:v>Reserve</x:v>
      </x:c>
      <x:c r="Q286" s="23" t="str">
        <x:v>Verified</x:v>
      </x:c>
      <x:c r="R286" s="26" t="n">
        <x:v>46244</x:v>
      </x:c>
      <x:c r="S286" s="17" t="str">
        <x:v>Discovered through public Bilibili search; title, creator, and accessibility verified through the official video endpoint.</x:v>
      </x:c>
      <x:c r="T286" s="16" t="str">
        <x:v>BV1xgdDYeE4U</x:v>
      </x:c>
      <x:c r="U286" s="17" t="str"/>
      <x:c r="V286" s="151"/>
      <x:c r="W286" s="17" t="str"/>
    </x:row>
    <x:row r="287" ht="42" customHeight="1">
      <x:c r="A287" s="22" t="str">
        <x:v>ST-286</x:v>
      </x:c>
      <x:c r="B287" s="22" t="str">
        <x:v>Talk</x:v>
      </x:c>
      <x:c r="C287" s="22" t="str">
        <x:v>World Model</x:v>
      </x:c>
      <x:c r="D287" s="17" t="str">
        <x:v>World Models</x:v>
      </x:c>
      <x:c r="E287" s="17" t="str">
        <x:v>Embodied AI; Robotics; World Models; Agents; Multi-Agent Systems</x:v>
      </x:c>
      <x:c r="F287" s="23" t="str">
        <x:v>Chinese</x:v>
      </x:c>
      <x:c r="G287" s="17" t="str">
        <x:v>2026北京智源大会丨世界模型</x:v>
      </x:c>
      <x:c r="H287" s="17" t="str">
        <x:v>To be added</x:v>
      </x:c>
      <x:c r="I287" s="17" t="str">
        <x:v>智源社区</x:v>
      </x:c>
      <x:c r="J287" s="23" t="str">
        <x:v>Conference Talk / Forum</x:v>
      </x:c>
      <x:c r="K287" s="24" t="n">
        <x:v>363</x:v>
      </x:c>
      <x:c r="L287" s="16" t="str">
        <x:v>https://www.bilibili.com/video/BV16Yji65Ez1</x:v>
      </x:c>
      <x:c r="M287" s="22" t="str">
        <x:v>Bilibili</x:v>
      </x:c>
      <x:c r="N287" s="25" t="n">
        <x:v>9820</x:v>
      </x:c>
      <x:c r="O287" s="23" t="str">
        <x:v>A | Official / Original Creator / Organizer</x:v>
      </x:c>
      <x:c r="P287" s="23" t="str">
        <x:v>Core</x:v>
      </x:c>
      <x:c r="Q287" s="23" t="str">
        <x:v>Verified</x:v>
      </x:c>
      <x:c r="R287" s="26" t="n">
        <x:v>46244</x:v>
      </x:c>
      <x:c r="S287" s="17" t="str">
        <x:v>Discovered through public Bilibili search; title, creator, and accessibility verified through the official video endpoint.</x:v>
      </x:c>
      <x:c r="T287" s="16" t="str">
        <x:v>BV16Yji65Ez1</x:v>
      </x:c>
      <x:c r="U287" s="17" t="str"/>
      <x:c r="V287" s="151"/>
      <x:c r="W287" s="17" t="str"/>
    </x:row>
    <x:row r="288" ht="42" customHeight="1">
      <x:c r="A288" s="22" t="str">
        <x:v>ST-287</x:v>
      </x:c>
      <x:c r="B288" s="22" t="str">
        <x:v>Talk</x:v>
      </x:c>
      <x:c r="C288" s="22" t="str">
        <x:v>World Model</x:v>
      </x:c>
      <x:c r="D288" s="17" t="str">
        <x:v>World Models</x:v>
      </x:c>
      <x:c r="E288" s="17" t="str">
        <x:v>Embodied AI; Robotics; World Models; Agents; Multi-Agent Systems</x:v>
      </x:c>
      <x:c r="F288" s="23" t="str">
        <x:v>Chinese</x:v>
      </x:c>
      <x:c r="G288" s="17" t="str">
        <x:v>WAIC 2026 主论坛完整版——&lt;从虚拟到现实：世界模型如何驱动具身智能？&gt;</x:v>
      </x:c>
      <x:c r="H288" s="17" t="str">
        <x:v>To be added</x:v>
      </x:c>
      <x:c r="I288" s="17" t="str">
        <x:v>世界人工智能大会</x:v>
      </x:c>
      <x:c r="J288" s="23" t="str">
        <x:v>Conference Talk / Forum</x:v>
      </x:c>
      <x:c r="K288" s="24" t="n">
        <x:v>26</x:v>
      </x:c>
      <x:c r="L288" s="16" t="str">
        <x:v>https://www.bilibili.com/video/BV1iDgx68ETk</x:v>
      </x:c>
      <x:c r="M288" s="22" t="str">
        <x:v>Bilibili</x:v>
      </x:c>
      <x:c r="N288" s="25" t="n">
        <x:v>2060</x:v>
      </x:c>
      <x:c r="O288" s="23" t="str">
        <x:v>A | Official / Original Creator / Organizer</x:v>
      </x:c>
      <x:c r="P288" s="23" t="str">
        <x:v>Core</x:v>
      </x:c>
      <x:c r="Q288" s="23" t="str">
        <x:v>Verified</x:v>
      </x:c>
      <x:c r="R288" s="26" t="n">
        <x:v>46244</x:v>
      </x:c>
      <x:c r="S288" s="17" t="str">
        <x:v>Discovered through public Bilibili search; title, creator, and accessibility verified through the official video endpoint.</x:v>
      </x:c>
      <x:c r="T288" s="16" t="str">
        <x:v>BV1iDgx68ETk</x:v>
      </x:c>
      <x:c r="U288" s="17" t="str"/>
      <x:c r="V288" s="151"/>
      <x:c r="W288" s="17" t="str"/>
    </x:row>
    <x:row r="289" ht="42" customHeight="1">
      <x:c r="A289" s="22" t="str">
        <x:v>ST-288</x:v>
      </x:c>
      <x:c r="B289" s="22" t="str">
        <x:v>Talk</x:v>
      </x:c>
      <x:c r="C289" s="22" t="str">
        <x:v>World Model</x:v>
      </x:c>
      <x:c r="D289" s="17" t="str">
        <x:v>World Models</x:v>
      </x:c>
      <x:c r="E289" s="17" t="str">
        <x:v>Embodied AI; Robotics; World Models</x:v>
      </x:c>
      <x:c r="F289" s="23" t="str">
        <x:v>Chinese</x:v>
      </x:c>
      <x:c r="G289" s="17" t="str">
        <x:v>2026智源大会：世界模型</x:v>
      </x:c>
      <x:c r="H289" s="17" t="str">
        <x:v>To be added</x:v>
      </x:c>
      <x:c r="I289" s="17" t="str">
        <x:v>AI开讲啦</x:v>
      </x:c>
      <x:c r="J289" s="23" t="str">
        <x:v>Conference Talk / Forum</x:v>
      </x:c>
      <x:c r="K289" s="24" t="n">
        <x:v>365</x:v>
      </x:c>
      <x:c r="L289" s="16" t="str">
        <x:v>https://www.bilibili.com/video/BV1CKJG6xESk</x:v>
      </x:c>
      <x:c r="M289" s="22" t="str">
        <x:v>Bilibili</x:v>
      </x:c>
      <x:c r="N289" s="25" t="n">
        <x:v>5947</x:v>
      </x:c>
      <x:c r="O289" s="23" t="str">
        <x:v>C | Community Selection</x:v>
      </x:c>
      <x:c r="P289" s="23" t="str">
        <x:v>Reserve</x:v>
      </x:c>
      <x:c r="Q289" s="23" t="str">
        <x:v>Verified</x:v>
      </x:c>
      <x:c r="R289" s="26" t="n">
        <x:v>46244</x:v>
      </x:c>
      <x:c r="S289" s="17" t="str">
        <x:v>Discovered through public Bilibili search; title, creator, and accessibility verified through the official video endpoint.</x:v>
      </x:c>
      <x:c r="T289" s="16" t="str">
        <x:v>BV1CKJG6xESk</x:v>
      </x:c>
      <x:c r="U289" s="17" t="str"/>
      <x:c r="V289" s="151"/>
      <x:c r="W289" s="17" t="str"/>
    </x:row>
    <x:row r="290" ht="42" customHeight="1">
      <x:c r="A290" s="22" t="str">
        <x:v>ST-289</x:v>
      </x:c>
      <x:c r="B290" s="22" t="str">
        <x:v>Talk</x:v>
      </x:c>
      <x:c r="C290" s="22" t="str">
        <x:v>World Model</x:v>
      </x:c>
      <x:c r="D290" s="17" t="str">
        <x:v>World Models</x:v>
      </x:c>
      <x:c r="E290" s="17" t="str">
        <x:v>Embodied AI; Robotics; World Models; Large Language Models; Foundation Models; Industry Insights</x:v>
      </x:c>
      <x:c r="F290" s="23" t="str">
        <x:v>Chinese</x:v>
      </x:c>
      <x:c r="G290" s="17" t="str">
        <x:v>WAIC大模型分论坛：具身世界模型发展关键问题</x:v>
      </x:c>
      <x:c r="H290" s="17" t="str">
        <x:v>To be added</x:v>
      </x:c>
      <x:c r="I290" s="17" t="str">
        <x:v>居鲁仕</x:v>
      </x:c>
      <x:c r="J290" s="23" t="str">
        <x:v>Conference Talk / Forum</x:v>
      </x:c>
      <x:c r="K290" s="24" t="n">
        <x:v>23</x:v>
      </x:c>
      <x:c r="L290" s="16" t="str">
        <x:v>https://www.bilibili.com/video/BV13a8vzVEo6</x:v>
      </x:c>
      <x:c r="M290" s="22" t="str">
        <x:v>Bilibili</x:v>
      </x:c>
      <x:c r="N290" s="25" t="n">
        <x:v>2232</x:v>
      </x:c>
      <x:c r="O290" s="23" t="str">
        <x:v>B | University / Conference / Institution</x:v>
      </x:c>
      <x:c r="P290" s="23" t="str">
        <x:v>Recommended</x:v>
      </x:c>
      <x:c r="Q290" s="23" t="str">
        <x:v>Verified</x:v>
      </x:c>
      <x:c r="R290" s="26" t="n">
        <x:v>46244</x:v>
      </x:c>
      <x:c r="S290" s="17" t="str">
        <x:v>Discovered through public Bilibili search; title, creator, and accessibility verified through the official video endpoint.</x:v>
      </x:c>
      <x:c r="T290" s="16" t="str">
        <x:v>BV13a8vzVEo6</x:v>
      </x:c>
      <x:c r="U290" s="17" t="str"/>
      <x:c r="V290" s="151"/>
      <x:c r="W290" s="17" t="str"/>
    </x:row>
    <x:row r="291" ht="42" customHeight="1">
      <x:c r="A291" s="22" t="str">
        <x:v>ST-290</x:v>
      </x:c>
      <x:c r="B291" s="22" t="str">
        <x:v>Talk</x:v>
      </x:c>
      <x:c r="C291" s="22" t="str">
        <x:v>World Model</x:v>
      </x:c>
      <x:c r="D291" s="17" t="str">
        <x:v>World Models</x:v>
      </x:c>
      <x:c r="E291" s="17" t="str">
        <x:v>Embodied AI; Robotics; World Models</x:v>
      </x:c>
      <x:c r="F291" s="23" t="str">
        <x:v>Chinese</x:v>
      </x:c>
      <x:c r="G291" s="17" t="str">
        <x:v>昆仑万维·世界模型与多模态范式跃迁论坛</x:v>
      </x:c>
      <x:c r="H291" s="17" t="str">
        <x:v>To be added</x:v>
      </x:c>
      <x:c r="I291" s="17" t="str">
        <x:v>MissGodOne</x:v>
      </x:c>
      <x:c r="J291" s="23" t="str">
        <x:v>Conference Talk / Forum</x:v>
      </x:c>
      <x:c r="K291" s="24" t="n">
        <x:v>169</x:v>
      </x:c>
      <x:c r="L291" s="16" t="str">
        <x:v>https://www.bilibili.com/video/BV1bsgx6EEZz</x:v>
      </x:c>
      <x:c r="M291" s="22" t="str">
        <x:v>Bilibili</x:v>
      </x:c>
      <x:c r="N291" s="25" t="n">
        <x:v>115</x:v>
      </x:c>
      <x:c r="O291" s="23" t="str">
        <x:v>C | Community Selection</x:v>
      </x:c>
      <x:c r="P291" s="23" t="str">
        <x:v>Reserve</x:v>
      </x:c>
      <x:c r="Q291" s="23" t="str">
        <x:v>Verified</x:v>
      </x:c>
      <x:c r="R291" s="26" t="n">
        <x:v>46244</x:v>
      </x:c>
      <x:c r="S291" s="17" t="str">
        <x:v>Discovered through public Bilibili search; title, creator, and accessibility verified through the official video endpoint.</x:v>
      </x:c>
      <x:c r="T291" s="16" t="str">
        <x:v>BV1bsgx6EEZz</x:v>
      </x:c>
      <x:c r="U291" s="17" t="str"/>
      <x:c r="V291" s="151"/>
      <x:c r="W291" s="17" t="str"/>
    </x:row>
    <x:row r="292" ht="42" customHeight="1">
      <x:c r="A292" s="22" t="str">
        <x:v>ST-291</x:v>
      </x:c>
      <x:c r="B292" s="22" t="str">
        <x:v>Talk</x:v>
      </x:c>
      <x:c r="C292" s="22" t="str">
        <x:v>World Model</x:v>
      </x:c>
      <x:c r="D292" s="17" t="str">
        <x:v>World Models</x:v>
      </x:c>
      <x:c r="E292" s="17" t="str">
        <x:v>Embodied AI; Robotics; World Models; Large Language Models; Foundation Models; Industry Insights</x:v>
      </x:c>
      <x:c r="F292" s="23" t="str">
        <x:v>Chinese</x:v>
      </x:c>
      <x:c r="G292" s="17" t="str">
        <x:v>WAIC 2025大模型论坛上，多位AI领域的教授和专家探讨了《具身世界模型发展关键问题》，具身数据是其中一个重要话题。上海信息投资股份有限公司副总裁、上海库帕</x:v>
      </x:c>
      <x:c r="H292" s="17" t="str">
        <x:v>和专家探讨了《具身世界模型发展关键问题》</x:v>
      </x:c>
      <x:c r="I292" s="17" t="str">
        <x:v>绝影SenseAuto</x:v>
      </x:c>
      <x:c r="J292" s="23" t="str">
        <x:v>Conference Talk / Forum</x:v>
      </x:c>
      <x:c r="K292" s="24" t="n">
        <x:v>1</x:v>
      </x:c>
      <x:c r="L292" s="16" t="str">
        <x:v>https://www.bilibili.com/video/BV1EitczREg5</x:v>
      </x:c>
      <x:c r="M292" s="22" t="str">
        <x:v>Bilibili</x:v>
      </x:c>
      <x:c r="N292" s="25" t="n">
        <x:v>66</x:v>
      </x:c>
      <x:c r="O292" s="23" t="str">
        <x:v>B | University / Conference / Institution</x:v>
      </x:c>
      <x:c r="P292" s="23" t="str">
        <x:v>Recommended</x:v>
      </x:c>
      <x:c r="Q292" s="23" t="str">
        <x:v>Verified</x:v>
      </x:c>
      <x:c r="R292" s="26" t="n">
        <x:v>46244</x:v>
      </x:c>
      <x:c r="S292" s="17" t="str">
        <x:v>Discovered through public Bilibili search; title, creator, and accessibility verified through the official video endpoint.</x:v>
      </x:c>
      <x:c r="T292" s="16" t="str">
        <x:v>BV1EitczREg5</x:v>
      </x:c>
      <x:c r="U292" s="17" t="str"/>
      <x:c r="V292" s="151"/>
      <x:c r="W292" s="17" t="str"/>
    </x:row>
    <x:row r="293" ht="42" customHeight="1">
      <x:c r="A293" s="22" t="str">
        <x:v>ST-292</x:v>
      </x:c>
      <x:c r="B293" s="22" t="str">
        <x:v>Talk</x:v>
      </x:c>
      <x:c r="C293" s="22" t="str">
        <x:v>Agent</x:v>
      </x:c>
      <x:c r="D293" s="17" t="str">
        <x:v>Agents</x:v>
      </x:c>
      <x:c r="E293" s="17" t="str">
        <x:v>Embodied AI; Robotics; World Models; Agents; Multi-Agent Systems</x:v>
      </x:c>
      <x:c r="F293" s="23" t="str">
        <x:v>Chinese</x:v>
      </x:c>
      <x:c r="G293" s="17" t="str">
        <x:v>2026北京智源大会丨 Agent for Science</x:v>
      </x:c>
      <x:c r="H293" s="17" t="str">
        <x:v>To be added</x:v>
      </x:c>
      <x:c r="I293" s="17" t="str">
        <x:v>智源社区</x:v>
      </x:c>
      <x:c r="J293" s="23" t="str">
        <x:v>Conference Talk / Forum</x:v>
      </x:c>
      <x:c r="K293" s="24" t="n">
        <x:v>465</x:v>
      </x:c>
      <x:c r="L293" s="16" t="str">
        <x:v>https://www.bilibili.com/video/BV1m7ji6sEeT</x:v>
      </x:c>
      <x:c r="M293" s="22" t="str">
        <x:v>Bilibili</x:v>
      </x:c>
      <x:c r="N293" s="25" t="n">
        <x:v>2235</x:v>
      </x:c>
      <x:c r="O293" s="23" t="str">
        <x:v>A | Official / Original Creator / Organizer</x:v>
      </x:c>
      <x:c r="P293" s="23" t="str">
        <x:v>Core</x:v>
      </x:c>
      <x:c r="Q293" s="23" t="str">
        <x:v>Verified</x:v>
      </x:c>
      <x:c r="R293" s="26" t="n">
        <x:v>46244</x:v>
      </x:c>
      <x:c r="S293" s="17" t="str">
        <x:v>Discovered through public Bilibili search; title, creator, and accessibility verified through the official video endpoint.</x:v>
      </x:c>
      <x:c r="T293" s="16" t="str">
        <x:v>BV1m7ji6sEeT</x:v>
      </x:c>
      <x:c r="U293" s="17" t="str"/>
      <x:c r="V293" s="151"/>
      <x:c r="W293" s="17" t="str"/>
    </x:row>
    <x:row r="294" ht="42" customHeight="1">
      <x:c r="A294" s="22" t="str">
        <x:v>ST-293</x:v>
      </x:c>
      <x:c r="B294" s="22" t="str">
        <x:v>Talk</x:v>
      </x:c>
      <x:c r="C294" s="22" t="str">
        <x:v>Agent</x:v>
      </x:c>
      <x:c r="D294" s="17" t="str">
        <x:v>Agents</x:v>
      </x:c>
      <x:c r="E294" s="17" t="str">
        <x:v>Agents; Multi-Agent Systems; Large Language Models; Foundation Models; Industry Insights</x:v>
      </x:c>
      <x:c r="F294" s="23" t="str">
        <x:v>Chinese</x:v>
      </x:c>
      <x:c r="G294" s="17" t="str">
        <x:v>WAIC 2026 专题论坛：从一次性 Agent 到记忆原生智能时代</x:v>
      </x:c>
      <x:c r="H294" s="17" t="str">
        <x:v>To be added</x:v>
      </x:c>
      <x:c r="I294" s="17" t="str">
        <x:v>非逻辑工作室</x:v>
      </x:c>
      <x:c r="J294" s="23" t="str">
        <x:v>Conference Talk / Forum</x:v>
      </x:c>
      <x:c r="K294" s="24" t="n">
        <x:v>210</x:v>
      </x:c>
      <x:c r="L294" s="16" t="str">
        <x:v>https://www.bilibili.com/video/BV1R3Nf6qEhd</x:v>
      </x:c>
      <x:c r="M294" s="22" t="str">
        <x:v>Bilibili</x:v>
      </x:c>
      <x:c r="N294" s="25" t="n">
        <x:v>6629</x:v>
      </x:c>
      <x:c r="O294" s="23" t="str">
        <x:v>B | University / Conference / Institution</x:v>
      </x:c>
      <x:c r="P294" s="23" t="str">
        <x:v>Recommended</x:v>
      </x:c>
      <x:c r="Q294" s="23" t="str">
        <x:v>Verified</x:v>
      </x:c>
      <x:c r="R294" s="26" t="n">
        <x:v>46244</x:v>
      </x:c>
      <x:c r="S294" s="17" t="str">
        <x:v>Discovered through public Bilibili search; title, creator, and accessibility verified through the official video endpoint.</x:v>
      </x:c>
      <x:c r="T294" s="16" t="str">
        <x:v>BV1R3Nf6qEhd</x:v>
      </x:c>
      <x:c r="U294" s="17" t="str"/>
      <x:c r="V294" s="151"/>
      <x:c r="W294" s="17" t="str"/>
    </x:row>
    <x:row r="295" ht="42" customHeight="1">
      <x:c r="A295" s="22" t="str">
        <x:v>ST-294</x:v>
      </x:c>
      <x:c r="B295" s="22" t="str">
        <x:v>Talk</x:v>
      </x:c>
      <x:c r="C295" s="22" t="str">
        <x:v>Agent</x:v>
      </x:c>
      <x:c r="D295" s="17" t="str">
        <x:v>Agents</x:v>
      </x:c>
      <x:c r="E295" s="17" t="str">
        <x:v>Agents; Multi-Agent Systems; Large Language Models; Foundation Models; Industry Insights</x:v>
      </x:c>
      <x:c r="F295" s="23" t="str">
        <x:v>Chinese</x:v>
      </x:c>
      <x:c r="G295" s="17" t="str">
        <x:v>基于大模型的科学研究智能体 | AI for Science课程分享</x:v>
      </x:c>
      <x:c r="H295" s="17" t="str">
        <x:v>To be added</x:v>
      </x:c>
      <x:c r="I295" s="17" t="str">
        <x:v>中科院自动化所</x:v>
      </x:c>
      <x:c r="J295" s="23" t="str">
        <x:v>Academic Talk</x:v>
      </x:c>
      <x:c r="K295" s="24" t="n">
        <x:v>19</x:v>
      </x:c>
      <x:c r="L295" s="16" t="str">
        <x:v>https://www.bilibili.com/video/BV1NLXCYTErG</x:v>
      </x:c>
      <x:c r="M295" s="22" t="str">
        <x:v>Bilibili</x:v>
      </x:c>
      <x:c r="N295" s="25" t="n">
        <x:v>6338</x:v>
      </x:c>
      <x:c r="O295" s="23" t="str">
        <x:v>B | University / Conference / Institution</x:v>
      </x:c>
      <x:c r="P295" s="23" t="str">
        <x:v>Recommended</x:v>
      </x:c>
      <x:c r="Q295" s="23" t="str">
        <x:v>Verified</x:v>
      </x:c>
      <x:c r="R295" s="26" t="n">
        <x:v>46244</x:v>
      </x:c>
      <x:c r="S295" s="17" t="str">
        <x:v>Discovered through public Bilibili search; title, creator, and accessibility verified through the official video endpoint.</x:v>
      </x:c>
      <x:c r="T295" s="16" t="str">
        <x:v>BV1NLXCYTErG</x:v>
      </x:c>
      <x:c r="U295" s="17" t="str"/>
      <x:c r="V295" s="151"/>
      <x:c r="W295" s="17" t="str"/>
    </x:row>
    <x:row r="296" ht="42" customHeight="1">
      <x:c r="A296" s="22" t="str">
        <x:v>ST-295</x:v>
      </x:c>
      <x:c r="B296" s="22" t="str">
        <x:v>Talk</x:v>
      </x:c>
      <x:c r="C296" s="22" t="str">
        <x:v>Agent</x:v>
      </x:c>
      <x:c r="D296" s="17" t="str">
        <x:v>Agents</x:v>
      </x:c>
      <x:c r="E296" s="17" t="str">
        <x:v>Agents; Multi-Agent Systems</x:v>
      </x:c>
      <x:c r="F296" s="23" t="str">
        <x:v>Chinese</x:v>
      </x:c>
      <x:c r="G296" s="17" t="str">
        <x:v>智能体应用优秀案例分享会20250304_143530</x:v>
      </x:c>
      <x:c r="H296" s="17" t="str">
        <x:v>To be added</x:v>
      </x:c>
      <x:c r="I296" s="17" t="str">
        <x:v>xiegangqingn_com</x:v>
      </x:c>
      <x:c r="J296" s="23" t="str">
        <x:v>Academic Talk</x:v>
      </x:c>
      <x:c r="K296" s="24" t="n">
        <x:v>85</x:v>
      </x:c>
      <x:c r="L296" s="16" t="str">
        <x:v>https://www.bilibili.com/video/BV1fn9mYGEfN</x:v>
      </x:c>
      <x:c r="M296" s="22" t="str">
        <x:v>Bilibili</x:v>
      </x:c>
      <x:c r="N296" s="25" t="n">
        <x:v>3093</x:v>
      </x:c>
      <x:c r="O296" s="23" t="str">
        <x:v>C | Community Selection</x:v>
      </x:c>
      <x:c r="P296" s="23" t="str">
        <x:v>Reserve</x:v>
      </x:c>
      <x:c r="Q296" s="23" t="str">
        <x:v>Verified</x:v>
      </x:c>
      <x:c r="R296" s="26" t="n">
        <x:v>46244</x:v>
      </x:c>
      <x:c r="S296" s="17" t="str">
        <x:v>Discovered through public Bilibili search; title, creator, and accessibility verified through the official video endpoint.</x:v>
      </x:c>
      <x:c r="T296" s="16" t="str">
        <x:v>BV1fn9mYGEfN</x:v>
      </x:c>
      <x:c r="U296" s="17" t="str"/>
      <x:c r="V296" s="151"/>
      <x:c r="W296" s="17" t="str"/>
    </x:row>
    <x:row r="297" ht="42" customHeight="1">
      <x:c r="A297" s="22" t="str">
        <x:v>ST-296</x:v>
      </x:c>
      <x:c r="B297" s="22" t="str">
        <x:v>Talk</x:v>
      </x:c>
      <x:c r="C297" s="22" t="str">
        <x:v>Agent</x:v>
      </x:c>
      <x:c r="D297" s="17" t="str">
        <x:v>Agents</x:v>
      </x:c>
      <x:c r="E297" s="17" t="str">
        <x:v>Agents; Multi-Agent Systems</x:v>
      </x:c>
      <x:c r="F297" s="23" t="str">
        <x:v>Chinese</x:v>
      </x:c>
      <x:c r="G297" s="17" t="str">
        <x:v>AI工程师大会:如何构建能连续运行数小时的AI智能体</x:v>
      </x:c>
      <x:c r="H297" s="17" t="str">
        <x:v>To be added</x:v>
      </x:c>
      <x:c r="I297" s="17" t="str">
        <x:v>小龙虾学长</x:v>
      </x:c>
      <x:c r="J297" s="23" t="str">
        <x:v>Conference Talk / Forum</x:v>
      </x:c>
      <x:c r="K297" s="24" t="n">
        <x:v>72</x:v>
      </x:c>
      <x:c r="L297" s="16" t="str">
        <x:v>https://www.bilibili.com/video/BV1cGNc6QEKt</x:v>
      </x:c>
      <x:c r="M297" s="22" t="str">
        <x:v>Bilibili</x:v>
      </x:c>
      <x:c r="N297" s="25" t="n">
        <x:v>306</x:v>
      </x:c>
      <x:c r="O297" s="23" t="str">
        <x:v>C | Community Selection</x:v>
      </x:c>
      <x:c r="P297" s="23" t="str">
        <x:v>Reserve</x:v>
      </x:c>
      <x:c r="Q297" s="23" t="str">
        <x:v>Verified</x:v>
      </x:c>
      <x:c r="R297" s="26" t="n">
        <x:v>46244</x:v>
      </x:c>
      <x:c r="S297" s="17" t="str">
        <x:v>Discovered through public Bilibili search; title, creator, and accessibility verified through the official video endpoint.</x:v>
      </x:c>
      <x:c r="T297" s="16" t="str">
        <x:v>BV1cGNc6QEKt</x:v>
      </x:c>
      <x:c r="U297" s="17" t="str"/>
      <x:c r="V297" s="151"/>
      <x:c r="W297" s="17" t="str"/>
    </x:row>
    <x:row r="298" ht="42" customHeight="1">
      <x:c r="A298" s="22" t="str">
        <x:v>ST-297</x:v>
      </x:c>
      <x:c r="B298" s="22" t="str">
        <x:v>Talk</x:v>
      </x:c>
      <x:c r="C298" s="22" t="str">
        <x:v>Agent</x:v>
      </x:c>
      <x:c r="D298" s="17" t="str">
        <x:v>Agents</x:v>
      </x:c>
      <x:c r="E298" s="17" t="str">
        <x:v>Agents; Multi-Agent Systems</x:v>
      </x:c>
      <x:c r="F298" s="23" t="str">
        <x:v>Chinese</x:v>
      </x:c>
      <x:c r="G298" s="17" t="str">
        <x:v>西门子·工业AI迈进现实_-_工业AI创新论坛暨Eigen工程智能体发布会</x:v>
      </x:c>
      <x:c r="H298" s="17" t="str">
        <x:v>To be added</x:v>
      </x:c>
      <x:c r="I298" s="17" t="str">
        <x:v>MissGodOne</x:v>
      </x:c>
      <x:c r="J298" s="23" t="str">
        <x:v>Conference Talk / Forum</x:v>
      </x:c>
      <x:c r="K298" s="24" t="n">
        <x:v>94</x:v>
      </x:c>
      <x:c r="L298" s="16" t="str">
        <x:v>https://www.bilibili.com/video/BV1JLgC6EEbb</x:v>
      </x:c>
      <x:c r="M298" s="22" t="str">
        <x:v>Bilibili</x:v>
      </x:c>
      <x:c r="N298" s="25" t="n">
        <x:v>202</x:v>
      </x:c>
      <x:c r="O298" s="23" t="str">
        <x:v>C | Community Selection</x:v>
      </x:c>
      <x:c r="P298" s="23" t="str">
        <x:v>Reserve</x:v>
      </x:c>
      <x:c r="Q298" s="23" t="str">
        <x:v>Verified</x:v>
      </x:c>
      <x:c r="R298" s="26" t="n">
        <x:v>46244</x:v>
      </x:c>
      <x:c r="S298" s="17" t="str">
        <x:v>Discovered through public Bilibili search; title, creator, and accessibility verified through the official video endpoint.</x:v>
      </x:c>
      <x:c r="T298" s="16" t="str">
        <x:v>BV1JLgC6EEbb</x:v>
      </x:c>
      <x:c r="U298" s="17" t="str"/>
      <x:c r="V298" s="151"/>
      <x:c r="W298" s="17" t="str"/>
    </x:row>
    <x:row r="299" ht="42" customHeight="1">
      <x:c r="A299" s="22" t="str">
        <x:v>ST-298</x:v>
      </x:c>
      <x:c r="B299" s="22" t="str">
        <x:v>Talk</x:v>
      </x:c>
      <x:c r="C299" s="22" t="str">
        <x:v>Agent</x:v>
      </x:c>
      <x:c r="D299" s="17" t="str">
        <x:v>Agents</x:v>
      </x:c>
      <x:c r="E299" s="17" t="str">
        <x:v>Agents; Multi-Agent Systems; Trustworthy AI; Content Detection; Safety</x:v>
      </x:c>
      <x:c r="F299" s="23" t="str">
        <x:v>Chinese</x:v>
      </x:c>
      <x:c r="G299" s="17" t="str">
        <x:v>前沿AI与智能体安全论坛</x:v>
      </x:c>
      <x:c r="H299" s="17" t="str">
        <x:v>To be added</x:v>
      </x:c>
      <x:c r="I299" s="17" t="str">
        <x:v>MissGodOne</x:v>
      </x:c>
      <x:c r="J299" s="23" t="str">
        <x:v>Conference Talk / Forum</x:v>
      </x:c>
      <x:c r="K299" s="24" t="n">
        <x:v>222</x:v>
      </x:c>
      <x:c r="L299" s="16" t="str">
        <x:v>https://www.bilibili.com/video/BV13Sg66tEP8</x:v>
      </x:c>
      <x:c r="M299" s="22" t="str">
        <x:v>Bilibili</x:v>
      </x:c>
      <x:c r="N299" s="25" t="n">
        <x:v>160</x:v>
      </x:c>
      <x:c r="O299" s="23" t="str">
        <x:v>C | Community Selection</x:v>
      </x:c>
      <x:c r="P299" s="23" t="str">
        <x:v>Reserve</x:v>
      </x:c>
      <x:c r="Q299" s="23" t="str">
        <x:v>Verified</x:v>
      </x:c>
      <x:c r="R299" s="26" t="n">
        <x:v>46244</x:v>
      </x:c>
      <x:c r="S299" s="17" t="str">
        <x:v>Discovered through public Bilibili search; title, creator, and accessibility verified through the official video endpoint.</x:v>
      </x:c>
      <x:c r="T299" s="16" t="str">
        <x:v>BV13Sg66tEP8</x:v>
      </x:c>
      <x:c r="U299" s="17" t="str"/>
      <x:c r="V299" s="151"/>
      <x:c r="W299" s="17" t="str"/>
    </x:row>
    <x:row r="300" ht="42" customHeight="1">
      <x:c r="A300" s="22" t="str">
        <x:v>ST-299</x:v>
      </x:c>
      <x:c r="B300" s="22" t="str">
        <x:v>Talk</x:v>
      </x:c>
      <x:c r="C300" s="22" t="str">
        <x:v>Agent</x:v>
      </x:c>
      <x:c r="D300" s="17" t="str">
        <x:v>Agents</x:v>
      </x:c>
      <x:c r="E300" s="17" t="str">
        <x:v>Agents; Multi-Agent Systems</x:v>
      </x:c>
      <x:c r="F300" s="23" t="str">
        <x:v>Chinese</x:v>
      </x:c>
      <x:c r="G300" s="17" t="str">
        <x:v>阿里云·Agentic_Cloud__智能体时代的基础设施论坛</x:v>
      </x:c>
      <x:c r="H300" s="17" t="str">
        <x:v>To be added</x:v>
      </x:c>
      <x:c r="I300" s="17" t="str">
        <x:v>MissGodOne</x:v>
      </x:c>
      <x:c r="J300" s="23" t="str">
        <x:v>Conference Talk / Forum</x:v>
      </x:c>
      <x:c r="K300" s="24" t="n">
        <x:v>146</x:v>
      </x:c>
      <x:c r="L300" s="16" t="str">
        <x:v>https://www.bilibili.com/video/BV1GSgk6KE9m</x:v>
      </x:c>
      <x:c r="M300" s="22" t="str">
        <x:v>Bilibili</x:v>
      </x:c>
      <x:c r="N300" s="25" t="n">
        <x:v>65</x:v>
      </x:c>
      <x:c r="O300" s="23" t="str">
        <x:v>C | Community Selection</x:v>
      </x:c>
      <x:c r="P300" s="23" t="str">
        <x:v>Reserve</x:v>
      </x:c>
      <x:c r="Q300" s="23" t="str">
        <x:v>Verified</x:v>
      </x:c>
      <x:c r="R300" s="26" t="n">
        <x:v>46244</x:v>
      </x:c>
      <x:c r="S300" s="17" t="str">
        <x:v>Discovered through public Bilibili search; title, creator, and accessibility verified through the official video endpoint.</x:v>
      </x:c>
      <x:c r="T300" s="16" t="str">
        <x:v>BV1GSgk6KE9m</x:v>
      </x:c>
      <x:c r="U300" s="17" t="str"/>
      <x:c r="V300" s="151"/>
      <x:c r="W300" s="17" t="str"/>
    </x:row>
    <x:row r="301" ht="42" customHeight="1">
      <x:c r="A301" s="22" t="str">
        <x:v>ST-300</x:v>
      </x:c>
      <x:c r="B301" s="22" t="str">
        <x:v>Talk</x:v>
      </x:c>
      <x:c r="C301" s="22" t="str">
        <x:v>Vision</x:v>
      </x:c>
      <x:c r="D301" s="17" t="str">
        <x:v>Vision</x:v>
      </x:c>
      <x:c r="E301" s="17" t="str">
        <x:v>Vision</x:v>
      </x:c>
      <x:c r="F301" s="23" t="str">
        <x:v>Chinese</x:v>
      </x:c>
      <x:c r="G301" s="17" t="str">
        <x:v>第五届中国模式识别与计算机视觉大会（PRCV2022）学术海报展示2</x:v>
      </x:c>
      <x:c r="H301" s="17" t="str">
        <x:v>To be added</x:v>
      </x:c>
      <x:c r="I301" s="17" t="str">
        <x:v>人工智能前沿讲习</x:v>
      </x:c>
      <x:c r="J301" s="23" t="str">
        <x:v>Conference Talk / Forum</x:v>
      </x:c>
      <x:c r="K301" s="24" t="n">
        <x:v>190</x:v>
      </x:c>
      <x:c r="L301" s="16" t="str">
        <x:v>https://www.bilibili.com/video/BV1DA411Q7wu</x:v>
      </x:c>
      <x:c r="M301" s="22" t="str">
        <x:v>Bilibili</x:v>
      </x:c>
      <x:c r="N301" s="25" t="n">
        <x:v>5229</x:v>
      </x:c>
      <x:c r="O301" s="23" t="str">
        <x:v>B | University / Conference / Institution</x:v>
      </x:c>
      <x:c r="P301" s="23" t="str">
        <x:v>Recommended</x:v>
      </x:c>
      <x:c r="Q301" s="23" t="str">
        <x:v>Verified</x:v>
      </x:c>
      <x:c r="R301" s="26" t="n">
        <x:v>46244</x:v>
      </x:c>
      <x:c r="S301" s="17" t="str">
        <x:v>Discovered through public Bilibili search; title, creator, and accessibility verified through the official video endpoint.</x:v>
      </x:c>
      <x:c r="T301" s="16" t="str">
        <x:v>BV1DA411Q7wu</x:v>
      </x:c>
      <x:c r="U301" s="17" t="str"/>
      <x:c r="V301" s="151"/>
      <x:c r="W301" s="17" t="str"/>
    </x:row>
    <x:row r="302" ht="42" customHeight="1">
      <x:c r="A302" s="22" t="str">
        <x:v>ST-301</x:v>
      </x:c>
      <x:c r="B302" s="22" t="str">
        <x:v>Talk</x:v>
      </x:c>
      <x:c r="C302" s="22" t="str">
        <x:v>Vision</x:v>
      </x:c>
      <x:c r="D302" s="17" t="str">
        <x:v>Vision</x:v>
      </x:c>
      <x:c r="E302" s="17" t="str">
        <x:v>Vision</x:v>
      </x:c>
      <x:c r="F302" s="23" t="str">
        <x:v>Chinese</x:v>
      </x:c>
      <x:c r="G302" s="17" t="str">
        <x:v>第五届中国模式识别与计算机视觉大会（PRCV2022）学术海报展示1</x:v>
      </x:c>
      <x:c r="H302" s="17" t="str">
        <x:v>To be added</x:v>
      </x:c>
      <x:c r="I302" s="17" t="str">
        <x:v>人工智能前沿讲习</x:v>
      </x:c>
      <x:c r="J302" s="23" t="str">
        <x:v>Conference Talk / Forum</x:v>
      </x:c>
      <x:c r="K302" s="24" t="n">
        <x:v>233</x:v>
      </x:c>
      <x:c r="L302" s="16" t="str">
        <x:v>https://www.bilibili.com/video/BV1NR4y167k2</x:v>
      </x:c>
      <x:c r="M302" s="22" t="str">
        <x:v>Bilibili</x:v>
      </x:c>
      <x:c r="N302" s="25" t="n">
        <x:v>4673</x:v>
      </x:c>
      <x:c r="O302" s="23" t="str">
        <x:v>B | University / Conference / Institution</x:v>
      </x:c>
      <x:c r="P302" s="23" t="str">
        <x:v>Recommended</x:v>
      </x:c>
      <x:c r="Q302" s="23" t="str">
        <x:v>Verified</x:v>
      </x:c>
      <x:c r="R302" s="26" t="n">
        <x:v>46244</x:v>
      </x:c>
      <x:c r="S302" s="17" t="str">
        <x:v>Discovered through public Bilibili search; title, creator, and accessibility verified through the official video endpoint.</x:v>
      </x:c>
      <x:c r="T302" s="16" t="str">
        <x:v>BV1NR4y167k2</x:v>
      </x:c>
      <x:c r="U302" s="17" t="str"/>
      <x:c r="V302" s="151"/>
      <x:c r="W302" s="17" t="str"/>
    </x:row>
    <x:row r="303" ht="42" customHeight="1">
      <x:c r="A303" s="22" t="str">
        <x:v>ST-302</x:v>
      </x:c>
      <x:c r="B303" s="22" t="str">
        <x:v>Talk</x:v>
      </x:c>
      <x:c r="C303" s="22" t="str">
        <x:v>Vision</x:v>
      </x:c>
      <x:c r="D303" s="17" t="str">
        <x:v>Vision</x:v>
      </x:c>
      <x:c r="E303" s="17" t="str">
        <x:v>Large Language Models; Foundation Models; Industry Insights; Trustworthy AI; Content Detection; Safety</x:v>
      </x:c>
      <x:c r="F303" s="23" t="str">
        <x:v>Chinese</x:v>
      </x:c>
      <x:c r="G303" s="17" t="str">
        <x:v>【会议回放】2025 CVPR上海论文分享学术报告会</x:v>
      </x:c>
      <x:c r="H303" s="17" t="str">
        <x:v>To be added</x:v>
      </x:c>
      <x:c r="I303" s="17" t="str">
        <x:v>JIG图图</x:v>
      </x:c>
      <x:c r="J303" s="23" t="str">
        <x:v>Academic Talk</x:v>
      </x:c>
      <x:c r="K303" s="24" t="n">
        <x:v>364</x:v>
      </x:c>
      <x:c r="L303" s="16" t="str">
        <x:v>https://www.bilibili.com/video/BV1GZjYz6EsV</x:v>
      </x:c>
      <x:c r="M303" s="22" t="str">
        <x:v>Bilibili</x:v>
      </x:c>
      <x:c r="N303" s="25" t="n">
        <x:v>4254</x:v>
      </x:c>
      <x:c r="O303" s="23" t="str">
        <x:v>B | University / Conference / Institution</x:v>
      </x:c>
      <x:c r="P303" s="23" t="str">
        <x:v>Recommended</x:v>
      </x:c>
      <x:c r="Q303" s="23" t="str">
        <x:v>Verified</x:v>
      </x:c>
      <x:c r="R303" s="26" t="n">
        <x:v>46244</x:v>
      </x:c>
      <x:c r="S303" s="17" t="str">
        <x:v>Discovered through public Bilibili search; title, creator, and accessibility verified through the official video endpoint.</x:v>
      </x:c>
      <x:c r="T303" s="16" t="str">
        <x:v>BV1GZjYz6EsV</x:v>
      </x:c>
      <x:c r="U303" s="17" t="str"/>
      <x:c r="V303" s="151"/>
      <x:c r="W303" s="17" t="str"/>
    </x:row>
    <x:row r="304" ht="42" customHeight="1">
      <x:c r="A304" s="22" t="str">
        <x:v>ST-303</x:v>
      </x:c>
      <x:c r="B304" s="22" t="str">
        <x:v>Talk</x:v>
      </x:c>
      <x:c r="C304" s="22" t="str">
        <x:v>Vision</x:v>
      </x:c>
      <x:c r="D304" s="17" t="str">
        <x:v>Vision</x:v>
      </x:c>
      <x:c r="E304" s="17" t="str">
        <x:v>Embodied AI; Robotics; World Models</x:v>
      </x:c>
      <x:c r="F304" s="23" t="str">
        <x:v>Chinese</x:v>
      </x:c>
      <x:c r="G304" s="17" t="str">
        <x:v>CVPR2026论文分享会 | 来茶思屋，听论文作者拆解真技术</x:v>
      </x:c>
      <x:c r="H304" s="17" t="str">
        <x:v>To be added</x:v>
      </x:c>
      <x:c r="I304" s="17" t="str">
        <x:v>Chaspark茶思屋</x:v>
      </x:c>
      <x:c r="J304" s="23" t="str">
        <x:v>Academic Talk</x:v>
      </x:c>
      <x:c r="K304" s="24" t="n">
        <x:v>321</x:v>
      </x:c>
      <x:c r="L304" s="16" t="str">
        <x:v>https://www.bilibili.com/video/BV17PEF6LEyD</x:v>
      </x:c>
      <x:c r="M304" s="22" t="str">
        <x:v>Bilibili</x:v>
      </x:c>
      <x:c r="N304" s="25" t="n">
        <x:v>3631</x:v>
      </x:c>
      <x:c r="O304" s="23" t="str">
        <x:v>C | Community Selection</x:v>
      </x:c>
      <x:c r="P304" s="23" t="str">
        <x:v>Reserve</x:v>
      </x:c>
      <x:c r="Q304" s="23" t="str">
        <x:v>Verified</x:v>
      </x:c>
      <x:c r="R304" s="26" t="n">
        <x:v>46244</x:v>
      </x:c>
      <x:c r="S304" s="17" t="str">
        <x:v>Discovered through public Bilibili search; title, creator, and accessibility verified through the official video endpoint.</x:v>
      </x:c>
      <x:c r="T304" s="16" t="str">
        <x:v>BV17PEF6LEyD</x:v>
      </x:c>
      <x:c r="U304" s="17" t="str"/>
      <x:c r="V304" s="151"/>
      <x:c r="W304" s="17" t="str"/>
    </x:row>
    <x:row r="305" ht="42" customHeight="1">
      <x:c r="A305" s="22" t="str">
        <x:v>ST-304</x:v>
      </x:c>
      <x:c r="B305" s="22" t="str">
        <x:v>Talk</x:v>
      </x:c>
      <x:c r="C305" s="22" t="str">
        <x:v>Vision</x:v>
      </x:c>
      <x:c r="D305" s="17" t="str">
        <x:v>Vision</x:v>
      </x:c>
      <x:c r="E305" s="17" t="str">
        <x:v>Vision</x:v>
      </x:c>
      <x:c r="F305" s="23" t="str">
        <x:v>Chinese</x:v>
      </x:c>
      <x:c r="G305" s="17" t="str">
        <x:v>主旨报告 | 第四届中国模式识别与计算机视觉大会（PRCV 2021）</x:v>
      </x:c>
      <x:c r="H305" s="17" t="str">
        <x:v>To be added</x:v>
      </x:c>
      <x:c r="I305" s="17" t="str">
        <x:v>人工智能前沿讲习</x:v>
      </x:c>
      <x:c r="J305" s="23" t="str">
        <x:v>Conference Talk / Forum</x:v>
      </x:c>
      <x:c r="K305" s="24" t="n">
        <x:v>254</x:v>
      </x:c>
      <x:c r="L305" s="16" t="str">
        <x:v>https://www.bilibili.com/video/BV1fa411b7wd</x:v>
      </x:c>
      <x:c r="M305" s="22" t="str">
        <x:v>Bilibili</x:v>
      </x:c>
      <x:c r="N305" s="25" t="n">
        <x:v>3120</x:v>
      </x:c>
      <x:c r="O305" s="23" t="str">
        <x:v>C | Community Selection</x:v>
      </x:c>
      <x:c r="P305" s="23" t="str">
        <x:v>Reserve</x:v>
      </x:c>
      <x:c r="Q305" s="23" t="str">
        <x:v>Verified</x:v>
      </x:c>
      <x:c r="R305" s="26" t="n">
        <x:v>46244</x:v>
      </x:c>
      <x:c r="S305" s="17" t="str">
        <x:v>Discovered through public Bilibili search; title, creator, and accessibility verified through the official video endpoint.</x:v>
      </x:c>
      <x:c r="T305" s="16" t="str">
        <x:v>BV1fa411b7wd</x:v>
      </x:c>
      <x:c r="U305" s="17" t="str"/>
      <x:c r="V305" s="151"/>
      <x:c r="W305" s="17" t="str"/>
    </x:row>
    <x:row r="306" ht="42" customHeight="1">
      <x:c r="A306" s="22" t="str">
        <x:v>ST-305</x:v>
      </x:c>
      <x:c r="B306" s="22" t="str">
        <x:v>Talk</x:v>
      </x:c>
      <x:c r="C306" s="22" t="str">
        <x:v>Vision</x:v>
      </x:c>
      <x:c r="D306" s="17" t="str">
        <x:v>Vision</x:v>
      </x:c>
      <x:c r="E306" s="17" t="str">
        <x:v>Large Language Models; Foundation Models; Industry Insights; Deep Learning; Neural Networks; Model Training</x:v>
      </x:c>
      <x:c r="F306" s="23" t="str">
        <x:v>Chinese</x:v>
      </x:c>
      <x:c r="G306" s="17" t="str">
        <x:v>20250910【大模型时代下的新型神经网络模型】程明明：从个性化生成到视觉统一模型</x:v>
      </x:c>
      <x:c r="H306" s="17" t="str">
        <x:v>大模型时代下的新型神经网络模型</x:v>
      </x:c>
      <x:c r="I306" s="17" t="str">
        <x:v>VALSE_Webinar</x:v>
      </x:c>
      <x:c r="J306" s="23" t="str">
        <x:v>Academic Talk</x:v>
      </x:c>
      <x:c r="K306" s="24" t="n">
        <x:v>36</x:v>
      </x:c>
      <x:c r="L306" s="16" t="str">
        <x:v>https://www.bilibili.com/video/BV1WqHezrEmr</x:v>
      </x:c>
      <x:c r="M306" s="22" t="str">
        <x:v>Bilibili</x:v>
      </x:c>
      <x:c r="N306" s="25" t="n">
        <x:v>2590</x:v>
      </x:c>
      <x:c r="O306" s="23" t="str">
        <x:v>A | Official / Original Creator / Organizer</x:v>
      </x:c>
      <x:c r="P306" s="23" t="str">
        <x:v>Core</x:v>
      </x:c>
      <x:c r="Q306" s="23" t="str">
        <x:v>Verified</x:v>
      </x:c>
      <x:c r="R306" s="26" t="n">
        <x:v>46244</x:v>
      </x:c>
      <x:c r="S306" s="17" t="str">
        <x:v>Discovered through public Bilibili search; title, creator, and accessibility verified through the official video endpoint.</x:v>
      </x:c>
      <x:c r="T306" s="16" t="str">
        <x:v>BV1WqHezrEmr</x:v>
      </x:c>
      <x:c r="U306" s="17" t="str"/>
      <x:c r="V306" s="151"/>
      <x:c r="W306" s="17" t="str"/>
    </x:row>
    <x:row r="307" ht="42" customHeight="1">
      <x:c r="A307" s="22" t="str">
        <x:v>ST-306</x:v>
      </x:c>
      <x:c r="B307" s="22" t="str">
        <x:v>Talk</x:v>
      </x:c>
      <x:c r="C307" s="22" t="str">
        <x:v>Vision</x:v>
      </x:c>
      <x:c r="D307" s="17" t="str">
        <x:v>Vision</x:v>
      </x:c>
      <x:c r="E307" s="17" t="str">
        <x:v>Large Language Models; Foundation Models; Industry Insights; Deep Learning; Neural Networks; Model Training</x:v>
      </x:c>
      <x:c r="F307" s="23" t="str">
        <x:v>Chinese</x:v>
      </x:c>
      <x:c r="G307" s="17" t="str">
        <x:v>20251210【高效视觉感知与理解】王语霖：受人类视觉系统启发的动态机器视觉模型</x:v>
      </x:c>
      <x:c r="H307" s="17" t="str">
        <x:v>高效视觉感知与理解</x:v>
      </x:c>
      <x:c r="I307" s="17" t="str">
        <x:v>VALSE_Webinar</x:v>
      </x:c>
      <x:c r="J307" s="23" t="str">
        <x:v>Academic Talk</x:v>
      </x:c>
      <x:c r="K307" s="24" t="n">
        <x:v>45</x:v>
      </x:c>
      <x:c r="L307" s="16" t="str">
        <x:v>https://www.bilibili.com/video/BV1tvqZBNEnV</x:v>
      </x:c>
      <x:c r="M307" s="22" t="str">
        <x:v>Bilibili</x:v>
      </x:c>
      <x:c r="N307" s="25" t="n">
        <x:v>2131</x:v>
      </x:c>
      <x:c r="O307" s="23" t="str">
        <x:v>A | Official / Original Creator / Organizer</x:v>
      </x:c>
      <x:c r="P307" s="23" t="str">
        <x:v>Core</x:v>
      </x:c>
      <x:c r="Q307" s="23" t="str">
        <x:v>Verified</x:v>
      </x:c>
      <x:c r="R307" s="26" t="n">
        <x:v>46244</x:v>
      </x:c>
      <x:c r="S307" s="17" t="str">
        <x:v>Discovered through public Bilibili search; title, creator, and accessibility verified through the official video endpoint.</x:v>
      </x:c>
      <x:c r="T307" s="16" t="str">
        <x:v>BV1tvqZBNEnV</x:v>
      </x:c>
      <x:c r="U307" s="17" t="str"/>
      <x:c r="V307" s="151"/>
      <x:c r="W307" s="17" t="str"/>
    </x:row>
    <x:row r="308" ht="42" customHeight="1">
      <x:c r="A308" s="22" t="str">
        <x:v>ST-307</x:v>
      </x:c>
      <x:c r="B308" s="22" t="str">
        <x:v>Talk</x:v>
      </x:c>
      <x:c r="C308" s="22" t="str">
        <x:v>Vision</x:v>
      </x:c>
      <x:c r="D308" s="17" t="str">
        <x:v>Vision</x:v>
      </x:c>
      <x:c r="E308" s="17" t="str">
        <x:v>AI for Science; Trustworthy AI; Content Detection; Safety</x:v>
      </x:c>
      <x:c r="F308" s="23" t="str">
        <x:v>Chinese</x:v>
      </x:c>
      <x:c r="G308" s="17" t="str">
        <x:v>20230721 VALSE Student Webinar【开放视觉感知】刘世隆：From Detection to Grounding: A Path……</x:v>
      </x:c>
      <x:c r="H308" s="17" t="str">
        <x:v>开放视觉感知</x:v>
      </x:c>
      <x:c r="I308" s="17" t="str">
        <x:v>VALSE_Webinar</x:v>
      </x:c>
      <x:c r="J308" s="23" t="str">
        <x:v>Academic Talk</x:v>
      </x:c>
      <x:c r="K308" s="24" t="n">
        <x:v>21</x:v>
      </x:c>
      <x:c r="L308" s="16" t="str">
        <x:v>https://www.bilibili.com/video/BV1T8411z7rp</x:v>
      </x:c>
      <x:c r="M308" s="22" t="str">
        <x:v>Bilibili</x:v>
      </x:c>
      <x:c r="N308" s="25" t="n">
        <x:v>1621</x:v>
      </x:c>
      <x:c r="O308" s="23" t="str">
        <x:v>A | Official / Original Creator / Organizer</x:v>
      </x:c>
      <x:c r="P308" s="23" t="str">
        <x:v>Core</x:v>
      </x:c>
      <x:c r="Q308" s="23" t="str">
        <x:v>Verified</x:v>
      </x:c>
      <x:c r="R308" s="26" t="n">
        <x:v>46244</x:v>
      </x:c>
      <x:c r="S308" s="17" t="str">
        <x:v>Discovered through public Bilibili search; title, creator, and accessibility verified through the official video endpoint.</x:v>
      </x:c>
      <x:c r="T308" s="16" t="str">
        <x:v>BV1T8411z7rp</x:v>
      </x:c>
      <x:c r="U308" s="17" t="str"/>
      <x:c r="V308" s="151"/>
      <x:c r="W308" s="17" t="str"/>
    </x:row>
    <x:row r="309" ht="42" customHeight="1">
      <x:c r="A309" s="22" t="str">
        <x:v>ST-308</x:v>
      </x:c>
      <x:c r="B309" s="22" t="str">
        <x:v>Talk</x:v>
      </x:c>
      <x:c r="C309" s="22" t="str">
        <x:v>Robotics</x:v>
      </x:c>
      <x:c r="D309" s="17" t="str">
        <x:v>Robotics</x:v>
      </x:c>
      <x:c r="E309" s="17" t="str">
        <x:v>Embodied AI; Robotics; World Models; Agents; Multi-Agent Systems</x:v>
      </x:c>
      <x:c r="F309" s="23" t="str">
        <x:v>Chinese</x:v>
      </x:c>
      <x:c r="G309" s="17" t="str">
        <x:v>2026北京智源大会丨具身智能与人形机器人</x:v>
      </x:c>
      <x:c r="H309" s="17" t="str">
        <x:v>To be added</x:v>
      </x:c>
      <x:c r="I309" s="17" t="str">
        <x:v>智源社区</x:v>
      </x:c>
      <x:c r="J309" s="23" t="str">
        <x:v>Conference Talk / Forum</x:v>
      </x:c>
      <x:c r="K309" s="24" t="n">
        <x:v>406</x:v>
      </x:c>
      <x:c r="L309" s="16" t="str">
        <x:v>https://www.bilibili.com/video/BV1onjq63EJ9</x:v>
      </x:c>
      <x:c r="M309" s="22" t="str">
        <x:v>Bilibili</x:v>
      </x:c>
      <x:c r="N309" s="25" t="n">
        <x:v>4753</x:v>
      </x:c>
      <x:c r="O309" s="23" t="str">
        <x:v>A | Official / Original Creator / Organizer</x:v>
      </x:c>
      <x:c r="P309" s="23" t="str">
        <x:v>Core</x:v>
      </x:c>
      <x:c r="Q309" s="23" t="str">
        <x:v>Verified</x:v>
      </x:c>
      <x:c r="R309" s="26" t="n">
        <x:v>46244</x:v>
      </x:c>
      <x:c r="S309" s="17" t="str">
        <x:v>Discovered through public Bilibili search; title, creator, and accessibility verified through the official video endpoint.</x:v>
      </x:c>
      <x:c r="T309" s="16" t="str">
        <x:v>BV1onjq63EJ9</x:v>
      </x:c>
      <x:c r="U309" s="17" t="str"/>
      <x:c r="V309" s="151"/>
      <x:c r="W309" s="17" t="str"/>
    </x:row>
    <x:row r="310" ht="42" customHeight="1">
      <x:c r="A310" s="22" t="str">
        <x:v>ST-309</x:v>
      </x:c>
      <x:c r="B310" s="22" t="str">
        <x:v>Talk</x:v>
      </x:c>
      <x:c r="C310" s="22" t="str">
        <x:v>Robotics</x:v>
      </x:c>
      <x:c r="D310" s="17" t="str">
        <x:v>Robotics</x:v>
      </x:c>
      <x:c r="E310" s="17" t="str">
        <x:v>Embodied AI; Robotics; World Models</x:v>
      </x:c>
      <x:c r="F310" s="23" t="str">
        <x:v>Chinese</x:v>
      </x:c>
      <x:c r="G310" s="17" t="str">
        <x:v>2025世界机器人大会</x:v>
      </x:c>
      <x:c r="H310" s="17" t="str">
        <x:v>To be added</x:v>
      </x:c>
      <x:c r="I310" s="17" t="str">
        <x:v>财安君</x:v>
      </x:c>
      <x:c r="J310" s="23" t="str">
        <x:v>Conference Talk / Forum</x:v>
      </x:c>
      <x:c r="K310" s="24" t="n">
        <x:v>1290</x:v>
      </x:c>
      <x:c r="L310" s="16" t="str">
        <x:v>https://www.bilibili.com/video/BV1PCbKzJEWk</x:v>
      </x:c>
      <x:c r="M310" s="22" t="str">
        <x:v>Bilibili</x:v>
      </x:c>
      <x:c r="N310" s="25" t="n">
        <x:v>8704</x:v>
      </x:c>
      <x:c r="O310" s="23" t="str">
        <x:v>C | Community Selection</x:v>
      </x:c>
      <x:c r="P310" s="23" t="str">
        <x:v>Reserve</x:v>
      </x:c>
      <x:c r="Q310" s="23" t="str">
        <x:v>Verified</x:v>
      </x:c>
      <x:c r="R310" s="26" t="n">
        <x:v>46244</x:v>
      </x:c>
      <x:c r="S310" s="17" t="str">
        <x:v>Discovered through public Bilibili search; title, creator, and accessibility verified through the official video endpoint.</x:v>
      </x:c>
      <x:c r="T310" s="16" t="str">
        <x:v>BV1PCbKzJEWk</x:v>
      </x:c>
      <x:c r="U310" s="17" t="str"/>
      <x:c r="V310" s="151"/>
      <x:c r="W310" s="17" t="str"/>
    </x:row>
    <x:row r="311" ht="42" customHeight="1">
      <x:c r="A311" s="22" t="str">
        <x:v>ST-310</x:v>
      </x:c>
      <x:c r="B311" s="22" t="str">
        <x:v>Talk</x:v>
      </x:c>
      <x:c r="C311" s="22" t="str">
        <x:v>Robotics</x:v>
      </x:c>
      <x:c r="D311" s="17" t="str">
        <x:v>Robotics</x:v>
      </x:c>
      <x:c r="E311" s="17" t="str">
        <x:v>Embodied AI; Robotics; World Models</x:v>
      </x:c>
      <x:c r="F311" s="23" t="str">
        <x:v>Chinese</x:v>
      </x:c>
      <x:c r="G311" s="17" t="str">
        <x:v>【直播回放】WAIC2026 迎接物理AI智能涌现，论坛全程回顾上线！</x:v>
      </x:c>
      <x:c r="H311" s="17" t="str">
        <x:v>To be added</x:v>
      </x:c>
      <x:c r="I311" s="17" t="str">
        <x:v>觅蜂科技</x:v>
      </x:c>
      <x:c r="J311" s="23" t="str">
        <x:v>Conference Talk / Forum</x:v>
      </x:c>
      <x:c r="K311" s="24" t="n">
        <x:v>179</x:v>
      </x:c>
      <x:c r="L311" s="16" t="str">
        <x:v>https://www.bilibili.com/video/BV1iVK26rECY</x:v>
      </x:c>
      <x:c r="M311" s="22" t="str">
        <x:v>Bilibili</x:v>
      </x:c>
      <x:c r="N311" s="25" t="n">
        <x:v>4732</x:v>
      </x:c>
      <x:c r="O311" s="23" t="str">
        <x:v>B | University / Conference / Institution</x:v>
      </x:c>
      <x:c r="P311" s="23" t="str">
        <x:v>Recommended</x:v>
      </x:c>
      <x:c r="Q311" s="23" t="str">
        <x:v>Verified</x:v>
      </x:c>
      <x:c r="R311" s="26" t="n">
        <x:v>46244</x:v>
      </x:c>
      <x:c r="S311" s="17" t="str">
        <x:v>Discovered through public Bilibili search; title, creator, and accessibility verified through the official video endpoint.</x:v>
      </x:c>
      <x:c r="T311" s="16" t="str">
        <x:v>BV1iVK26rECY</x:v>
      </x:c>
      <x:c r="U311" s="17" t="str"/>
      <x:c r="V311" s="151"/>
      <x:c r="W311" s="17" t="str"/>
    </x:row>
    <x:row r="312" ht="42" customHeight="1">
      <x:c r="A312" s="22" t="str">
        <x:v>ST-311</x:v>
      </x:c>
      <x:c r="B312" s="22" t="str">
        <x:v>Talk</x:v>
      </x:c>
      <x:c r="C312" s="22" t="str">
        <x:v>Robotics</x:v>
      </x:c>
      <x:c r="D312" s="17" t="str">
        <x:v>Robotics</x:v>
      </x:c>
      <x:c r="E312" s="17" t="str">
        <x:v>Embodied AI; Robotics; World Models; Large Language Models; Foundation Models; Industry Insights</x:v>
      </x:c>
      <x:c r="F312" s="23" t="str">
        <x:v>Chinese</x:v>
      </x:c>
      <x:c r="G312" s="17" t="str">
        <x:v>《第二界具身智能大会：政策解读&amp;具身智能15大重点方向发布&amp;具身智能白皮书发布会》</x:v>
      </x:c>
      <x:c r="H312" s="17" t="str">
        <x:v>To be added</x:v>
      </x:c>
      <x:c r="I312" s="17" t="str">
        <x:v>猫一碗cupcake</x:v>
      </x:c>
      <x:c r="J312" s="23" t="str">
        <x:v>Conference Talk / Forum</x:v>
      </x:c>
      <x:c r="K312" s="24" t="n">
        <x:v>45</x:v>
      </x:c>
      <x:c r="L312" s="16" t="str">
        <x:v>https://www.bilibili.com/video/BV1XLZ8Y4EoJ</x:v>
      </x:c>
      <x:c r="M312" s="22" t="str">
        <x:v>Bilibili</x:v>
      </x:c>
      <x:c r="N312" s="25" t="n">
        <x:v>1865</x:v>
      </x:c>
      <x:c r="O312" s="23" t="str">
        <x:v>C | Community Selection</x:v>
      </x:c>
      <x:c r="P312" s="23" t="str">
        <x:v>Reserve</x:v>
      </x:c>
      <x:c r="Q312" s="23" t="str">
        <x:v>Verified</x:v>
      </x:c>
      <x:c r="R312" s="26" t="n">
        <x:v>46244</x:v>
      </x:c>
      <x:c r="S312" s="17" t="str">
        <x:v>Discovered through public Bilibili search; title, creator, and accessibility verified through the official video endpoint.</x:v>
      </x:c>
      <x:c r="T312" s="16" t="str">
        <x:v>BV1XLZ8Y4EoJ</x:v>
      </x:c>
      <x:c r="U312" s="17" t="str"/>
      <x:c r="V312" s="151"/>
      <x:c r="W312" s="17" t="str"/>
    </x:row>
    <x:row r="313" ht="42" customHeight="1">
      <x:c r="A313" s="22" t="str">
        <x:v>ST-312</x:v>
      </x:c>
      <x:c r="B313" s="22" t="str">
        <x:v>Talk</x:v>
      </x:c>
      <x:c r="C313" s="22" t="str">
        <x:v>Robotics</x:v>
      </x:c>
      <x:c r="D313" s="17" t="str">
        <x:v>Robotics</x:v>
      </x:c>
      <x:c r="E313" s="17" t="str">
        <x:v>Embodied AI; Robotics; World Models</x:v>
      </x:c>
      <x:c r="F313" s="23" t="str">
        <x:v>Chinese</x:v>
      </x:c>
      <x:c r="G313" s="17" t="str">
        <x:v>【第四届中国机器人学术年会】交流&amp;讨论 谷国迎 刘英想 丁亮 高飞 谢福贵 顶刊论坛</x:v>
      </x:c>
      <x:c r="H313" s="17" t="str">
        <x:v>第四届中国机器人学术年会</x:v>
      </x:c>
      <x:c r="I313" s="17" t="str">
        <x:v>學不董Gavin</x:v>
      </x:c>
      <x:c r="J313" s="23" t="str">
        <x:v>Conference Talk / Forum</x:v>
      </x:c>
      <x:c r="K313" s="24" t="n">
        <x:v>60</x:v>
      </x:c>
      <x:c r="L313" s="16" t="str">
        <x:v>https://www.bilibili.com/video/BV18N411U74U</x:v>
      </x:c>
      <x:c r="M313" s="22" t="str">
        <x:v>Bilibili</x:v>
      </x:c>
      <x:c r="N313" s="25" t="n">
        <x:v>1204</x:v>
      </x:c>
      <x:c r="O313" s="23" t="str">
        <x:v>B | University / Conference / Institution</x:v>
      </x:c>
      <x:c r="P313" s="23" t="str">
        <x:v>Recommended</x:v>
      </x:c>
      <x:c r="Q313" s="23" t="str">
        <x:v>Verified</x:v>
      </x:c>
      <x:c r="R313" s="26" t="n">
        <x:v>46244</x:v>
      </x:c>
      <x:c r="S313" s="17" t="str">
        <x:v>Discovered through public Bilibili search; title, creator, and accessibility verified through the official video endpoint.</x:v>
      </x:c>
      <x:c r="T313" s="16" t="str">
        <x:v>BV18N411U74U</x:v>
      </x:c>
      <x:c r="U313" s="17" t="str"/>
      <x:c r="V313" s="151"/>
      <x:c r="W313" s="17" t="str"/>
    </x:row>
    <x:row r="314" ht="42" customHeight="1">
      <x:c r="A314" s="22" t="str">
        <x:v>ST-313</x:v>
      </x:c>
      <x:c r="B314" s="22" t="str">
        <x:v>Talk</x:v>
      </x:c>
      <x:c r="C314" s="22" t="str">
        <x:v>Robotics</x:v>
      </x:c>
      <x:c r="D314" s="17" t="str">
        <x:v>Robotics</x:v>
      </x:c>
      <x:c r="E314" s="17" t="str">
        <x:v>Embodied AI; Robotics; World Models</x:v>
      </x:c>
      <x:c r="F314" s="23" t="str">
        <x:v>Chinese</x:v>
      </x:c>
      <x:c r="G314" s="17" t="str">
        <x:v>【青稞Talk 144期】从 端到端 VLA 到 Harness VLA：面向具身智能与机器人操作任务的记忆增强式执行框架</x:v>
      </x:c>
      <x:c r="H314" s="17" t="str">
        <x:v>青稞Talk 144期</x:v>
      </x:c>
      <x:c r="I314" s="17" t="str">
        <x:v>青稞社区</x:v>
      </x:c>
      <x:c r="J314" s="23" t="str">
        <x:v>Academic Talk</x:v>
      </x:c>
      <x:c r="K314" s="24" t="n">
        <x:v>78</x:v>
      </x:c>
      <x:c r="L314" s="16" t="str">
        <x:v>https://www.bilibili.com/video/BV1HNu26ZEbe</x:v>
      </x:c>
      <x:c r="M314" s="22" t="str">
        <x:v>Bilibili</x:v>
      </x:c>
      <x:c r="N314" s="25" t="n">
        <x:v>534</x:v>
      </x:c>
      <x:c r="O314" s="23" t="str">
        <x:v>C | Community Selection</x:v>
      </x:c>
      <x:c r="P314" s="23" t="str">
        <x:v>Reserve</x:v>
      </x:c>
      <x:c r="Q314" s="23" t="str">
        <x:v>Verified</x:v>
      </x:c>
      <x:c r="R314" s="26" t="n">
        <x:v>46244</x:v>
      </x:c>
      <x:c r="S314" s="17" t="str">
        <x:v>Discovered through public Bilibili search; title, creator, and accessibility verified through the official video endpoint.</x:v>
      </x:c>
      <x:c r="T314" s="16" t="str">
        <x:v>BV1HNu26ZEbe</x:v>
      </x:c>
      <x:c r="U314" s="17" t="str"/>
      <x:c r="V314" s="151"/>
      <x:c r="W314" s="17" t="str"/>
    </x:row>
    <x:row r="315" ht="42" customHeight="1">
      <x:c r="A315" s="22" t="str">
        <x:v>ST-314</x:v>
      </x:c>
      <x:c r="B315" s="22" t="str">
        <x:v>Talk</x:v>
      </x:c>
      <x:c r="C315" s="22" t="str">
        <x:v>Robotics</x:v>
      </x:c>
      <x:c r="D315" s="17" t="str">
        <x:v>Robotics</x:v>
      </x:c>
      <x:c r="E315" s="17" t="str">
        <x:v>Embodied AI; Robotics; World Models</x:v>
      </x:c>
      <x:c r="F315" s="23" t="str">
        <x:v>Chinese</x:v>
      </x:c>
      <x:c r="G315" s="17" t="str">
        <x:v>北京航空航天大学牛建伟教授：学术报告 | 具身智能机器人操作系统思考与实践</x:v>
      </x:c>
      <x:c r="H315" s="17" t="str">
        <x:v>To be added</x:v>
      </x:c>
      <x:c r="I315" s="17" t="str">
        <x:v>MDPI开放科学</x:v>
      </x:c>
      <x:c r="J315" s="23" t="str">
        <x:v>Academic Talk</x:v>
      </x:c>
      <x:c r="K315" s="24" t="n">
        <x:v>43</x:v>
      </x:c>
      <x:c r="L315" s="16" t="str">
        <x:v>https://www.bilibili.com/video/BV11S7Bz5E2c</x:v>
      </x:c>
      <x:c r="M315" s="22" t="str">
        <x:v>Bilibili</x:v>
      </x:c>
      <x:c r="N315" s="25" t="n">
        <x:v>428</x:v>
      </x:c>
      <x:c r="O315" s="23" t="str">
        <x:v>A | Official / Original Creator / Organizer</x:v>
      </x:c>
      <x:c r="P315" s="23" t="str">
        <x:v>Core</x:v>
      </x:c>
      <x:c r="Q315" s="23" t="str">
        <x:v>Verified</x:v>
      </x:c>
      <x:c r="R315" s="26" t="n">
        <x:v>46244</x:v>
      </x:c>
      <x:c r="S315" s="17" t="str">
        <x:v>Discovered through public Bilibili search; title, creator, and accessibility verified through the official video endpoint.</x:v>
      </x:c>
      <x:c r="T315" s="16" t="str">
        <x:v>BV11S7Bz5E2c</x:v>
      </x:c>
      <x:c r="U315" s="17" t="str"/>
      <x:c r="V315" s="151"/>
      <x:c r="W315" s="17" t="str"/>
    </x:row>
    <x:row r="316" ht="42" customHeight="1">
      <x:c r="A316" s="22" t="str">
        <x:v>ST-315</x:v>
      </x:c>
      <x:c r="B316" s="22" t="str">
        <x:v>Talk</x:v>
      </x:c>
      <x:c r="C316" s="22" t="str">
        <x:v>Robotics</x:v>
      </x:c>
      <x:c r="D316" s="17" t="str">
        <x:v>Robotics</x:v>
      </x:c>
      <x:c r="E316" s="17" t="str">
        <x:v>Embodied AI; Robotics; World Models</x:v>
      </x:c>
      <x:c r="F316" s="23" t="str">
        <x:v>Chinese</x:v>
      </x:c>
      <x:c r="G316" s="17" t="str">
        <x:v>【青稞Talk 143期】新一代具身智能数据范式ACE-Data-0：以人为中心的环境式采集构建具身数据引擎</x:v>
      </x:c>
      <x:c r="H316" s="17" t="str">
        <x:v>青稞Talk 143期</x:v>
      </x:c>
      <x:c r="I316" s="17" t="str">
        <x:v>青稞社区</x:v>
      </x:c>
      <x:c r="J316" s="23" t="str">
        <x:v>Academic Talk</x:v>
      </x:c>
      <x:c r="K316" s="24" t="n">
        <x:v>82</x:v>
      </x:c>
      <x:c r="L316" s="16" t="str">
        <x:v>https://www.bilibili.com/video/BV1MEu46EEH5</x:v>
      </x:c>
      <x:c r="M316" s="22" t="str">
        <x:v>Bilibili</x:v>
      </x:c>
      <x:c r="N316" s="25" t="n">
        <x:v>389</x:v>
      </x:c>
      <x:c r="O316" s="23" t="str">
        <x:v>C | Community Selection</x:v>
      </x:c>
      <x:c r="P316" s="23" t="str">
        <x:v>Reserve</x:v>
      </x:c>
      <x:c r="Q316" s="23" t="str">
        <x:v>Verified</x:v>
      </x:c>
      <x:c r="R316" s="26" t="n">
        <x:v>46244</x:v>
      </x:c>
      <x:c r="S316" s="17" t="str">
        <x:v>Discovered through public Bilibili search; title, creator, and accessibility verified through the official video endpoint.</x:v>
      </x:c>
      <x:c r="T316" s="16" t="str">
        <x:v>BV1MEu46EEH5</x:v>
      </x:c>
      <x:c r="U316" s="17" t="str"/>
      <x:c r="V316" s="151"/>
      <x:c r="W316" s="17" t="str"/>
    </x:row>
    <x:row r="317" ht="42" customHeight="1">
      <x:c r="A317" s="22" t="str">
        <x:v>ST-316</x:v>
      </x:c>
      <x:c r="B317" s="22" t="str">
        <x:v>Interview</x:v>
      </x:c>
      <x:c r="C317" s="22" t="str">
        <x:v>Agent</x:v>
      </x:c>
      <x:c r="D317" s="17" t="str">
        <x:v>Agents</x:v>
      </x:c>
      <x:c r="E317" s="17" t="str">
        <x:v>Agents; Multi-Agent Systems</x:v>
      </x:c>
      <x:c r="F317" s="23" t="str">
        <x:v>English</x:v>
      </x:c>
      <x:c r="G317" s="17" t="str">
        <x:v>OpenClaw: The Viral AI Agent that Broke the Internet - Peter Steinberger | Lex Fridman Podcast #491</x:v>
      </x:c>
      <x:c r="H317" s="17" t="str">
        <x:v>To be added</x:v>
      </x:c>
      <x:c r="I317" s="17" t="str">
        <x:v>Lex Fridman</x:v>
      </x:c>
      <x:c r="J317" s="23" t="str">
        <x:v>Profile Interview</x:v>
      </x:c>
      <x:c r="K317" s="24" t="n">
        <x:v>196</x:v>
      </x:c>
      <x:c r="L317" s="16" t="str">
        <x:v>https://www.youtube.com/watch?v=YFjfBk8HI5o</x:v>
      </x:c>
      <x:c r="M317" s="22" t="str">
        <x:v>YouTube</x:v>
      </x:c>
      <x:c r="N317" s="25" t="n">
        <x:v>1320814</x:v>
      </x:c>
      <x:c r="O317" s="23" t="str">
        <x:v>A | Official / Original Creator / Organizer</x:v>
      </x:c>
      <x:c r="P317" s="23" t="str">
        <x:v>Core</x:v>
      </x:c>
      <x:c r="Q317" s="23" t="str">
        <x:v>Verified</x:v>
      </x:c>
      <x:c r="R317" s="26" t="n">
        <x:v>46244</x:v>
      </x:c>
      <x:c r="S317" s="17" t="str">
        <x:v>Targeted addition for the four priority areas; public YouTube result verified as accessible.</x:v>
      </x:c>
      <x:c r="T317" s="16" t="str">
        <x:v>YFjfBk8HI5o</x:v>
      </x:c>
      <x:c r="U317" s="17" t="str">
        <x:v>Lex Fridman Podcast</x:v>
      </x:c>
      <x:c r="V317" s="151" t="n">
        <x:v>20260212</x:v>
      </x:c>
      <x:c r="W317" s="17" t="str">
        <x:v>lex-fridman-podcast</x:v>
      </x:c>
    </x:row>
    <x:row r="318" ht="42" customHeight="1">
      <x:c r="A318" s="22" t="str">
        <x:v>ST-317</x:v>
      </x:c>
      <x:c r="B318" s="22" t="str">
        <x:v>Interview</x:v>
      </x:c>
      <x:c r="C318" s="22" t="str">
        <x:v>Agent</x:v>
      </x:c>
      <x:c r="D318" s="17" t="str">
        <x:v>Agents</x:v>
      </x:c>
      <x:c r="E318" s="17" t="str">
        <x:v>Agents; Multi-Agent Systems; Large Language Models; Foundation Models; Industry Insights</x:v>
      </x:c>
      <x:c r="F318" s="23" t="str">
        <x:v>English</x:v>
      </x:c>
      <x:c r="G318" s="17" t="str">
        <x:v>State of AI in 2026: LLMs, Coding, Scaling Laws, China, Agents, GPUs, AGI | Lex Fridman Podcast #490</x:v>
      </x:c>
      <x:c r="H318" s="17" t="str">
        <x:v>To be added</x:v>
      </x:c>
      <x:c r="I318" s="17" t="str">
        <x:v>Lex Fridman</x:v>
      </x:c>
      <x:c r="J318" s="23" t="str">
        <x:v>Profile Interview</x:v>
      </x:c>
      <x:c r="K318" s="24" t="n">
        <x:v>265</x:v>
      </x:c>
      <x:c r="L318" s="16" t="str">
        <x:v>https://www.youtube.com/watch?v=EV7WhVT270Q</x:v>
      </x:c>
      <x:c r="M318" s="22" t="str">
        <x:v>YouTube</x:v>
      </x:c>
      <x:c r="N318" s="25" t="n">
        <x:v>904182</x:v>
      </x:c>
      <x:c r="O318" s="23" t="str">
        <x:v>A | Official / Original Creator / Organizer</x:v>
      </x:c>
      <x:c r="P318" s="23" t="str">
        <x:v>Core</x:v>
      </x:c>
      <x:c r="Q318" s="23" t="str">
        <x:v>Verified</x:v>
      </x:c>
      <x:c r="R318" s="26" t="n">
        <x:v>46244</x:v>
      </x:c>
      <x:c r="S318" s="17" t="str">
        <x:v>Targeted addition for the four priority areas; public YouTube result verified as accessible.</x:v>
      </x:c>
      <x:c r="T318" s="16" t="str">
        <x:v>EV7WhVT270Q</x:v>
      </x:c>
      <x:c r="U318" s="17" t="str">
        <x:v>Lex Fridman Podcast</x:v>
      </x:c>
      <x:c r="V318" s="151" t="n">
        <x:v>20260131</x:v>
      </x:c>
      <x:c r="W318" s="17" t="str">
        <x:v>lex-fridman-podcast</x:v>
      </x:c>
    </x:row>
    <x:row r="319" ht="42" customHeight="1">
      <x:c r="A319" s="22" t="str">
        <x:v>ST-318</x:v>
      </x:c>
      <x:c r="B319" s="22" t="str">
        <x:v>Interview</x:v>
      </x:c>
      <x:c r="C319" s="22" t="str">
        <x:v>Agent</x:v>
      </x:c>
      <x:c r="D319" s="17" t="str">
        <x:v>Agents</x:v>
      </x:c>
      <x:c r="E319" s="17" t="str">
        <x:v>Agents; Multi-Agent Systems</x:v>
      </x:c>
      <x:c r="F319" s="23" t="str">
        <x:v>English</x:v>
      </x:c>
      <x:c r="G319" s="17" t="str">
        <x:v>How Agentic AI Is Rewriting Modern Marketing | Ravi Shankar | Ctrl Alt Podcast</x:v>
      </x:c>
      <x:c r="H319" s="17" t="str">
        <x:v>To be added</x:v>
      </x:c>
      <x:c r="I319" s="17" t="str">
        <x:v>Ctrl Alt Podcast With Vida Patil</x:v>
      </x:c>
      <x:c r="J319" s="23" t="str">
        <x:v>Profile Interview</x:v>
      </x:c>
      <x:c r="K319" s="24" t="n">
        <x:v>47</x:v>
      </x:c>
      <x:c r="L319" s="16" t="str">
        <x:v>https://www.youtube.com/watch?v=JdkCeiNF4d4</x:v>
      </x:c>
      <x:c r="M319" s="22" t="str">
        <x:v>YouTube</x:v>
      </x:c>
      <x:c r="N319" s="25" t="n">
        <x:v>3236</x:v>
      </x:c>
      <x:c r="O319" s="23" t="str">
        <x:v>C | Community Selection</x:v>
      </x:c>
      <x:c r="P319" s="23" t="str">
        <x:v>Reserve</x:v>
      </x:c>
      <x:c r="Q319" s="23" t="str">
        <x:v>Verified</x:v>
      </x:c>
      <x:c r="R319" s="26" t="n">
        <x:v>46244</x:v>
      </x:c>
      <x:c r="S319" s="17" t="str">
        <x:v>Targeted addition for the four priority areas; public YouTube result verified as accessible.</x:v>
      </x:c>
      <x:c r="T319" s="16" t="str">
        <x:v>JdkCeiNF4d4</x:v>
      </x:c>
      <x:c r="U319" s="17" t="str"/>
      <x:c r="V319" s="151"/>
      <x:c r="W319" s="17" t="str"/>
    </x:row>
    <x:row r="320" ht="42" customHeight="1">
      <x:c r="A320" s="22" t="str">
        <x:v>ST-319</x:v>
      </x:c>
      <x:c r="B320" s="22" t="str">
        <x:v>Interview</x:v>
      </x:c>
      <x:c r="C320" s="22" t="str">
        <x:v>Agent</x:v>
      </x:c>
      <x:c r="D320" s="17" t="str">
        <x:v>Agents</x:v>
      </x:c>
      <x:c r="E320" s="17" t="str">
        <x:v>Agents; Multi-Agent Systems</x:v>
      </x:c>
      <x:c r="F320" s="23" t="str">
        <x:v>English</x:v>
      </x:c>
      <x:c r="G320" s="17" t="str">
        <x:v>Fireside Chat on AI Agents — Michele Catasta &amp; Shunyu Yao</x:v>
      </x:c>
      <x:c r="H320" s="17" t="str">
        <x:v>To be added</x:v>
      </x:c>
      <x:c r="I320" s="17" t="str">
        <x:v>The Curve</x:v>
      </x:c>
      <x:c r="J320" s="23" t="str">
        <x:v>Profile Interview</x:v>
      </x:c>
      <x:c r="K320" s="24" t="n">
        <x:v>52</x:v>
      </x:c>
      <x:c r="L320" s="16" t="str">
        <x:v>https://www.youtube.com/watch?v=RnA5AkTW4p4</x:v>
      </x:c>
      <x:c r="M320" s="22" t="str">
        <x:v>YouTube</x:v>
      </x:c>
      <x:c r="N320" s="25" t="n">
        <x:v>821</x:v>
      </x:c>
      <x:c r="O320" s="23" t="str">
        <x:v>C | Community Selection</x:v>
      </x:c>
      <x:c r="P320" s="23" t="str">
        <x:v>Reserve</x:v>
      </x:c>
      <x:c r="Q320" s="23" t="str">
        <x:v>Verified</x:v>
      </x:c>
      <x:c r="R320" s="26" t="n">
        <x:v>46244</x:v>
      </x:c>
      <x:c r="S320" s="17" t="str">
        <x:v>Targeted addition for the four priority areas; public YouTube result verified as accessible.</x:v>
      </x:c>
      <x:c r="T320" s="16" t="str">
        <x:v>RnA5AkTW4p4</x:v>
      </x:c>
      <x:c r="U320" s="17" t="str"/>
      <x:c r="V320" s="151"/>
      <x:c r="W320" s="17" t="str"/>
    </x:row>
    <x:row r="321" ht="42" customHeight="1">
      <x:c r="A321" s="22" t="str">
        <x:v>ST-320</x:v>
      </x:c>
      <x:c r="B321" s="22" t="str">
        <x:v>Interview</x:v>
      </x:c>
      <x:c r="C321" s="22" t="str">
        <x:v>Vision</x:v>
      </x:c>
      <x:c r="D321" s="17" t="str">
        <x:v>Vision</x:v>
      </x:c>
      <x:c r="E321" s="17" t="str">
        <x:v>AI for Science; Reinforcement Learning; Policy Optimization</x:v>
      </x:c>
      <x:c r="F321" s="23" t="str">
        <x:v>English</x:v>
      </x:c>
      <x:c r="G321" s="17" t="str">
        <x:v>Ishan Misra: Self-Supervised Deep Learning in Computer Vision | Lex Fridman Podcast #206</x:v>
      </x:c>
      <x:c r="H321" s="17" t="str">
        <x:v>To be added</x:v>
      </x:c>
      <x:c r="I321" s="17" t="str">
        <x:v>Lex Fridman</x:v>
      </x:c>
      <x:c r="J321" s="23" t="str">
        <x:v>Profile Interview</x:v>
      </x:c>
      <x:c r="K321" s="24" t="n">
        <x:v>151</x:v>
      </x:c>
      <x:c r="L321" s="16" t="str">
        <x:v>https://www.youtube.com/watch?v=FUS6ceIvUnI</x:v>
      </x:c>
      <x:c r="M321" s="22" t="str">
        <x:v>YouTube</x:v>
      </x:c>
      <x:c r="N321" s="25" t="n">
        <x:v>140243</x:v>
      </x:c>
      <x:c r="O321" s="23" t="str">
        <x:v>A | Official / Original Creator / Organizer</x:v>
      </x:c>
      <x:c r="P321" s="23" t="str">
        <x:v>Core</x:v>
      </x:c>
      <x:c r="Q321" s="23" t="str">
        <x:v>Verified</x:v>
      </x:c>
      <x:c r="R321" s="26" t="n">
        <x:v>46244</x:v>
      </x:c>
      <x:c r="S321" s="17" t="str">
        <x:v>Targeted addition for the four priority areas; public YouTube result verified as accessible.</x:v>
      </x:c>
      <x:c r="T321" s="16" t="str">
        <x:v>FUS6ceIvUnI</x:v>
      </x:c>
      <x:c r="U321" s="17" t="str">
        <x:v>Lex Fridman Podcast</x:v>
      </x:c>
      <x:c r="V321" s="151" t="n">
        <x:v>20210731</x:v>
      </x:c>
      <x:c r="W321" s="17" t="str">
        <x:v>lex-fridman-podcast</x:v>
      </x:c>
    </x:row>
    <x:row r="322" ht="42" customHeight="1">
      <x:c r="A322" s="22" t="str">
        <x:v>ST-321</x:v>
      </x:c>
      <x:c r="B322" s="22" t="str">
        <x:v>Interview</x:v>
      </x:c>
      <x:c r="C322" s="22" t="str">
        <x:v>Vision</x:v>
      </x:c>
      <x:c r="D322" s="17" t="str">
        <x:v>Vision</x:v>
      </x:c>
      <x:c r="E322" s="17" t="str">
        <x:v>Vision</x:v>
      </x:c>
      <x:c r="F322" s="23" t="str">
        <x:v>English</x:v>
      </x:c>
      <x:c r="G322" s="17" t="str">
        <x:v>Jitendra Malik: Computer Vision | Lex Fridman Podcast #110</x:v>
      </x:c>
      <x:c r="H322" s="17" t="str">
        <x:v>To be added</x:v>
      </x:c>
      <x:c r="I322" s="17" t="str">
        <x:v>Lex Fridman</x:v>
      </x:c>
      <x:c r="J322" s="23" t="str">
        <x:v>Profile Interview</x:v>
      </x:c>
      <x:c r="K322" s="24" t="n">
        <x:v>102</x:v>
      </x:c>
      <x:c r="L322" s="16" t="str">
        <x:v>https://www.youtube.com/watch?v=LRYkH-fAVGE</x:v>
      </x:c>
      <x:c r="M322" s="22" t="str">
        <x:v>YouTube</x:v>
      </x:c>
      <x:c r="N322" s="25" t="n">
        <x:v>73747</x:v>
      </x:c>
      <x:c r="O322" s="23" t="str">
        <x:v>A | Official / Original Creator / Organizer</x:v>
      </x:c>
      <x:c r="P322" s="23" t="str">
        <x:v>Core</x:v>
      </x:c>
      <x:c r="Q322" s="23" t="str">
        <x:v>Verified</x:v>
      </x:c>
      <x:c r="R322" s="26" t="n">
        <x:v>46244</x:v>
      </x:c>
      <x:c r="S322" s="17" t="str">
        <x:v>Targeted addition for the four priority areas; public YouTube result verified as accessible.</x:v>
      </x:c>
      <x:c r="T322" s="16" t="str">
        <x:v>LRYkH-fAVGE</x:v>
      </x:c>
      <x:c r="U322" s="17" t="str">
        <x:v>Lex Fridman Podcast</x:v>
      </x:c>
      <x:c r="V322" s="151" t="n">
        <x:v>20200721</x:v>
      </x:c>
      <x:c r="W322" s="17" t="str">
        <x:v>lex-fridman-podcast</x:v>
      </x:c>
    </x:row>
    <x:row r="323" ht="42" customHeight="1">
      <x:c r="A323" s="22" t="str">
        <x:v>ST-322</x:v>
      </x:c>
      <x:c r="B323" s="22" t="str">
        <x:v>Interview</x:v>
      </x:c>
      <x:c r="C323" s="22" t="str">
        <x:v>Vision</x:v>
      </x:c>
      <x:c r="D323" s="17" t="str">
        <x:v>Vision</x:v>
      </x:c>
      <x:c r="E323" s="17" t="str">
        <x:v>AI for Science</x:v>
      </x:c>
      <x:c r="F323" s="23" t="str">
        <x:v>English</x:v>
      </x:c>
      <x:c r="G323" s="17" t="str">
        <x:v>Interview with Dmytro Mishkin | Computer Vision Research | Kaggle, ML &amp; Education</x:v>
      </x:c>
      <x:c r="H323" s="17" t="str">
        <x:v>To be added</x:v>
      </x:c>
      <x:c r="I323" s="17" t="str">
        <x:v>Chai Time Data Science</x:v>
      </x:c>
      <x:c r="J323" s="23" t="str">
        <x:v>Profile Interview</x:v>
      </x:c>
      <x:c r="K323" s="24" t="n">
        <x:v>53</x:v>
      </x:c>
      <x:c r="L323" s="16" t="str">
        <x:v>https://www.youtube.com/watch?v=lWwkbiufwNE</x:v>
      </x:c>
      <x:c r="M323" s="22" t="str">
        <x:v>YouTube</x:v>
      </x:c>
      <x:c r="N323" s="25" t="n">
        <x:v>10163</x:v>
      </x:c>
      <x:c r="O323" s="23" t="str">
        <x:v>C | Community Selection</x:v>
      </x:c>
      <x:c r="P323" s="23" t="str">
        <x:v>Reserve</x:v>
      </x:c>
      <x:c r="Q323" s="23" t="str">
        <x:v>Verified</x:v>
      </x:c>
      <x:c r="R323" s="26" t="n">
        <x:v>46244</x:v>
      </x:c>
      <x:c r="S323" s="17" t="str">
        <x:v>Targeted addition for the four priority areas; public YouTube result verified as accessible.</x:v>
      </x:c>
      <x:c r="T323" s="16" t="str">
        <x:v>lWwkbiufwNE</x:v>
      </x:c>
      <x:c r="U323" s="17" t="str"/>
      <x:c r="V323" s="151"/>
      <x:c r="W323" s="17" t="str"/>
    </x:row>
    <x:row r="324" ht="42" customHeight="1">
      <x:c r="A324" s="22" t="str">
        <x:v>ST-323</x:v>
      </x:c>
      <x:c r="B324" s="22" t="str">
        <x:v>Interview</x:v>
      </x:c>
      <x:c r="C324" s="22" t="str">
        <x:v>Robotics</x:v>
      </x:c>
      <x:c r="D324" s="17" t="str">
        <x:v>Robotics</x:v>
      </x:c>
      <x:c r="E324" s="17" t="str">
        <x:v>Robotics</x:v>
      </x:c>
      <x:c r="F324" s="23" t="str">
        <x:v>English</x:v>
      </x:c>
      <x:c r="G324" s="17" t="str">
        <x:v>Interview: The Future of AI and Us | Particles of Thought</x:v>
      </x:c>
      <x:c r="H324" s="17" t="str">
        <x:v>To be added</x:v>
      </x:c>
      <x:c r="I324" s="17" t="str">
        <x:v>NOVA PBS Official</x:v>
      </x:c>
      <x:c r="J324" s="23" t="str">
        <x:v>Profile Interview</x:v>
      </x:c>
      <x:c r="K324" s="24" t="n">
        <x:v>69</x:v>
      </x:c>
      <x:c r="L324" s="16" t="str">
        <x:v>https://www.youtube.com/watch?v=rb4eOv5etkA</x:v>
      </x:c>
      <x:c r="M324" s="22" t="str">
        <x:v>YouTube</x:v>
      </x:c>
      <x:c r="N324" s="25" t="n">
        <x:v>7069</x:v>
      </x:c>
      <x:c r="O324" s="23" t="str">
        <x:v>A | Official / Original Creator / Organizer</x:v>
      </x:c>
      <x:c r="P324" s="23" t="str">
        <x:v>Core</x:v>
      </x:c>
      <x:c r="Q324" s="23" t="str">
        <x:v>Verified</x:v>
      </x:c>
      <x:c r="R324" s="26" t="n">
        <x:v>46244</x:v>
      </x:c>
      <x:c r="S324" s="17" t="str">
        <x:v>Targeted addition for the four priority areas; public YouTube result verified as accessible.</x:v>
      </x:c>
      <x:c r="T324" s="16" t="str">
        <x:v>rb4eOv5etkA</x:v>
      </x:c>
      <x:c r="U324" s="17" t="str"/>
      <x:c r="V324" s="151"/>
      <x:c r="W324" s="17" t="str"/>
    </x:row>
    <x:row r="325" ht="42" customHeight="1">
      <x:c r="A325" s="22" t="str">
        <x:v>ST-324</x:v>
      </x:c>
      <x:c r="B325" s="22" t="str">
        <x:v>Interview</x:v>
      </x:c>
      <x:c r="C325" s="22" t="str">
        <x:v>Robotics</x:v>
      </x:c>
      <x:c r="D325" s="17" t="str">
        <x:v>Robotics</x:v>
      </x:c>
      <x:c r="E325" s="17" t="str">
        <x:v>Robotics</x:v>
      </x:c>
      <x:c r="F325" s="23" t="str">
        <x:v>English</x:v>
      </x:c>
      <x:c r="G325" s="17" t="str">
        <x:v>China’s Embodied AI: A Conversation with William Hannas and Hugh Grant-Chapman</x:v>
      </x:c>
      <x:c r="H325" s="17" t="str">
        <x:v>To be added</x:v>
      </x:c>
      <x:c r="I325" s="17" t="str">
        <x:v>Center for Strategic &amp; International Studies</x:v>
      </x:c>
      <x:c r="J325" s="23" t="str">
        <x:v>Profile Interview</x:v>
      </x:c>
      <x:c r="K325" s="24" t="n">
        <x:v>36</x:v>
      </x:c>
      <x:c r="L325" s="16" t="str">
        <x:v>https://www.youtube.com/watch?v=LpxVsOLkSR8</x:v>
      </x:c>
      <x:c r="M325" s="22" t="str">
        <x:v>YouTube</x:v>
      </x:c>
      <x:c r="N325" s="25" t="n">
        <x:v>3313</x:v>
      </x:c>
      <x:c r="O325" s="23" t="str">
        <x:v>A | Official / Original Creator / Organizer</x:v>
      </x:c>
      <x:c r="P325" s="23" t="str">
        <x:v>Core</x:v>
      </x:c>
      <x:c r="Q325" s="23" t="str">
        <x:v>Verified</x:v>
      </x:c>
      <x:c r="R325" s="26" t="n">
        <x:v>46244</x:v>
      </x:c>
      <x:c r="S325" s="17" t="str">
        <x:v>Targeted addition for the four priority areas; public YouTube result verified as accessible.</x:v>
      </x:c>
      <x:c r="T325" s="16" t="str">
        <x:v>LpxVsOLkSR8</x:v>
      </x:c>
      <x:c r="U325" s="17" t="str"/>
      <x:c r="V325" s="151"/>
      <x:c r="W325" s="17" t="str"/>
    </x:row>
    <x:row r="326" ht="42" customHeight="1">
      <x:c r="A326" s="22" t="str">
        <x:v>ST-325</x:v>
      </x:c>
      <x:c r="B326" s="22" t="str">
        <x:v>Interview</x:v>
      </x:c>
      <x:c r="C326" s="22" t="str">
        <x:v>Robotics</x:v>
      </x:c>
      <x:c r="D326" s="17" t="str">
        <x:v>Robotics</x:v>
      </x:c>
      <x:c r="E326" s="17" t="str">
        <x:v>Robotics</x:v>
      </x:c>
      <x:c r="F326" s="23" t="str">
        <x:v>English</x:v>
      </x:c>
      <x:c r="G326" s="17" t="str">
        <x:v>The Rise of Humanoid Robots and Physical AI - RoboStrategy CEO Andrew Kang on the Pomp Podcast</x:v>
      </x:c>
      <x:c r="H326" s="17" t="str">
        <x:v>To be added</x:v>
      </x:c>
      <x:c r="I326" s="17" t="str">
        <x:v>RoboStrategy</x:v>
      </x:c>
      <x:c r="J326" s="23" t="str">
        <x:v>Profile Interview</x:v>
      </x:c>
      <x:c r="K326" s="24" t="n">
        <x:v>72</x:v>
      </x:c>
      <x:c r="L326" s="16" t="str">
        <x:v>https://www.youtube.com/watch?v=g0quk3vTGDc</x:v>
      </x:c>
      <x:c r="M326" s="22" t="str">
        <x:v>YouTube</x:v>
      </x:c>
      <x:c r="N326" s="25" t="n">
        <x:v>9838</x:v>
      </x:c>
      <x:c r="O326" s="23" t="str">
        <x:v>C | Community Selection</x:v>
      </x:c>
      <x:c r="P326" s="23" t="str">
        <x:v>Reserve</x:v>
      </x:c>
      <x:c r="Q326" s="23" t="str">
        <x:v>Verified</x:v>
      </x:c>
      <x:c r="R326" s="26" t="n">
        <x:v>46244</x:v>
      </x:c>
      <x:c r="S326" s="17" t="str">
        <x:v>Targeted addition for the four priority areas; public YouTube result verified as accessible.</x:v>
      </x:c>
      <x:c r="T326" s="16" t="str">
        <x:v>g0quk3vTGDc</x:v>
      </x:c>
      <x:c r="U326" s="17" t="str"/>
      <x:c r="V326" s="151"/>
      <x:c r="W326" s="17" t="str"/>
    </x:row>
    <x:row r="327" ht="42" customHeight="1">
      <x:c r="A327" s="22" t="str">
        <x:v>ST-326</x:v>
      </x:c>
      <x:c r="B327" s="22" t="str">
        <x:v>Interview</x:v>
      </x:c>
      <x:c r="C327" s="22" t="str">
        <x:v>Robotics</x:v>
      </x:c>
      <x:c r="D327" s="17" t="str">
        <x:v>Robotics</x:v>
      </x:c>
      <x:c r="E327" s="17" t="str">
        <x:v>Robotics</x:v>
      </x:c>
      <x:c r="F327" s="23" t="str">
        <x:v>English</x:v>
      </x:c>
      <x:c r="G327" s="17" t="str">
        <x:v>The Fundamentals of Robotics - Peter Corke, Witek Jachimczyk, Remo Pillat | Podcast #136</x:v>
      </x:c>
      <x:c r="H327" s="17" t="str">
        <x:v>To be added</x:v>
      </x:c>
      <x:c r="I327" s="17" t="str">
        <x:v>Jousef Murad | Deep Dive</x:v>
      </x:c>
      <x:c r="J327" s="23" t="str">
        <x:v>Profile Interview</x:v>
      </x:c>
      <x:c r="K327" s="24" t="n">
        <x:v>64</x:v>
      </x:c>
      <x:c r="L327" s="16" t="str">
        <x:v>https://www.youtube.com/watch?v=4IkT7et2YcI</x:v>
      </x:c>
      <x:c r="M327" s="22" t="str">
        <x:v>YouTube</x:v>
      </x:c>
      <x:c r="N327" s="25" t="n">
        <x:v>7503</x:v>
      </x:c>
      <x:c r="O327" s="23" t="str">
        <x:v>C | Community Selection</x:v>
      </x:c>
      <x:c r="P327" s="23" t="str">
        <x:v>Reserve</x:v>
      </x:c>
      <x:c r="Q327" s="23" t="str">
        <x:v>Verified</x:v>
      </x:c>
      <x:c r="R327" s="26" t="n">
        <x:v>46244</x:v>
      </x:c>
      <x:c r="S327" s="17" t="str">
        <x:v>Targeted addition for the four priority areas; public YouTube result verified as accessible.</x:v>
      </x:c>
      <x:c r="T327" s="16" t="str">
        <x:v>4IkT7et2YcI</x:v>
      </x:c>
      <x:c r="U327" s="17" t="str"/>
      <x:c r="V327" s="151"/>
      <x:c r="W327" s="17" t="str"/>
    </x:row>
    <x:row r="328" ht="42" customHeight="1">
      <x:c r="A328" s="22" t="str">
        <x:v>ST-327</x:v>
      </x:c>
      <x:c r="B328" s="22" t="str">
        <x:v>Interview</x:v>
      </x:c>
      <x:c r="C328" s="22" t="str">
        <x:v>Robotics</x:v>
      </x:c>
      <x:c r="D328" s="17" t="str">
        <x:v>Robotics</x:v>
      </x:c>
      <x:c r="E328" s="17" t="str">
        <x:v>Robotics</x:v>
      </x:c>
      <x:c r="F328" s="23" t="str">
        <x:v>English</x:v>
      </x:c>
      <x:c r="G328" s="17" t="str">
        <x:v>Embodied AI on the ISS - interview with Jamie Palmer</x:v>
      </x:c>
      <x:c r="H328" s="17" t="str">
        <x:v>To be added</x:v>
      </x:c>
      <x:c r="I328" s="17" t="str">
        <x:v>Robot Talk</x:v>
      </x:c>
      <x:c r="J328" s="23" t="str">
        <x:v>Profile Interview</x:v>
      </x:c>
      <x:c r="K328" s="24" t="n">
        <x:v>25</x:v>
      </x:c>
      <x:c r="L328" s="16" t="str">
        <x:v>https://www.youtube.com/watch?v=5jNsSC7ItWA</x:v>
      </x:c>
      <x:c r="M328" s="22" t="str">
        <x:v>YouTube</x:v>
      </x:c>
      <x:c r="N328" s="25" t="n">
        <x:v>132</x:v>
      </x:c>
      <x:c r="O328" s="23" t="str">
        <x:v>B | University / Conference / Institution</x:v>
      </x:c>
      <x:c r="P328" s="23" t="str">
        <x:v>Recommended</x:v>
      </x:c>
      <x:c r="Q328" s="23" t="str">
        <x:v>Verified</x:v>
      </x:c>
      <x:c r="R328" s="26" t="n">
        <x:v>46244</x:v>
      </x:c>
      <x:c r="S328" s="17" t="str">
        <x:v>Targeted addition for the four priority areas; public YouTube result verified as accessible.</x:v>
      </x:c>
      <x:c r="T328" s="16" t="str">
        <x:v>5jNsSC7ItWA</x:v>
      </x:c>
      <x:c r="U328" s="17" t="str">
        <x:v>Robot Talk Interviews</x:v>
      </x:c>
      <x:c r="V328" s="151" t="n">
        <x:v>20260227</x:v>
      </x:c>
      <x:c r="W328" s="17" t="str">
        <x:v>robot-talk-interviews</x:v>
      </x:c>
    </x:row>
    <x:row r="329" ht="42" customHeight="1">
      <x:c r="A329" s="22" t="str">
        <x:v>ST-328</x:v>
      </x:c>
      <x:c r="B329" s="22" t="str">
        <x:v>Interview</x:v>
      </x:c>
      <x:c r="C329" s="22" t="str">
        <x:v>Robotics</x:v>
      </x:c>
      <x:c r="D329" s="17" t="str">
        <x:v>Robotics</x:v>
      </x:c>
      <x:c r="E329" s="17" t="str">
        <x:v>Robotics</x:v>
      </x:c>
      <x:c r="F329" s="23" t="str">
        <x:v>English</x:v>
      </x:c>
      <x:c r="G329" s="17" t="str">
        <x:v>Home assistance robots, and robot learning and development - interview with Patricia Shaw</x:v>
      </x:c>
      <x:c r="H329" s="17" t="str">
        <x:v>To be added</x:v>
      </x:c>
      <x:c r="I329" s="17" t="str">
        <x:v>Robot Talk</x:v>
      </x:c>
      <x:c r="J329" s="23" t="str">
        <x:v>Profile Interview</x:v>
      </x:c>
      <x:c r="K329" s="24" t="n">
        <x:v>23</x:v>
      </x:c>
      <x:c r="L329" s="16" t="str">
        <x:v>https://www.youtube.com/watch?v=0U1ayWbOkes</x:v>
      </x:c>
      <x:c r="M329" s="22" t="str">
        <x:v>YouTube</x:v>
      </x:c>
      <x:c r="N329" s="25" t="n">
        <x:v>73</x:v>
      </x:c>
      <x:c r="O329" s="23" t="str">
        <x:v>B | University / Conference / Institution</x:v>
      </x:c>
      <x:c r="P329" s="23" t="str">
        <x:v>Recommended</x:v>
      </x:c>
      <x:c r="Q329" s="23" t="str">
        <x:v>Verified</x:v>
      </x:c>
      <x:c r="R329" s="26" t="n">
        <x:v>46244</x:v>
      </x:c>
      <x:c r="S329" s="17" t="str">
        <x:v>Targeted addition for the four priority areas; public YouTube result verified as accessible.</x:v>
      </x:c>
      <x:c r="T329" s="16" t="str">
        <x:v>0U1ayWbOkes</x:v>
      </x:c>
      <x:c r="U329" s="17" t="str">
        <x:v>Robot Talk Interviews</x:v>
      </x:c>
      <x:c r="V329" s="151" t="n">
        <x:v>20240315</x:v>
      </x:c>
      <x:c r="W329" s="17" t="str">
        <x:v>robot-talk-interviews</x:v>
      </x:c>
    </x:row>
    <x:row r="330" ht="42" customHeight="1">
      <x:c r="A330" s="22" t="str">
        <x:v>ST-329</x:v>
      </x:c>
      <x:c r="B330" s="22" t="str">
        <x:v>Course</x:v>
      </x:c>
      <x:c r="C330" s="22" t="str">
        <x:v>World Model</x:v>
      </x:c>
      <x:c r="D330" s="17" t="str">
        <x:v>World Models</x:v>
      </x:c>
      <x:c r="E330" s="17" t="str">
        <x:v>Embodied AI; Robotics; World Models; AI for Science</x:v>
      </x:c>
      <x:c r="F330" s="23" t="str">
        <x:v>English</x:v>
      </x:c>
      <x:c r="G330" s="17" t="str">
        <x:v>Dreamer v2: Mastering Atari with Discrete World Models (Machine Learning Research Paper Explained)</x:v>
      </x:c>
      <x:c r="H330" s="17" t="str">
        <x:v>To be added</x:v>
      </x:c>
      <x:c r="I330" s="17" t="str">
        <x:v>Yannic Kilcher</x:v>
      </x:c>
      <x:c r="J330" s="23" t="str">
        <x:v>Open Course / Tutorial</x:v>
      </x:c>
      <x:c r="K330" s="24" t="n">
        <x:v>55</x:v>
      </x:c>
      <x:c r="L330" s="16" t="str">
        <x:v>https://www.youtube.com/watch?v=o75ybZ-6Uu8</x:v>
      </x:c>
      <x:c r="M330" s="22" t="str">
        <x:v>YouTube</x:v>
      </x:c>
      <x:c r="N330" s="25" t="n">
        <x:v>31209</x:v>
      </x:c>
      <x:c r="O330" s="23" t="str">
        <x:v>C | Community Selection</x:v>
      </x:c>
      <x:c r="P330" s="23" t="str">
        <x:v>Reserve</x:v>
      </x:c>
      <x:c r="Q330" s="23" t="str">
        <x:v>Verified</x:v>
      </x:c>
      <x:c r="R330" s="26" t="n">
        <x:v>46244</x:v>
      </x:c>
      <x:c r="S330" s="17" t="str">
        <x:v>Targeted addition for the four priority areas; public YouTube result verified as accessible.</x:v>
      </x:c>
      <x:c r="T330" s="16" t="str">
        <x:v>o75ybZ-6Uu8</x:v>
      </x:c>
      <x:c r="U330" s="17" t="str"/>
      <x:c r="V330" s="151"/>
      <x:c r="W330" s="17" t="str"/>
    </x:row>
    <x:row r="331" ht="42" customHeight="1">
      <x:c r="A331" s="22" t="str">
        <x:v>ST-330</x:v>
      </x:c>
      <x:c r="B331" s="22" t="str">
        <x:v>Course</x:v>
      </x:c>
      <x:c r="C331" s="22" t="str">
        <x:v>World Model</x:v>
      </x:c>
      <x:c r="D331" s="17" t="str">
        <x:v>World Models</x:v>
      </x:c>
      <x:c r="E331" s="17" t="str">
        <x:v>Reinforcement Learning; Policy Optimization</x:v>
      </x:c>
      <x:c r="F331" s="23" t="str">
        <x:v>English</x:v>
      </x:c>
      <x:c r="G331" s="17" t="str">
        <x:v>DreamerV3 Tutorial. Paper, Diagrams, Clean Code</x:v>
      </x:c>
      <x:c r="H331" s="17" t="str">
        <x:v>To be added</x:v>
      </x:c>
      <x:c r="I331" s="17" t="str">
        <x:v>Inexperienced Me</x:v>
      </x:c>
      <x:c r="J331" s="23" t="str">
        <x:v>Open Course / Tutorial</x:v>
      </x:c>
      <x:c r="K331" s="24" t="n">
        <x:v>95</x:v>
      </x:c>
      <x:c r="L331" s="16" t="str">
        <x:v>https://www.youtube.com/watch?v=viXppDhx4R0</x:v>
      </x:c>
      <x:c r="M331" s="22" t="str">
        <x:v>YouTube</x:v>
      </x:c>
      <x:c r="N331" s="25" t="n">
        <x:v>8584</x:v>
      </x:c>
      <x:c r="O331" s="23" t="str">
        <x:v>C | Community Selection</x:v>
      </x:c>
      <x:c r="P331" s="23" t="str">
        <x:v>Reserve</x:v>
      </x:c>
      <x:c r="Q331" s="23" t="str">
        <x:v>Verified</x:v>
      </x:c>
      <x:c r="R331" s="26" t="n">
        <x:v>46244</x:v>
      </x:c>
      <x:c r="S331" s="17" t="str">
        <x:v>Targeted addition for the four priority areas; public YouTube result verified as accessible.</x:v>
      </x:c>
      <x:c r="T331" s="16" t="str">
        <x:v>viXppDhx4R0</x:v>
      </x:c>
      <x:c r="U331" s="17" t="str"/>
      <x:c r="V331" s="151"/>
      <x:c r="W331" s="17" t="str"/>
    </x:row>
    <x:row r="332" ht="42" customHeight="1">
      <x:c r="A332" s="22" t="str">
        <x:v>ST-331</x:v>
      </x:c>
      <x:c r="B332" s="22" t="str">
        <x:v>Course</x:v>
      </x:c>
      <x:c r="C332" s="22" t="str">
        <x:v>World Model</x:v>
      </x:c>
      <x:c r="D332" s="17" t="str">
        <x:v>World Models</x:v>
      </x:c>
      <x:c r="E332" s="17" t="str">
        <x:v>Embodied AI; Robotics; World Models</x:v>
      </x:c>
      <x:c r="F332" s="23" t="str">
        <x:v>English</x:v>
      </x:c>
      <x:c r="G332" s="17" t="str">
        <x:v>Yann LeCun: Special Lecture on AI and World Models</x:v>
      </x:c>
      <x:c r="H332" s="17" t="str">
        <x:v>To be added</x:v>
      </x:c>
      <x:c r="I332" s="17" t="str">
        <x:v>Al-Khwarizmi Applied Mathematics Webinar</x:v>
      </x:c>
      <x:c r="J332" s="23" t="str">
        <x:v>Open Course / Tutorial</x:v>
      </x:c>
      <x:c r="K332" s="24" t="n">
        <x:v>105</x:v>
      </x:c>
      <x:c r="L332" s="16" t="str">
        <x:v>https://www.youtube.com/watch?v=vJKC31YpA8c</x:v>
      </x:c>
      <x:c r="M332" s="22" t="str">
        <x:v>YouTube</x:v>
      </x:c>
      <x:c r="N332" s="25" t="n">
        <x:v>28456</x:v>
      </x:c>
      <x:c r="O332" s="23" t="str">
        <x:v>C | Community Selection</x:v>
      </x:c>
      <x:c r="P332" s="23" t="str">
        <x:v>Reserve</x:v>
      </x:c>
      <x:c r="Q332" s="23" t="str">
        <x:v>Verified</x:v>
      </x:c>
      <x:c r="R332" s="26" t="n">
        <x:v>46244</x:v>
      </x:c>
      <x:c r="S332" s="17" t="str">
        <x:v>Targeted addition for the four priority areas; public YouTube result verified as accessible.</x:v>
      </x:c>
      <x:c r="T332" s="16" t="str">
        <x:v>vJKC31YpA8c</x:v>
      </x:c>
      <x:c r="U332" s="17" t="str"/>
      <x:c r="V332" s="151"/>
      <x:c r="W332" s="17" t="str"/>
    </x:row>
    <x:row r="333" ht="42" customHeight="1">
      <x:c r="A333" s="22" t="str">
        <x:v>ST-332</x:v>
      </x:c>
      <x:c r="B333" s="22" t="str">
        <x:v>Course</x:v>
      </x:c>
      <x:c r="C333" s="22" t="str">
        <x:v>Agent</x:v>
      </x:c>
      <x:c r="D333" s="17" t="str">
        <x:v>Agents</x:v>
      </x:c>
      <x:c r="E333" s="17" t="str">
        <x:v>Agents; Multi-Agent Systems</x:v>
      </x:c>
      <x:c r="F333" s="23" t="str">
        <x:v>English</x:v>
      </x:c>
      <x:c r="G333" s="17" t="str">
        <x:v>Stanford CS230 | Autumn 2025 | Lecture 8: Agents, Prompts, and RAG</x:v>
      </x:c>
      <x:c r="H333" s="17" t="str">
        <x:v>To be added</x:v>
      </x:c>
      <x:c r="I333" s="17" t="str">
        <x:v>Stanford Online</x:v>
      </x:c>
      <x:c r="J333" s="23" t="str">
        <x:v>Open Course / Tutorial</x:v>
      </x:c>
      <x:c r="K333" s="24" t="n">
        <x:v>110</x:v>
      </x:c>
      <x:c r="L333" s="16" t="str">
        <x:v>https://www.youtube.com/watch?v=k1njvbBmfsw</x:v>
      </x:c>
      <x:c r="M333" s="22" t="str">
        <x:v>YouTube</x:v>
      </x:c>
      <x:c r="N333" s="25" t="n">
        <x:v>464100</x:v>
      </x:c>
      <x:c r="O333" s="23" t="str">
        <x:v>A | Official / Original Creator / Organizer</x:v>
      </x:c>
      <x:c r="P333" s="23" t="str">
        <x:v>Core</x:v>
      </x:c>
      <x:c r="Q333" s="23" t="str">
        <x:v>Verified</x:v>
      </x:c>
      <x:c r="R333" s="26" t="n">
        <x:v>46244</x:v>
      </x:c>
      <x:c r="S333" s="17" t="str">
        <x:v>Targeted addition for the four priority areas; public YouTube result verified as accessible.</x:v>
      </x:c>
      <x:c r="T333" s="16" t="str">
        <x:v>k1njvbBmfsw</x:v>
      </x:c>
      <x:c r="U333" s="17" t="str"/>
      <x:c r="V333" s="151"/>
      <x:c r="W333" s="17" t="str"/>
    </x:row>
    <x:row r="334" ht="42" customHeight="1">
      <x:c r="A334" s="22" t="str">
        <x:v>ST-333</x:v>
      </x:c>
      <x:c r="B334" s="22" t="str">
        <x:v>Course</x:v>
      </x:c>
      <x:c r="C334" s="22" t="str">
        <x:v>Agent</x:v>
      </x:c>
      <x:c r="D334" s="17" t="str">
        <x:v>Agents / Tool Use / Reasoning</x:v>
      </x:c>
      <x:c r="E334" s="17" t="str">
        <x:v>Self-Improving Agents; Tool Use; Reasoning; Agent Training; Agent Evaluation</x:v>
      </x:c>
      <x:c r="F334" s="23" t="str">
        <x:v>English</x:v>
      </x:c>
      <x:c r="G334" s="17" t="str">
        <x:v>Stanford CS329A Self-Improving AI Agents | Part 1 | Course Overview</x:v>
      </x:c>
      <x:c r="H334" s="17" t="str">
        <x:v>Stanford CS329A course team</x:v>
      </x:c>
      <x:c r="I334" s="17" t="str">
        <x:v>Stanford Online</x:v>
      </x:c>
      <x:c r="J334" s="23" t="str">
        <x:v>Course Lecture</x:v>
      </x:c>
      <x:c r="K334" s="24" t="n">
        <x:v>70</x:v>
      </x:c>
      <x:c r="L334" s="16" t="str">
        <x:v>https://www.youtube.com/watch?v=6YnLB0XbTnI</x:v>
      </x:c>
      <x:c r="M334" s="22" t="str">
        <x:v>YouTube</x:v>
      </x:c>
      <x:c r="N334" s="25" t="n">
        <x:v>217901</x:v>
      </x:c>
      <x:c r="O334" s="23" t="str">
        <x:v>A | Official / Original Creator / Organizer</x:v>
      </x:c>
      <x:c r="P334" s="23" t="str">
        <x:v>Core</x:v>
      </x:c>
      <x:c r="Q334" s="23" t="str">
        <x:v>Verified</x:v>
      </x:c>
      <x:c r="R334" s="26" t="n">
        <x:v>46244</x:v>
      </x:c>
      <x:c r="S334" s="17" t="str">
        <x:v>Targeted addition for the four priority areas; public YouTube result verified as accessible. Metadata and series placement refined in the 2026-08-15 latest-gap audit.</x:v>
      </x:c>
      <x:c r="T334" s="16" t="str">
        <x:v>6YnLB0XbTnI</x:v>
      </x:c>
      <x:c r="U334" s="17" t="str">
        <x:v>Stanford CS329A: Self-Improving AI Agents — 2026</x:v>
      </x:c>
      <x:c r="V334" s="151" t="n">
        <x:v>1</x:v>
      </x:c>
      <x:c r="W334" s="17" t="str">
        <x:v>stanford-cs329a-self-improving-ai-agents-2026</x:v>
      </x:c>
    </x:row>
    <x:row r="335" ht="42" customHeight="1">
      <x:c r="A335" s="22" t="str">
        <x:v>ST-334</x:v>
      </x:c>
      <x:c r="B335" s="22" t="str">
        <x:v>Course</x:v>
      </x:c>
      <x:c r="C335" s="22" t="str">
        <x:v>Agent</x:v>
      </x:c>
      <x:c r="D335" s="17" t="str">
        <x:v>Agents</x:v>
      </x:c>
      <x:c r="E335" s="17" t="str">
        <x:v>Agents; Multi-Agent Systems; Large Language Models; Foundation Models; Industry Insights</x:v>
      </x:c>
      <x:c r="F335" s="23" t="str">
        <x:v>English</x:v>
      </x:c>
      <x:c r="G335" s="17" t="str">
        <x:v>Stanford CME295 Transformers &amp; LLMs | Autumn 2025 | Lecture 7 - Agentic LLMs</x:v>
      </x:c>
      <x:c r="H335" s="17" t="str">
        <x:v>To be added</x:v>
      </x:c>
      <x:c r="I335" s="17" t="str">
        <x:v>Stanford Online</x:v>
      </x:c>
      <x:c r="J335" s="23" t="str">
        <x:v>Open Course / Tutorial</x:v>
      </x:c>
      <x:c r="K335" s="24" t="n">
        <x:v>109</x:v>
      </x:c>
      <x:c r="L335" s="16" t="str">
        <x:v>https://www.youtube.com/watch?v=h-7S6HNq0Vg</x:v>
      </x:c>
      <x:c r="M335" s="22" t="str">
        <x:v>YouTube</x:v>
      </x:c>
      <x:c r="N335" s="25" t="n">
        <x:v>115168</x:v>
      </x:c>
      <x:c r="O335" s="23" t="str">
        <x:v>A | Official / Original Creator / Organizer</x:v>
      </x:c>
      <x:c r="P335" s="23" t="str">
        <x:v>Core</x:v>
      </x:c>
      <x:c r="Q335" s="23" t="str">
        <x:v>Verified</x:v>
      </x:c>
      <x:c r="R335" s="26" t="n">
        <x:v>46244</x:v>
      </x:c>
      <x:c r="S335" s="17" t="str">
        <x:v>Targeted addition for the four priority areas; public YouTube result verified as accessible.</x:v>
      </x:c>
      <x:c r="T335" s="16" t="str">
        <x:v>h-7S6HNq0Vg</x:v>
      </x:c>
      <x:c r="U335" s="17" t="str">
        <x:v>Stanford CME295: Transformers &amp; LLMs — Autumn 2025</x:v>
      </x:c>
      <x:c r="V335" s="151" t="n">
        <x:v>7</x:v>
      </x:c>
      <x:c r="W335" s="17" t="str">
        <x:v>stanford-cme295-autumn-2025</x:v>
      </x:c>
    </x:row>
    <x:row r="336" ht="42" customHeight="1">
      <x:c r="A336" s="22" t="str">
        <x:v>ST-335</x:v>
      </x:c>
      <x:c r="B336" s="22" t="str">
        <x:v>Course</x:v>
      </x:c>
      <x:c r="C336" s="22" t="str">
        <x:v>Agent</x:v>
      </x:c>
      <x:c r="D336" s="17" t="str">
        <x:v>Agents</x:v>
      </x:c>
      <x:c r="E336" s="17" t="str">
        <x:v>Agents; Multi-Agent Systems</x:v>
      </x:c>
      <x:c r="F336" s="23" t="str">
        <x:v>English</x:v>
      </x:c>
      <x:c r="G336" s="17" t="str">
        <x:v>Stanford CS234 Reinforcement Learning I Multi-Agent Game Playing I 2024 I Lecture 14</x:v>
      </x:c>
      <x:c r="H336" s="17" t="str">
        <x:v>To be added</x:v>
      </x:c>
      <x:c r="I336" s="17" t="str">
        <x:v>Stanford Online</x:v>
      </x:c>
      <x:c r="J336" s="23" t="str">
        <x:v>Open Course / Tutorial</x:v>
      </x:c>
      <x:c r="K336" s="24" t="n">
        <x:v>73</x:v>
      </x:c>
      <x:c r="L336" s="16" t="str">
        <x:v>https://www.youtube.com/watch?v=UgANzoWc0nc</x:v>
      </x:c>
      <x:c r="M336" s="22" t="str">
        <x:v>YouTube</x:v>
      </x:c>
      <x:c r="N336" s="25" t="n">
        <x:v>8285</x:v>
      </x:c>
      <x:c r="O336" s="23" t="str">
        <x:v>A | Official / Original Creator / Organizer</x:v>
      </x:c>
      <x:c r="P336" s="23" t="str">
        <x:v>Core</x:v>
      </x:c>
      <x:c r="Q336" s="23" t="str">
        <x:v>Verified</x:v>
      </x:c>
      <x:c r="R336" s="26" t="n">
        <x:v>46244</x:v>
      </x:c>
      <x:c r="S336" s="17" t="str">
        <x:v>Targeted addition for the four priority areas; public YouTube result verified as accessible.</x:v>
      </x:c>
      <x:c r="T336" s="16" t="str">
        <x:v>UgANzoWc0nc</x:v>
      </x:c>
      <x:c r="U336" s="17" t="str">
        <x:v>Stanford CS234: Reinforcement Learning — 2024</x:v>
      </x:c>
      <x:c r="V336" s="151" t="n">
        <x:v>14</x:v>
      </x:c>
      <x:c r="W336" s="17" t="str">
        <x:v>stanford-cs234-2024</x:v>
      </x:c>
    </x:row>
    <x:row r="337" ht="42" customHeight="1">
      <x:c r="A337" s="22" t="str">
        <x:v>ST-336</x:v>
      </x:c>
      <x:c r="B337" s="22" t="str">
        <x:v>Course</x:v>
      </x:c>
      <x:c r="C337" s="22" t="str">
        <x:v>Agent</x:v>
      </x:c>
      <x:c r="D337" s="17" t="str">
        <x:v>Agents</x:v>
      </x:c>
      <x:c r="E337" s="17" t="str">
        <x:v>Agents; Multi-Agent Systems</x:v>
      </x:c>
      <x:c r="F337" s="23" t="str">
        <x:v>English</x:v>
      </x:c>
      <x:c r="G337" s="17" t="str">
        <x:v>AI Agents, Clearly Explained</x:v>
      </x:c>
      <x:c r="H337" s="17" t="str">
        <x:v>To be added</x:v>
      </x:c>
      <x:c r="I337" s="17" t="str">
        <x:v>Jeff Su</x:v>
      </x:c>
      <x:c r="J337" s="23" t="str">
        <x:v>Open Course / Tutorial</x:v>
      </x:c>
      <x:c r="K337" s="24" t="n">
        <x:v>10</x:v>
      </x:c>
      <x:c r="L337" s="16" t="str">
        <x:v>https://www.youtube.com/watch?v=FwOTs4UxQS4</x:v>
      </x:c>
      <x:c r="M337" s="22" t="str">
        <x:v>YouTube</x:v>
      </x:c>
      <x:c r="N337" s="25" t="n">
        <x:v>4705044</x:v>
      </x:c>
      <x:c r="O337" s="23" t="str">
        <x:v>A | Official / Original Creator / Organizer</x:v>
      </x:c>
      <x:c r="P337" s="23" t="str">
        <x:v>Core</x:v>
      </x:c>
      <x:c r="Q337" s="23" t="str">
        <x:v>Verified</x:v>
      </x:c>
      <x:c r="R337" s="26" t="n">
        <x:v>46244</x:v>
      </x:c>
      <x:c r="S337" s="17" t="str">
        <x:v>Targeted addition for the four priority areas; public YouTube result verified as accessible.</x:v>
      </x:c>
      <x:c r="T337" s="16" t="str">
        <x:v>FwOTs4UxQS4</x:v>
      </x:c>
      <x:c r="U337" s="17" t="str"/>
      <x:c r="V337" s="151"/>
      <x:c r="W337" s="17" t="str"/>
    </x:row>
    <x:row r="338" ht="42" customHeight="1">
      <x:c r="A338" s="22" t="str">
        <x:v>ST-337</x:v>
      </x:c>
      <x:c r="B338" s="22" t="str">
        <x:v>Course</x:v>
      </x:c>
      <x:c r="C338" s="22" t="str">
        <x:v>Agent</x:v>
      </x:c>
      <x:c r="D338" s="17" t="str">
        <x:v>Agents</x:v>
      </x:c>
      <x:c r="E338" s="17" t="str">
        <x:v>Agents; Multi-Agent Systems; Reinforcement Learning; Policy Optimization</x:v>
      </x:c>
      <x:c r="F338" s="23" t="str">
        <x:v>English</x:v>
      </x:c>
      <x:c r="G338" s="17" t="str">
        <x:v>Build &amp; Sell n8n AI Agents (8+ Hour Course, No Code)</x:v>
      </x:c>
      <x:c r="H338" s="17" t="str">
        <x:v>To be added</x:v>
      </x:c>
      <x:c r="I338" s="17" t="str">
        <x:v>Nate Herk | AI Automation</x:v>
      </x:c>
      <x:c r="J338" s="23" t="str">
        <x:v>Open Course / Tutorial</x:v>
      </x:c>
      <x:c r="K338" s="24" t="n">
        <x:v>507</x:v>
      </x:c>
      <x:c r="L338" s="16" t="str">
        <x:v>https://www.youtube.com/watch?v=Ey18PDiaAYI</x:v>
      </x:c>
      <x:c r="M338" s="22" t="str">
        <x:v>YouTube</x:v>
      </x:c>
      <x:c r="N338" s="25" t="n">
        <x:v>1811537</x:v>
      </x:c>
      <x:c r="O338" s="23" t="str">
        <x:v>A | Official / Original Creator / Organizer</x:v>
      </x:c>
      <x:c r="P338" s="23" t="str">
        <x:v>Core</x:v>
      </x:c>
      <x:c r="Q338" s="23" t="str">
        <x:v>Verified</x:v>
      </x:c>
      <x:c r="R338" s="26" t="n">
        <x:v>46244</x:v>
      </x:c>
      <x:c r="S338" s="17" t="str">
        <x:v>Targeted addition for the four priority areas; public YouTube result verified as accessible.</x:v>
      </x:c>
      <x:c r="T338" s="16" t="str">
        <x:v>Ey18PDiaAYI</x:v>
      </x:c>
      <x:c r="U338" s="17" t="str"/>
      <x:c r="V338" s="151"/>
      <x:c r="W338" s="17" t="str"/>
    </x:row>
    <x:row r="339" ht="42" customHeight="1">
      <x:c r="A339" s="22" t="str">
        <x:v>ST-338</x:v>
      </x:c>
      <x:c r="B339" s="22" t="str">
        <x:v>Course</x:v>
      </x:c>
      <x:c r="C339" s="22" t="str">
        <x:v>Vision</x:v>
      </x:c>
      <x:c r="D339" s="17" t="str">
        <x:v>Vision</x:v>
      </x:c>
      <x:c r="E339" s="17" t="str">
        <x:v>Vision</x:v>
      </x:c>
      <x:c r="F339" s="23" t="str">
        <x:v>English</x:v>
      </x:c>
      <x:c r="G339" s="17" t="str">
        <x:v>Deep Learning for Computer Vision with Python and TensorFlow – Complete Course</x:v>
      </x:c>
      <x:c r="H339" s="17" t="str">
        <x:v>To be added</x:v>
      </x:c>
      <x:c r="I339" s="17" t="str">
        <x:v>freeCodeCamp.org</x:v>
      </x:c>
      <x:c r="J339" s="23" t="str">
        <x:v>Open Course / Tutorial</x:v>
      </x:c>
      <x:c r="K339" s="24" t="n">
        <x:v>2237</x:v>
      </x:c>
      <x:c r="L339" s="16" t="str">
        <x:v>https://www.youtube.com/watch?v=IA3WxTTPXqQ</x:v>
      </x:c>
      <x:c r="M339" s="22" t="str">
        <x:v>YouTube</x:v>
      </x:c>
      <x:c r="N339" s="25" t="n">
        <x:v>1194366</x:v>
      </x:c>
      <x:c r="O339" s="23" t="str">
        <x:v>A | Official / Original Creator / Organizer</x:v>
      </x:c>
      <x:c r="P339" s="23" t="str">
        <x:v>Core</x:v>
      </x:c>
      <x:c r="Q339" s="23" t="str">
        <x:v>Verified</x:v>
      </x:c>
      <x:c r="R339" s="26" t="n">
        <x:v>46244</x:v>
      </x:c>
      <x:c r="S339" s="17" t="str">
        <x:v>Targeted addition for the four priority areas; public YouTube result verified as accessible.</x:v>
      </x:c>
      <x:c r="T339" s="16" t="str">
        <x:v>IA3WxTTPXqQ</x:v>
      </x:c>
      <x:c r="U339" s="17" t="str"/>
      <x:c r="V339" s="151"/>
      <x:c r="W339" s="17" t="str"/>
    </x:row>
    <x:row r="340" ht="42" customHeight="1">
      <x:c r="A340" s="22" t="str">
        <x:v>ST-339</x:v>
      </x:c>
      <x:c r="B340" s="22" t="str">
        <x:v>Course</x:v>
      </x:c>
      <x:c r="C340" s="22" t="str">
        <x:v>Vision</x:v>
      </x:c>
      <x:c r="D340" s="17" t="str">
        <x:v>Vision</x:v>
      </x:c>
      <x:c r="E340" s="17" t="str">
        <x:v>Vision</x:v>
      </x:c>
      <x:c r="F340" s="23" t="str">
        <x:v>English</x:v>
      </x:c>
      <x:c r="G340" s="17" t="str">
        <x:v>Computer Vision: Crash Course Computer Science #35</x:v>
      </x:c>
      <x:c r="H340" s="17" t="str">
        <x:v>To be added</x:v>
      </x:c>
      <x:c r="I340" s="17" t="str">
        <x:v>CrashCourse</x:v>
      </x:c>
      <x:c r="J340" s="23" t="str">
        <x:v>Open Course / Tutorial</x:v>
      </x:c>
      <x:c r="K340" s="24" t="n">
        <x:v>11</x:v>
      </x:c>
      <x:c r="L340" s="16" t="str">
        <x:v>https://www.youtube.com/watch?v=-4E2-0sxVUM</x:v>
      </x:c>
      <x:c r="M340" s="22" t="str">
        <x:v>YouTube</x:v>
      </x:c>
      <x:c r="N340" s="25" t="n">
        <x:v>486175</x:v>
      </x:c>
      <x:c r="O340" s="23" t="str">
        <x:v>A | Official / Original Creator / Organizer</x:v>
      </x:c>
      <x:c r="P340" s="23" t="str">
        <x:v>Core</x:v>
      </x:c>
      <x:c r="Q340" s="23" t="str">
        <x:v>Verified</x:v>
      </x:c>
      <x:c r="R340" s="26" t="n">
        <x:v>46244</x:v>
      </x:c>
      <x:c r="S340" s="17" t="str">
        <x:v>Targeted addition for the four priority areas; public YouTube result verified as accessible.</x:v>
      </x:c>
      <x:c r="T340" s="16" t="str">
        <x:v>-4E2-0sxVUM</x:v>
      </x:c>
      <x:c r="U340" s="17" t="str"/>
      <x:c r="V340" s="151"/>
      <x:c r="W340" s="17" t="str"/>
    </x:row>
    <x:row r="341" ht="42" customHeight="1">
      <x:c r="A341" s="22" t="str">
        <x:v>ST-340</x:v>
      </x:c>
      <x:c r="B341" s="22" t="str">
        <x:v>Course</x:v>
      </x:c>
      <x:c r="C341" s="22" t="str">
        <x:v>Vision</x:v>
      </x:c>
      <x:c r="D341" s="17" t="str">
        <x:v>Vision</x:v>
      </x:c>
      <x:c r="E341" s="17" t="str">
        <x:v>Vision</x:v>
      </x:c>
      <x:c r="F341" s="23" t="str">
        <x:v>English</x:v>
      </x:c>
      <x:c r="G341" s="17" t="str">
        <x:v>Tutorial on OpenMMLab</x:v>
      </x:c>
      <x:c r="H341" s="17" t="str">
        <x:v>To be added</x:v>
      </x:c>
      <x:c r="I341" s="17" t="str">
        <x:v>OpenMMLab</x:v>
      </x:c>
      <x:c r="J341" s="23" t="str">
        <x:v>Open Course / Tutorial</x:v>
      </x:c>
      <x:c r="K341" s="24" t="n">
        <x:v>66</x:v>
      </x:c>
      <x:c r="L341" s="16" t="str">
        <x:v>https://www.youtube.com/watch?v=GuEjF4G1L3w</x:v>
      </x:c>
      <x:c r="M341" s="22" t="str">
        <x:v>YouTube</x:v>
      </x:c>
      <x:c r="N341" s="25" t="n">
        <x:v>13300</x:v>
      </x:c>
      <x:c r="O341" s="23" t="str">
        <x:v>A | Official / Original Creator / Organizer</x:v>
      </x:c>
      <x:c r="P341" s="23" t="str">
        <x:v>Core</x:v>
      </x:c>
      <x:c r="Q341" s="23" t="str">
        <x:v>Verified</x:v>
      </x:c>
      <x:c r="R341" s="26" t="n">
        <x:v>46244</x:v>
      </x:c>
      <x:c r="S341" s="17" t="str">
        <x:v>Targeted addition for the four priority areas; public YouTube result verified as accessible.</x:v>
      </x:c>
      <x:c r="T341" s="16" t="str">
        <x:v>GuEjF4G1L3w</x:v>
      </x:c>
      <x:c r="U341" s="17" t="str"/>
      <x:c r="V341" s="151"/>
      <x:c r="W341" s="17" t="str"/>
    </x:row>
    <x:row r="342" ht="42" customHeight="1">
      <x:c r="A342" s="22" t="str">
        <x:v>ST-341</x:v>
      </x:c>
      <x:c r="B342" s="22" t="str">
        <x:v>Course</x:v>
      </x:c>
      <x:c r="C342" s="22" t="str">
        <x:v>Vision</x:v>
      </x:c>
      <x:c r="D342" s="17" t="str">
        <x:v>Vision</x:v>
      </x:c>
      <x:c r="E342" s="17" t="str">
        <x:v>Vision</x:v>
      </x:c>
      <x:c r="F342" s="23" t="str">
        <x:v>English</x:v>
      </x:c>
      <x:c r="G342" s="17" t="str">
        <x:v>Computer Vision - Lecture 10.3 (Recognition: Object Detection and Segmentation)</x:v>
      </x:c>
      <x:c r="H342" s="17" t="str">
        <x:v>To be added</x:v>
      </x:c>
      <x:c r="I342" s="17" t="str">
        <x:v>Tübingen Machine Learning</x:v>
      </x:c>
      <x:c r="J342" s="23" t="str">
        <x:v>Open Course / Tutorial</x:v>
      </x:c>
      <x:c r="K342" s="24" t="n">
        <x:v>42</x:v>
      </x:c>
      <x:c r="L342" s="16" t="str">
        <x:v>https://www.youtube.com/watch?v=bXSvNCS56Uk</x:v>
      </x:c>
      <x:c r="M342" s="22" t="str">
        <x:v>YouTube</x:v>
      </x:c>
      <x:c r="N342" s="25" t="n">
        <x:v>5848</x:v>
      </x:c>
      <x:c r="O342" s="23" t="str">
        <x:v>C | Community Selection</x:v>
      </x:c>
      <x:c r="P342" s="23" t="str">
        <x:v>Reserve</x:v>
      </x:c>
      <x:c r="Q342" s="23" t="str">
        <x:v>Verified</x:v>
      </x:c>
      <x:c r="R342" s="26" t="n">
        <x:v>46244</x:v>
      </x:c>
      <x:c r="S342" s="17" t="str">
        <x:v>Targeted addition for the four priority areas; public YouTube result verified as accessible.</x:v>
      </x:c>
      <x:c r="T342" s="16" t="str">
        <x:v>bXSvNCS56Uk</x:v>
      </x:c>
      <x:c r="U342" s="17" t="str"/>
      <x:c r="V342" s="151"/>
      <x:c r="W342" s="17" t="str"/>
    </x:row>
    <x:row r="343" ht="42" customHeight="1">
      <x:c r="A343" s="22" t="str">
        <x:v>ST-342</x:v>
      </x:c>
      <x:c r="B343" s="22" t="str">
        <x:v>Course</x:v>
      </x:c>
      <x:c r="C343" s="22" t="str">
        <x:v>Vision</x:v>
      </x:c>
      <x:c r="D343" s="17" t="str">
        <x:v>Vision</x:v>
      </x:c>
      <x:c r="E343" s="17" t="str">
        <x:v>AI for Science</x:v>
      </x:c>
      <x:c r="F343" s="23" t="str">
        <x:v>English</x:v>
      </x:c>
      <x:c r="G343" s="17" t="str">
        <x:v>【2021-CVPR】 | OpenMMLab Tutorial  Speaker：Kai Chen（SenseTime Research）</x:v>
      </x:c>
      <x:c r="H343" s="17" t="str">
        <x:v>2021-CVPR</x:v>
      </x:c>
      <x:c r="I343" s="17" t="str">
        <x:v>OpenMMLab</x:v>
      </x:c>
      <x:c r="J343" s="23" t="str">
        <x:v>Open Course / Tutorial</x:v>
      </x:c>
      <x:c r="K343" s="24" t="n">
        <x:v>27</x:v>
      </x:c>
      <x:c r="L343" s="16" t="str">
        <x:v>https://www.youtube.com/watch?v=oV9cw8fKQAs</x:v>
      </x:c>
      <x:c r="M343" s="22" t="str">
        <x:v>YouTube</x:v>
      </x:c>
      <x:c r="N343" s="25" t="n">
        <x:v>1809</x:v>
      </x:c>
      <x:c r="O343" s="23" t="str">
        <x:v>A | Official / Original Creator / Organizer</x:v>
      </x:c>
      <x:c r="P343" s="23" t="str">
        <x:v>Core</x:v>
      </x:c>
      <x:c r="Q343" s="23" t="str">
        <x:v>Verified</x:v>
      </x:c>
      <x:c r="R343" s="26" t="n">
        <x:v>46244</x:v>
      </x:c>
      <x:c r="S343" s="17" t="str">
        <x:v>Targeted addition for the four priority areas; public YouTube result verified as accessible.</x:v>
      </x:c>
      <x:c r="T343" s="16" t="str">
        <x:v>oV9cw8fKQAs</x:v>
      </x:c>
      <x:c r="U343" s="17" t="str">
        <x:v>OpenMMLab Tutorial at CVPR 2021</x:v>
      </x:c>
      <x:c r="V343" s="151" t="n">
        <x:v>20210705</x:v>
      </x:c>
      <x:c r="W343" s="17" t="str">
        <x:v>openmmlab-cvpr-2021-tutorial</x:v>
      </x:c>
    </x:row>
    <x:row r="344" ht="42" customHeight="1">
      <x:c r="A344" s="22" t="str">
        <x:v>ST-343</x:v>
      </x:c>
      <x:c r="B344" s="22" t="str">
        <x:v>Course</x:v>
      </x:c>
      <x:c r="C344" s="22" t="str">
        <x:v>Vision</x:v>
      </x:c>
      <x:c r="D344" s="17" t="str">
        <x:v>Vision</x:v>
      </x:c>
      <x:c r="E344" s="17" t="str">
        <x:v>AI for Science</x:v>
      </x:c>
      <x:c r="F344" s="23" t="str">
        <x:v>English</x:v>
      </x:c>
      <x:c r="G344" s="17" t="str">
        <x:v>【2021-CVPR】 | OpenMMLab Tutorial Speaker：Alan Yuille（Prof.JHU）</x:v>
      </x:c>
      <x:c r="H344" s="17" t="str">
        <x:v>2021-CVPR</x:v>
      </x:c>
      <x:c r="I344" s="17" t="str">
        <x:v>OpenMMLab</x:v>
      </x:c>
      <x:c r="J344" s="23" t="str">
        <x:v>Open Course / Tutorial</x:v>
      </x:c>
      <x:c r="K344" s="24" t="n">
        <x:v>32</x:v>
      </x:c>
      <x:c r="L344" s="16" t="str">
        <x:v>https://www.youtube.com/watch?v=SukUGVII9Q0</x:v>
      </x:c>
      <x:c r="M344" s="22" t="str">
        <x:v>YouTube</x:v>
      </x:c>
      <x:c r="N344" s="25" t="n">
        <x:v>991</x:v>
      </x:c>
      <x:c r="O344" s="23" t="str">
        <x:v>A | Official / Original Creator / Organizer</x:v>
      </x:c>
      <x:c r="P344" s="23" t="str">
        <x:v>Core</x:v>
      </x:c>
      <x:c r="Q344" s="23" t="str">
        <x:v>Verified</x:v>
      </x:c>
      <x:c r="R344" s="26" t="n">
        <x:v>46244</x:v>
      </x:c>
      <x:c r="S344" s="17" t="str">
        <x:v>Targeted addition for the four priority areas; public YouTube result verified as accessible.</x:v>
      </x:c>
      <x:c r="T344" s="16" t="str">
        <x:v>SukUGVII9Q0</x:v>
      </x:c>
      <x:c r="U344" s="17" t="str">
        <x:v>OpenMMLab Tutorial at CVPR 2021</x:v>
      </x:c>
      <x:c r="V344" s="151" t="n">
        <x:v>20210705</x:v>
      </x:c>
      <x:c r="W344" s="17" t="str">
        <x:v>openmmlab-cvpr-2021-tutorial</x:v>
      </x:c>
    </x:row>
    <x:row r="345" ht="42" customHeight="1">
      <x:c r="A345" s="22" t="str">
        <x:v>ST-344</x:v>
      </x:c>
      <x:c r="B345" s="22" t="str">
        <x:v>Course</x:v>
      </x:c>
      <x:c r="C345" s="22" t="str">
        <x:v>Robotics</x:v>
      </x:c>
      <x:c r="D345" s="17" t="str">
        <x:v>Robotics</x:v>
      </x:c>
      <x:c r="E345" s="17" t="str">
        <x:v>Robotics</x:v>
      </x:c>
      <x:c r="F345" s="23" t="str">
        <x:v>English</x:v>
      </x:c>
      <x:c r="G345" s="17" t="str">
        <x:v>Lecture 1 | Introduction to Robotics</x:v>
      </x:c>
      <x:c r="H345" s="17" t="str">
        <x:v>To be added</x:v>
      </x:c>
      <x:c r="I345" s="17" t="str">
        <x:v>Stanford</x:v>
      </x:c>
      <x:c r="J345" s="23" t="str">
        <x:v>Open Course / Tutorial</x:v>
      </x:c>
      <x:c r="K345" s="24" t="n">
        <x:v>58</x:v>
      </x:c>
      <x:c r="L345" s="16" t="str">
        <x:v>https://www.youtube.com/watch?v=0yD3uBshJB0</x:v>
      </x:c>
      <x:c r="M345" s="22" t="str">
        <x:v>YouTube</x:v>
      </x:c>
      <x:c r="N345" s="25" t="n">
        <x:v>761203</x:v>
      </x:c>
      <x:c r="O345" s="23" t="str">
        <x:v>A | Official / Original Creator / Organizer</x:v>
      </x:c>
      <x:c r="P345" s="23" t="str">
        <x:v>Core</x:v>
      </x:c>
      <x:c r="Q345" s="23" t="str">
        <x:v>Verified</x:v>
      </x:c>
      <x:c r="R345" s="26" t="n">
        <x:v>46244</x:v>
      </x:c>
      <x:c r="S345" s="17" t="str">
        <x:v>Targeted addition for the four priority areas; public YouTube result verified as accessible.</x:v>
      </x:c>
      <x:c r="T345" s="16" t="str">
        <x:v>0yD3uBshJB0</x:v>
      </x:c>
      <x:c r="U345" s="17" t="str"/>
      <x:c r="V345" s="151"/>
      <x:c r="W345" s="17" t="str"/>
    </x:row>
    <x:row r="346" ht="42" customHeight="1">
      <x:c r="A346" s="22" t="str">
        <x:v>ST-345</x:v>
      </x:c>
      <x:c r="B346" s="22" t="str">
        <x:v>Course</x:v>
      </x:c>
      <x:c r="C346" s="22" t="str">
        <x:v>Robotics</x:v>
      </x:c>
      <x:c r="D346" s="17" t="str">
        <x:v>Robotics</x:v>
      </x:c>
      <x:c r="E346" s="17" t="str">
        <x:v>Robotics</x:v>
      </x:c>
      <x:c r="F346" s="23" t="str">
        <x:v>English</x:v>
      </x:c>
      <x:c r="G346" s="17" t="str">
        <x:v>Lecture 1 | MIT 6.832 Underactuated Robotics, Spring 2009</x:v>
      </x:c>
      <x:c r="H346" s="17" t="str">
        <x:v>To be added</x:v>
      </x:c>
      <x:c r="I346" s="17" t="str">
        <x:v>MIT OpenCourseWare</x:v>
      </x:c>
      <x:c r="J346" s="23" t="str">
        <x:v>Open Course / Tutorial</x:v>
      </x:c>
      <x:c r="K346" s="24" t="n">
        <x:v>74</x:v>
      </x:c>
      <x:c r="L346" s="16" t="str">
        <x:v>https://www.youtube.com/watch?v=Z8oMbOj9IWM</x:v>
      </x:c>
      <x:c r="M346" s="22" t="str">
        <x:v>YouTube</x:v>
      </x:c>
      <x:c r="N346" s="25" t="n">
        <x:v>171837</x:v>
      </x:c>
      <x:c r="O346" s="23" t="str">
        <x:v>A | Official / Original Creator / Organizer</x:v>
      </x:c>
      <x:c r="P346" s="23" t="str">
        <x:v>Core</x:v>
      </x:c>
      <x:c r="Q346" s="23" t="str">
        <x:v>Verified</x:v>
      </x:c>
      <x:c r="R346" s="26" t="n">
        <x:v>46244</x:v>
      </x:c>
      <x:c r="S346" s="17" t="str">
        <x:v>Targeted addition for the four priority areas; public YouTube result verified as accessible.</x:v>
      </x:c>
      <x:c r="T346" s="16" t="str">
        <x:v>Z8oMbOj9IWM</x:v>
      </x:c>
      <x:c r="U346" s="17" t="str"/>
      <x:c r="V346" s="151"/>
      <x:c r="W346" s="17" t="str"/>
    </x:row>
    <x:row r="347" ht="42" customHeight="1">
      <x:c r="A347" s="22" t="str">
        <x:v>ST-346</x:v>
      </x:c>
      <x:c r="B347" s="22" t="str">
        <x:v>Course</x:v>
      </x:c>
      <x:c r="C347" s="22" t="str">
        <x:v>Robotics</x:v>
      </x:c>
      <x:c r="D347" s="17" t="str">
        <x:v>Robotics</x:v>
      </x:c>
      <x:c r="E347" s="17" t="str">
        <x:v>Robotics</x:v>
      </x:c>
      <x:c r="F347" s="23" t="str">
        <x:v>English</x:v>
      </x:c>
      <x:c r="G347" s="17" t="str">
        <x:v>Robot Learning 2026 – Lecture 1: Introduction to Robot Learning | ETH Zürich</x:v>
      </x:c>
      <x:c r="H347" s="17" t="str">
        <x:v>Oier Mees</x:v>
      </x:c>
      <x:c r="I347" s="17" t="str">
        <x:v>Oier Mees</x:v>
      </x:c>
      <x:c r="J347" s="23" t="str">
        <x:v>Open Course / Tutorial</x:v>
      </x:c>
      <x:c r="K347" s="24" t="n">
        <x:v>65</x:v>
      </x:c>
      <x:c r="L347" s="16" t="str">
        <x:v>https://www.youtube.com/watch?v=X0k14u6pSxw</x:v>
      </x:c>
      <x:c r="M347" s="22" t="str">
        <x:v>YouTube</x:v>
      </x:c>
      <x:c r="N347" s="25" t="n">
        <x:v>17937</x:v>
      </x:c>
      <x:c r="O347" s="23" t="str">
        <x:v>A | Official / Original Creator / Organizer</x:v>
      </x:c>
      <x:c r="P347" s="23" t="str">
        <x:v>Core</x:v>
      </x:c>
      <x:c r="Q347" s="23" t="str">
        <x:v>Verified</x:v>
      </x:c>
      <x:c r="R347" s="26" t="n">
        <x:v>46244</x:v>
      </x:c>
      <x:c r="S347" s="17" t="str">
        <x:v>Official ETH Zürich Robot Learning course lecture published by the course instructor.</x:v>
      </x:c>
      <x:c r="T347" s="16" t="str">
        <x:v>X0k14u6pSxw</x:v>
      </x:c>
      <x:c r="U347" s="17" t="str">
        <x:v>ETH Zürich Robot Learning: From Fundamentals to Foundation Models — Spring 2026</x:v>
      </x:c>
      <x:c r="V347" s="151" t="n">
        <x:v>1</x:v>
      </x:c>
      <x:c r="W347" s="17" t="str">
        <x:v>eth-robot-learning-spring-2026</x:v>
      </x:c>
    </x:row>
    <x:row r="348" ht="42" customHeight="1">
      <x:c r="A348" s="22" t="str">
        <x:v>ST-347</x:v>
      </x:c>
      <x:c r="B348" s="22" t="str">
        <x:v>Course</x:v>
      </x:c>
      <x:c r="C348" s="22" t="str">
        <x:v>Robotics</x:v>
      </x:c>
      <x:c r="D348" s="17" t="str">
        <x:v>Robotics</x:v>
      </x:c>
      <x:c r="E348" s="17" t="str">
        <x:v>Robotics</x:v>
      </x:c>
      <x:c r="F348" s="23" t="str">
        <x:v>English</x:v>
      </x:c>
      <x:c r="G348" s="17" t="str">
        <x:v>6.8210 Spring 2024 Lecture 16: Humanoid Robots</x:v>
      </x:c>
      <x:c r="H348" s="17" t="str">
        <x:v>Russ Tedrake</x:v>
      </x:c>
      <x:c r="I348" s="17" t="str">
        <x:v>underactuated</x:v>
      </x:c>
      <x:c r="J348" s="23" t="str">
        <x:v>Open Course / Tutorial</x:v>
      </x:c>
      <x:c r="K348" s="24" t="n">
        <x:v>79</x:v>
      </x:c>
      <x:c r="L348" s="16" t="str">
        <x:v>https://www.youtube.com/watch?v=cRu4EqBswbk</x:v>
      </x:c>
      <x:c r="M348" s="22" t="str">
        <x:v>YouTube</x:v>
      </x:c>
      <x:c r="N348" s="25" t="n">
        <x:v>4579</x:v>
      </x:c>
      <x:c r="O348" s="23" t="str">
        <x:v>A | Official / Original Creator / Organizer</x:v>
      </x:c>
      <x:c r="P348" s="23" t="str">
        <x:v>Recommended</x:v>
      </x:c>
      <x:c r="Q348" s="23" t="str">
        <x:v>Verified</x:v>
      </x:c>
      <x:c r="R348" s="26" t="n">
        <x:v>46244</x:v>
      </x:c>
      <x:c r="S348" s="17" t="str">
        <x:v>Official MIT 6.8210 Underactuated Robotics course lecture published by the course instructor.</x:v>
      </x:c>
      <x:c r="T348" s="16" t="str">
        <x:v>cRu4EqBswbk</x:v>
      </x:c>
      <x:c r="U348" s="17" t="str">
        <x:v>MIT 6.8210: Underactuated Robotics — Spring 2024</x:v>
      </x:c>
      <x:c r="V348" s="151" t="n">
        <x:v>16</x:v>
      </x:c>
      <x:c r="W348" s="17" t="str">
        <x:v>mit-6-8210-underactuated-robotics-spring-2024</x:v>
      </x:c>
    </x:row>
    <x:row r="349" ht="42" customHeight="1">
      <x:c r="A349" s="22" t="str">
        <x:v>ST-348</x:v>
      </x:c>
      <x:c r="B349" s="22" t="str">
        <x:v>Course</x:v>
      </x:c>
      <x:c r="C349" s="22" t="str">
        <x:v>Robotics</x:v>
      </x:c>
      <x:c r="D349" s="17" t="str">
        <x:v>Robotics</x:v>
      </x:c>
      <x:c r="E349" s="17" t="str">
        <x:v>AI for Science</x:v>
      </x:c>
      <x:c r="F349" s="23" t="str">
        <x:v>English</x:v>
      </x:c>
      <x:c r="G349" s="17" t="str">
        <x:v>Soft Robotics and AI towards Embodied Intelligence | Embodied AI Lecture Series at AI2</x:v>
      </x:c>
      <x:c r="H349" s="17" t="str">
        <x:v>To be added</x:v>
      </x:c>
      <x:c r="I349" s="17" t="str">
        <x:v>Ai2</x:v>
      </x:c>
      <x:c r="J349" s="23" t="str">
        <x:v>Open Course / Tutorial</x:v>
      </x:c>
      <x:c r="K349" s="24" t="n">
        <x:v>55</x:v>
      </x:c>
      <x:c r="L349" s="16" t="str">
        <x:v>https://www.youtube.com/watch?v=3cnlhnuc6pc</x:v>
      </x:c>
      <x:c r="M349" s="22" t="str">
        <x:v>YouTube</x:v>
      </x:c>
      <x:c r="N349" s="25" t="n">
        <x:v>1903</x:v>
      </x:c>
      <x:c r="O349" s="23" t="str">
        <x:v>A | Official / Original Creator / Organizer</x:v>
      </x:c>
      <x:c r="P349" s="23" t="str">
        <x:v>Core</x:v>
      </x:c>
      <x:c r="Q349" s="23" t="str">
        <x:v>Verified</x:v>
      </x:c>
      <x:c r="R349" s="26" t="n">
        <x:v>46244</x:v>
      </x:c>
      <x:c r="S349" s="17" t="str">
        <x:v>Targeted addition for the four priority areas; public YouTube result verified as accessible.</x:v>
      </x:c>
      <x:c r="T349" s="16" t="str">
        <x:v>3cnlhnuc6pc</x:v>
      </x:c>
      <x:c r="U349" s="17" t="str">
        <x:v>Embodied AI Lecture Series at AI2</x:v>
      </x:c>
      <x:c r="V349" s="151" t="n">
        <x:v>20220309</x:v>
      </x:c>
      <x:c r="W349" s="17" t="str">
        <x:v>ai2-embodied-ai-lecture-series</x:v>
      </x:c>
    </x:row>
    <x:row r="350" ht="42" customHeight="1">
      <x:c r="A350" s="22" t="str">
        <x:v>ST-349</x:v>
      </x:c>
      <x:c r="B350" s="22" t="str">
        <x:v>Course</x:v>
      </x:c>
      <x:c r="C350" s="22" t="str">
        <x:v>Robotics</x:v>
      </x:c>
      <x:c r="D350" s="17" t="str">
        <x:v>Robotics</x:v>
      </x:c>
      <x:c r="E350" s="17" t="str">
        <x:v>Agents; Multi-Agent Systems</x:v>
      </x:c>
      <x:c r="F350" s="23" t="str">
        <x:v>English</x:v>
      </x:c>
      <x:c r="G350" s="17" t="str">
        <x:v>Open-Ended Learning Leads to Generally Capable Agents | Embodied AI Lecture Series at AI2</x:v>
      </x:c>
      <x:c r="H350" s="17" t="str">
        <x:v>To be added</x:v>
      </x:c>
      <x:c r="I350" s="17" t="str">
        <x:v>Ai2</x:v>
      </x:c>
      <x:c r="J350" s="23" t="str">
        <x:v>Open Course / Tutorial</x:v>
      </x:c>
      <x:c r="K350" s="24" t="n">
        <x:v>59</x:v>
      </x:c>
      <x:c r="L350" s="16" t="str">
        <x:v>https://www.youtube.com/watch?v=hQv7pAWHmGw</x:v>
      </x:c>
      <x:c r="M350" s="22" t="str">
        <x:v>YouTube</x:v>
      </x:c>
      <x:c r="N350" s="25" t="n">
        <x:v>1091</x:v>
      </x:c>
      <x:c r="O350" s="23" t="str">
        <x:v>A | Official / Original Creator / Organizer</x:v>
      </x:c>
      <x:c r="P350" s="23" t="str">
        <x:v>Core</x:v>
      </x:c>
      <x:c r="Q350" s="23" t="str">
        <x:v>Verified</x:v>
      </x:c>
      <x:c r="R350" s="26" t="n">
        <x:v>46244</x:v>
      </x:c>
      <x:c r="S350" s="17" t="str">
        <x:v>Targeted addition for the four priority areas; public YouTube result verified as accessible.</x:v>
      </x:c>
      <x:c r="T350" s="16" t="str">
        <x:v>hQv7pAWHmGw</x:v>
      </x:c>
      <x:c r="U350" s="17" t="str">
        <x:v>Embodied AI Lecture Series at AI2</x:v>
      </x:c>
      <x:c r="V350" s="151" t="n">
        <x:v>20211001</x:v>
      </x:c>
      <x:c r="W350" s="17" t="str">
        <x:v>ai2-embodied-ai-lecture-series</x:v>
      </x:c>
    </x:row>
    <x:row r="351" ht="42" customHeight="1">
      <x:c r="A351" s="22" t="str">
        <x:v>ST-350</x:v>
      </x:c>
      <x:c r="B351" s="22" t="str">
        <x:v>Talk</x:v>
      </x:c>
      <x:c r="C351" s="22" t="str">
        <x:v>World Model</x:v>
      </x:c>
      <x:c r="D351" s="17" t="str">
        <x:v>World Models</x:v>
      </x:c>
      <x:c r="E351" s="17" t="str">
        <x:v>Embodied AI; Robotics; World Models</x:v>
      </x:c>
      <x:c r="F351" s="23" t="str">
        <x:v>English</x:v>
      </x:c>
      <x:c r="G351" s="17" t="str">
        <x:v>FutureTech Conference 2025 "Al Automation with Generative World Models" by Yilun Du</x:v>
      </x:c>
      <x:c r="H351" s="17" t="str">
        <x:v>To be added</x:v>
      </x:c>
      <x:c r="I351" s="17" t="str">
        <x:v>MIT FutureTech</x:v>
      </x:c>
      <x:c r="J351" s="23" t="str">
        <x:v>Academic Talk</x:v>
      </x:c>
      <x:c r="K351" s="24" t="n">
        <x:v>43</x:v>
      </x:c>
      <x:c r="L351" s="16" t="str">
        <x:v>https://www.youtube.com/watch?v=Y0QXR09XgI0</x:v>
      </x:c>
      <x:c r="M351" s="22" t="str">
        <x:v>YouTube</x:v>
      </x:c>
      <x:c r="N351" s="25" t="n">
        <x:v>909</x:v>
      </x:c>
      <x:c r="O351" s="23" t="str">
        <x:v>A | Official / Original Creator / Organizer</x:v>
      </x:c>
      <x:c r="P351" s="23" t="str">
        <x:v>Core</x:v>
      </x:c>
      <x:c r="Q351" s="23" t="str">
        <x:v>Verified</x:v>
      </x:c>
      <x:c r="R351" s="26" t="n">
        <x:v>46244</x:v>
      </x:c>
      <x:c r="S351" s="17" t="str">
        <x:v>Targeted addition for the four priority areas; public YouTube result verified as accessible.</x:v>
      </x:c>
      <x:c r="T351" s="16" t="str">
        <x:v>Y0QXR09XgI0</x:v>
      </x:c>
      <x:c r="U351" s="17" t="str"/>
      <x:c r="V351" s="151"/>
      <x:c r="W351" s="17" t="str"/>
    </x:row>
    <x:row r="352" ht="42" customHeight="1">
      <x:c r="A352" s="22" t="str">
        <x:v>ST-351</x:v>
      </x:c>
      <x:c r="B352" s="22" t="str">
        <x:v>Talk</x:v>
      </x:c>
      <x:c r="C352" s="22" t="str">
        <x:v>World Model</x:v>
      </x:c>
      <x:c r="D352" s="17" t="str">
        <x:v>World Models</x:v>
      </x:c>
      <x:c r="E352" s="17" t="str">
        <x:v>Embodied AI; Robotics; World Models</x:v>
      </x:c>
      <x:c r="F352" s="23" t="str">
        <x:v>English</x:v>
      </x:c>
      <x:c r="G352" s="17" t="str">
        <x:v>Colloquium Dec 11, 2025 - World Models and the Future of AI</x:v>
      </x:c>
      <x:c r="H352" s="17" t="str">
        <x:v>To be added</x:v>
      </x:c>
      <x:c r="I352" s="17" t="str">
        <x:v>NYU Physics</x:v>
      </x:c>
      <x:c r="J352" s="23" t="str">
        <x:v>Academic Talk</x:v>
      </x:c>
      <x:c r="K352" s="24" t="n">
        <x:v>72</x:v>
      </x:c>
      <x:c r="L352" s="16" t="str">
        <x:v>https://www.youtube.com/watch?v=2j78HCv6P5o</x:v>
      </x:c>
      <x:c r="M352" s="22" t="str">
        <x:v>YouTube</x:v>
      </x:c>
      <x:c r="N352" s="25" t="n">
        <x:v>4449</x:v>
      </x:c>
      <x:c r="O352" s="23" t="str">
        <x:v>C | Community Selection</x:v>
      </x:c>
      <x:c r="P352" s="23" t="str">
        <x:v>Reserve</x:v>
      </x:c>
      <x:c r="Q352" s="23" t="str">
        <x:v>Verified</x:v>
      </x:c>
      <x:c r="R352" s="26" t="n">
        <x:v>46244</x:v>
      </x:c>
      <x:c r="S352" s="17" t="str">
        <x:v>Targeted addition for the four priority areas; public YouTube result verified as accessible.</x:v>
      </x:c>
      <x:c r="T352" s="16" t="str">
        <x:v>2j78HCv6P5o</x:v>
      </x:c>
      <x:c r="U352" s="17" t="str"/>
      <x:c r="V352" s="151"/>
      <x:c r="W352" s="17" t="str"/>
    </x:row>
    <x:row r="353" ht="42" customHeight="1">
      <x:c r="A353" s="22" t="str">
        <x:v>ST-352</x:v>
      </x:c>
      <x:c r="B353" s="22" t="str">
        <x:v>Talk</x:v>
      </x:c>
      <x:c r="C353" s="22" t="str">
        <x:v>World Model</x:v>
      </x:c>
      <x:c r="D353" s="17" t="str">
        <x:v>World Models</x:v>
      </x:c>
      <x:c r="E353" s="17" t="str">
        <x:v>World Models</x:v>
      </x:c>
      <x:c r="F353" s="23" t="str">
        <x:v>English</x:v>
      </x:c>
      <x:c r="G353" s="17" t="str">
        <x:v>Spatial Intelligence as Structured Representation for Robotics - Wenlong Huang 2.20.2026</x:v>
      </x:c>
      <x:c r="H353" s="17" t="str">
        <x:v>To be added</x:v>
      </x:c>
      <x:c r="I353" s="17" t="str">
        <x:v>UT-Austin Robot Perception and Learning Lab</x:v>
      </x:c>
      <x:c r="J353" s="23" t="str">
        <x:v>Academic Talk</x:v>
      </x:c>
      <x:c r="K353" s="24" t="n">
        <x:v>60</x:v>
      </x:c>
      <x:c r="L353" s="16" t="str">
        <x:v>https://www.youtube.com/watch?v=0Orgo7j82mU</x:v>
      </x:c>
      <x:c r="M353" s="22" t="str">
        <x:v>YouTube</x:v>
      </x:c>
      <x:c r="N353" s="25" t="n">
        <x:v>393</x:v>
      </x:c>
      <x:c r="O353" s="23" t="str">
        <x:v>B | University / Conference / Institution</x:v>
      </x:c>
      <x:c r="P353" s="23" t="str">
        <x:v>Recommended</x:v>
      </x:c>
      <x:c r="Q353" s="23" t="str">
        <x:v>Verified</x:v>
      </x:c>
      <x:c r="R353" s="26" t="n">
        <x:v>46244</x:v>
      </x:c>
      <x:c r="S353" s="17" t="str">
        <x:v>Targeted addition for the four priority areas; public YouTube result verified as accessible.</x:v>
      </x:c>
      <x:c r="T353" s="16" t="str">
        <x:v>0Orgo7j82mU</x:v>
      </x:c>
      <x:c r="U353" s="17" t="str"/>
      <x:c r="V353" s="151"/>
      <x:c r="W353" s="17" t="str"/>
    </x:row>
    <x:row r="354" ht="42" customHeight="1">
      <x:c r="A354" s="22" t="str">
        <x:v>ST-353</x:v>
      </x:c>
      <x:c r="B354" s="22" t="str">
        <x:v>Talk</x:v>
      </x:c>
      <x:c r="C354" s="22" t="str">
        <x:v>World Model</x:v>
      </x:c>
      <x:c r="D354" s="17" t="str">
        <x:v>World Models</x:v>
      </x:c>
      <x:c r="E354" s="17" t="str">
        <x:v>Embodied AI; Robotics; World Models</x:v>
      </x:c>
      <x:c r="F354" s="23" t="str">
        <x:v>English</x:v>
      </x:c>
      <x:c r="G354" s="17" t="str">
        <x:v>Thomas Kipf - Do World Models need Objects? (NeSy 2025 Keynote)</x:v>
      </x:c>
      <x:c r="H354" s="17" t="str">
        <x:v>To be added</x:v>
      </x:c>
      <x:c r="I354" s="17" t="str">
        <x:v>NeSy conference</x:v>
      </x:c>
      <x:c r="J354" s="23" t="str">
        <x:v>Academic Talk</x:v>
      </x:c>
      <x:c r="K354" s="24" t="n">
        <x:v>62</x:v>
      </x:c>
      <x:c r="L354" s="16" t="str">
        <x:v>https://www.youtube.com/watch?v=xo3VMe2lHgs</x:v>
      </x:c>
      <x:c r="M354" s="22" t="str">
        <x:v>YouTube</x:v>
      </x:c>
      <x:c r="N354" s="25" t="n">
        <x:v>775</x:v>
      </x:c>
      <x:c r="O354" s="23" t="str">
        <x:v>B | University / Conference / Institution</x:v>
      </x:c>
      <x:c r="P354" s="23" t="str">
        <x:v>Recommended</x:v>
      </x:c>
      <x:c r="Q354" s="23" t="str">
        <x:v>Verified</x:v>
      </x:c>
      <x:c r="R354" s="26" t="n">
        <x:v>46244</x:v>
      </x:c>
      <x:c r="S354" s="17" t="str">
        <x:v>Targeted addition for the four priority areas; public YouTube result verified as accessible.</x:v>
      </x:c>
      <x:c r="T354" s="16" t="str">
        <x:v>xo3VMe2lHgs</x:v>
      </x:c>
      <x:c r="U354" s="17" t="str"/>
      <x:c r="V354" s="151"/>
      <x:c r="W354" s="17" t="str"/>
    </x:row>
    <x:row r="355" ht="42" customHeight="1">
      <x:c r="A355" s="22" t="str">
        <x:v>ST-354</x:v>
      </x:c>
      <x:c r="B355" s="22" t="str">
        <x:v>Talk</x:v>
      </x:c>
      <x:c r="C355" s="22" t="str">
        <x:v>Agent</x:v>
      </x:c>
      <x:c r="D355" s="17" t="str">
        <x:v>Agents</x:v>
      </x:c>
      <x:c r="E355" s="17" t="str">
        <x:v>Agents; Multi-Agent Systems</x:v>
      </x:c>
      <x:c r="F355" s="23" t="str">
        <x:v>English</x:v>
      </x:c>
      <x:c r="G355" s="17" t="str">
        <x:v>OpenAI’s Sam Altman Talks ChatGPT, AI Agents and Superintelligence — Live at TED2025</x:v>
      </x:c>
      <x:c r="H355" s="17" t="str">
        <x:v>To be added</x:v>
      </x:c>
      <x:c r="I355" s="17" t="str">
        <x:v>TED</x:v>
      </x:c>
      <x:c r="J355" s="23" t="str">
        <x:v>Academic Talk</x:v>
      </x:c>
      <x:c r="K355" s="24" t="n">
        <x:v>48</x:v>
      </x:c>
      <x:c r="L355" s="16" t="str">
        <x:v>https://www.youtube.com/watch?v=5MWT_doo68k</x:v>
      </x:c>
      <x:c r="M355" s="22" t="str">
        <x:v>YouTube</x:v>
      </x:c>
      <x:c r="N355" s="25" t="n">
        <x:v>2339940</x:v>
      </x:c>
      <x:c r="O355" s="23" t="str">
        <x:v>A | Official / Original Creator / Organizer</x:v>
      </x:c>
      <x:c r="P355" s="23" t="str">
        <x:v>Core</x:v>
      </x:c>
      <x:c r="Q355" s="23" t="str">
        <x:v>Verified</x:v>
      </x:c>
      <x:c r="R355" s="26" t="n">
        <x:v>46244</x:v>
      </x:c>
      <x:c r="S355" s="17" t="str">
        <x:v>Targeted addition for the four priority areas; public YouTube result verified as accessible.</x:v>
      </x:c>
      <x:c r="T355" s="16" t="str">
        <x:v>5MWT_doo68k</x:v>
      </x:c>
      <x:c r="U355" s="17" t="str"/>
      <x:c r="V355" s="151"/>
      <x:c r="W355" s="17" t="str"/>
    </x:row>
    <x:row r="356" ht="42" customHeight="1">
      <x:c r="A356" s="22" t="str">
        <x:v>ST-355</x:v>
      </x:c>
      <x:c r="B356" s="22" t="str">
        <x:v>Talk</x:v>
      </x:c>
      <x:c r="C356" s="22" t="str">
        <x:v>Agent</x:v>
      </x:c>
      <x:c r="D356" s="17" t="str">
        <x:v>Agents</x:v>
      </x:c>
      <x:c r="E356" s="17" t="str">
        <x:v>Agents; Multi-Agent Systems</x:v>
      </x:c>
      <x:c r="F356" s="23" t="str">
        <x:v>English</x:v>
      </x:c>
      <x:c r="G356" s="17" t="str">
        <x:v>AWS AI and Data Conference 2026 - Keynote: The Age of Agents | AWS Events</x:v>
      </x:c>
      <x:c r="H356" s="17" t="str">
        <x:v>To be added</x:v>
      </x:c>
      <x:c r="I356" s="17" t="str">
        <x:v>AWS Events</x:v>
      </x:c>
      <x:c r="J356" s="23" t="str">
        <x:v>Academic Talk</x:v>
      </x:c>
      <x:c r="K356" s="24" t="n">
        <x:v>72</x:v>
      </x:c>
      <x:c r="L356" s="16" t="str">
        <x:v>https://www.youtube.com/watch?v=YR6CDQXMdJs</x:v>
      </x:c>
      <x:c r="M356" s="22" t="str">
        <x:v>YouTube</x:v>
      </x:c>
      <x:c r="N356" s="25" t="n">
        <x:v>2027</x:v>
      </x:c>
      <x:c r="O356" s="23" t="str">
        <x:v>A | Official / Original Creator / Organizer</x:v>
      </x:c>
      <x:c r="P356" s="23" t="str">
        <x:v>Core</x:v>
      </x:c>
      <x:c r="Q356" s="23" t="str">
        <x:v>Verified</x:v>
      </x:c>
      <x:c r="R356" s="26" t="n">
        <x:v>46244</x:v>
      </x:c>
      <x:c r="S356" s="17" t="str">
        <x:v>Targeted addition for the four priority areas; public YouTube result verified as accessible.</x:v>
      </x:c>
      <x:c r="T356" s="16" t="str">
        <x:v>YR6CDQXMdJs</x:v>
      </x:c>
      <x:c r="U356" s="17" t="str"/>
      <x:c r="V356" s="151"/>
      <x:c r="W356" s="17" t="str"/>
    </x:row>
    <x:row r="357" ht="42" customHeight="1">
      <x:c r="A357" s="22" t="str">
        <x:v>ST-356</x:v>
      </x:c>
      <x:c r="B357" s="22" t="str">
        <x:v>Talk</x:v>
      </x:c>
      <x:c r="C357" s="22" t="str">
        <x:v>Agent</x:v>
      </x:c>
      <x:c r="D357" s="17" t="str">
        <x:v>Agents</x:v>
      </x:c>
      <x:c r="E357" s="17" t="str">
        <x:v>Agents; Multi-Agent Systems</x:v>
      </x:c>
      <x:c r="F357" s="23" t="str">
        <x:v>English</x:v>
      </x:c>
      <x:c r="G357" s="17" t="str">
        <x:v>Welcome to Agentic Business | ServiceNow Knowledge 2026 Opening Keynote</x:v>
      </x:c>
      <x:c r="H357" s="17" t="str">
        <x:v>To be added</x:v>
      </x:c>
      <x:c r="I357" s="17" t="str">
        <x:v>ServiceNow</x:v>
      </x:c>
      <x:c r="J357" s="23" t="str">
        <x:v>Academic Talk</x:v>
      </x:c>
      <x:c r="K357" s="24" t="n">
        <x:v>86</x:v>
      </x:c>
      <x:c r="L357" s="16" t="str">
        <x:v>https://www.youtube.com/watch?v=jeo2V1w-Peg</x:v>
      </x:c>
      <x:c r="M357" s="22" t="str">
        <x:v>YouTube</x:v>
      </x:c>
      <x:c r="N357" s="25" t="n">
        <x:v>2565933</x:v>
      </x:c>
      <x:c r="O357" s="23" t="str">
        <x:v>C | Community Selection</x:v>
      </x:c>
      <x:c r="P357" s="23" t="str">
        <x:v>Reserve</x:v>
      </x:c>
      <x:c r="Q357" s="23" t="str">
        <x:v>Verified</x:v>
      </x:c>
      <x:c r="R357" s="26" t="n">
        <x:v>46244</x:v>
      </x:c>
      <x:c r="S357" s="17" t="str">
        <x:v>Targeted addition for the four priority areas; public YouTube result verified as accessible.</x:v>
      </x:c>
      <x:c r="T357" s="16" t="str">
        <x:v>jeo2V1w-Peg</x:v>
      </x:c>
      <x:c r="U357" s="17" t="str"/>
      <x:c r="V357" s="151"/>
      <x:c r="W357" s="17" t="str"/>
    </x:row>
    <x:row r="358" ht="42" customHeight="1">
      <x:c r="A358" s="22" t="str">
        <x:v>ST-357</x:v>
      </x:c>
      <x:c r="B358" s="22" t="str">
        <x:v>Talk</x:v>
      </x:c>
      <x:c r="C358" s="22" t="str">
        <x:v>Agent</x:v>
      </x:c>
      <x:c r="D358" s="17" t="str">
        <x:v>Agents</x:v>
      </x:c>
      <x:c r="E358" s="17" t="str">
        <x:v>Agents; Multi-Agent Systems</x:v>
      </x:c>
      <x:c r="F358" s="23" t="str">
        <x:v>English</x:v>
      </x:c>
      <x:c r="G358" s="17" t="str">
        <x:v>Unlock the Power of Agentic Data | Tableau Conference 2026 Keynote Replay</x:v>
      </x:c>
      <x:c r="H358" s="17" t="str">
        <x:v>To be added</x:v>
      </x:c>
      <x:c r="I358" s="17" t="str">
        <x:v>Salesforce and Tableau</x:v>
      </x:c>
      <x:c r="J358" s="23" t="str">
        <x:v>Academic Talk</x:v>
      </x:c>
      <x:c r="K358" s="24" t="n">
        <x:v>70</x:v>
      </x:c>
      <x:c r="L358" s="16" t="str">
        <x:v>https://www.youtube.com/watch?v=yh4rmD9OXyY</x:v>
      </x:c>
      <x:c r="M358" s="22" t="str">
        <x:v>YouTube</x:v>
      </x:c>
      <x:c r="N358" s="25" t="n">
        <x:v>1188359</x:v>
      </x:c>
      <x:c r="O358" s="23" t="str">
        <x:v>C | Community Selection</x:v>
      </x:c>
      <x:c r="P358" s="23" t="str">
        <x:v>Reserve</x:v>
      </x:c>
      <x:c r="Q358" s="23" t="str">
        <x:v>Verified</x:v>
      </x:c>
      <x:c r="R358" s="26" t="n">
        <x:v>46244</x:v>
      </x:c>
      <x:c r="S358" s="17" t="str">
        <x:v>Targeted addition for the four priority areas; public YouTube result verified as accessible.</x:v>
      </x:c>
      <x:c r="T358" s="16" t="str">
        <x:v>yh4rmD9OXyY</x:v>
      </x:c>
      <x:c r="U358" s="17" t="str"/>
      <x:c r="V358" s="151"/>
      <x:c r="W358" s="17" t="str"/>
    </x:row>
    <x:row r="359" ht="42" customHeight="1">
      <x:c r="A359" s="22" t="str">
        <x:v>ST-358</x:v>
      </x:c>
      <x:c r="B359" s="22" t="str">
        <x:v>Talk</x:v>
      </x:c>
      <x:c r="C359" s="22" t="str">
        <x:v>Agent</x:v>
      </x:c>
      <x:c r="D359" s="17" t="str">
        <x:v>Agents</x:v>
      </x:c>
      <x:c r="E359" s="17" t="str">
        <x:v>Agents; Multi-Agent Systems</x:v>
      </x:c>
      <x:c r="F359" s="23" t="str">
        <x:v>English</x:v>
      </x:c>
      <x:c r="G359" s="17" t="str">
        <x:v>Agents4Science 2025 Virtual Conference</x:v>
      </x:c>
      <x:c r="H359" s="17" t="str">
        <x:v>To be added</x:v>
      </x:c>
      <x:c r="I359" s="17" t="str">
        <x:v>Agents4Science</x:v>
      </x:c>
      <x:c r="J359" s="23" t="str">
        <x:v>Academic Talk</x:v>
      </x:c>
      <x:c r="K359" s="24" t="n">
        <x:v>199</x:v>
      </x:c>
      <x:c r="L359" s="16" t="str">
        <x:v>https://www.youtube.com/watch?v=7pXqAeedqOo</x:v>
      </x:c>
      <x:c r="M359" s="22" t="str">
        <x:v>YouTube</x:v>
      </x:c>
      <x:c r="N359" s="25" t="n">
        <x:v>4254</x:v>
      </x:c>
      <x:c r="O359" s="23" t="str">
        <x:v>A | Official / Original Creator / Organizer</x:v>
      </x:c>
      <x:c r="P359" s="23" t="str">
        <x:v>Core</x:v>
      </x:c>
      <x:c r="Q359" s="23" t="str">
        <x:v>Verified</x:v>
      </x:c>
      <x:c r="R359" s="26" t="n">
        <x:v>46244</x:v>
      </x:c>
      <x:c r="S359" s="17" t="str">
        <x:v>Targeted addition for the four priority areas; public YouTube result verified as accessible.</x:v>
      </x:c>
      <x:c r="T359" s="16" t="str">
        <x:v>7pXqAeedqOo</x:v>
      </x:c>
      <x:c r="U359" s="17" t="str"/>
      <x:c r="V359" s="151"/>
      <x:c r="W359" s="17" t="str"/>
    </x:row>
    <x:row r="360" ht="42" customHeight="1">
      <x:c r="A360" s="22" t="str">
        <x:v>ST-359</x:v>
      </x:c>
      <x:c r="B360" s="22" t="str">
        <x:v>Talk</x:v>
      </x:c>
      <x:c r="C360" s="22" t="str">
        <x:v>Vision</x:v>
      </x:c>
      <x:c r="D360" s="17" t="str">
        <x:v>Vision</x:v>
      </x:c>
      <x:c r="E360" s="17" t="str">
        <x:v>Vision</x:v>
      </x:c>
      <x:c r="F360" s="23" t="str">
        <x:v>English</x:v>
      </x:c>
      <x:c r="G360" s="17" t="str">
        <x:v>Ayellet Tal | Past Forward: When Computer Vision &amp; Archaeology Meet | Talks at Google</x:v>
      </x:c>
      <x:c r="H360" s="17" t="str">
        <x:v>To be added</x:v>
      </x:c>
      <x:c r="I360" s="17" t="str">
        <x:v>Talks at Google</x:v>
      </x:c>
      <x:c r="J360" s="23" t="str">
        <x:v>Academic Talk</x:v>
      </x:c>
      <x:c r="K360" s="24" t="n">
        <x:v>62</x:v>
      </x:c>
      <x:c r="L360" s="16" t="str">
        <x:v>https://www.youtube.com/watch?v=QTcElS-9lhg</x:v>
      </x:c>
      <x:c r="M360" s="22" t="str">
        <x:v>YouTube</x:v>
      </x:c>
      <x:c r="N360" s="25" t="n">
        <x:v>3528</x:v>
      </x:c>
      <x:c r="O360" s="23" t="str">
        <x:v>A | Official / Original Creator / Organizer</x:v>
      </x:c>
      <x:c r="P360" s="23" t="str">
        <x:v>Core</x:v>
      </x:c>
      <x:c r="Q360" s="23" t="str">
        <x:v>Verified</x:v>
      </x:c>
      <x:c r="R360" s="26" t="n">
        <x:v>46244</x:v>
      </x:c>
      <x:c r="S360" s="17" t="str">
        <x:v>Targeted addition for the four priority areas; public YouTube result verified as accessible.</x:v>
      </x:c>
      <x:c r="T360" s="16" t="str">
        <x:v>QTcElS-9lhg</x:v>
      </x:c>
      <x:c r="U360" s="17" t="str"/>
      <x:c r="V360" s="151"/>
      <x:c r="W360" s="17" t="str"/>
    </x:row>
    <x:row r="361" ht="42" customHeight="1">
      <x:c r="A361" s="22" t="str">
        <x:v>ST-360</x:v>
      </x:c>
      <x:c r="B361" s="22" t="str">
        <x:v>Talk</x:v>
      </x:c>
      <x:c r="C361" s="22" t="str">
        <x:v>Vision</x:v>
      </x:c>
      <x:c r="D361" s="17" t="str">
        <x:v>Vision</x:v>
      </x:c>
      <x:c r="E361" s="17" t="str">
        <x:v>Vision</x:v>
      </x:c>
      <x:c r="F361" s="23" t="str">
        <x:v>English</x:v>
      </x:c>
      <x:c r="G361" s="17" t="str">
        <x:v>Computer Vision Talk With Madhav Humagain | Geek Mic | S01E02</x:v>
      </x:c>
      <x:c r="H361" s="17" t="str">
        <x:v>To be added</x:v>
      </x:c>
      <x:c r="I361" s="17" t="str">
        <x:v>Geek Mic</x:v>
      </x:c>
      <x:c r="J361" s="23" t="str">
        <x:v>Academic Talk</x:v>
      </x:c>
      <x:c r="K361" s="24" t="n">
        <x:v>27</x:v>
      </x:c>
      <x:c r="L361" s="16" t="str">
        <x:v>https://www.youtube.com/watch?v=ZcnuH0LIpeo</x:v>
      </x:c>
      <x:c r="M361" s="22" t="str">
        <x:v>YouTube</x:v>
      </x:c>
      <x:c r="N361" s="25" t="n">
        <x:v>1764</x:v>
      </x:c>
      <x:c r="O361" s="23" t="str">
        <x:v>C | Community Selection</x:v>
      </x:c>
      <x:c r="P361" s="23" t="str">
        <x:v>Reserve</x:v>
      </x:c>
      <x:c r="Q361" s="23" t="str">
        <x:v>Verified</x:v>
      </x:c>
      <x:c r="R361" s="26" t="n">
        <x:v>46244</x:v>
      </x:c>
      <x:c r="S361" s="17" t="str">
        <x:v>Targeted addition for the four priority areas; public YouTube result verified as accessible.</x:v>
      </x:c>
      <x:c r="T361" s="16" t="str">
        <x:v>ZcnuH0LIpeo</x:v>
      </x:c>
      <x:c r="U361" s="17" t="str"/>
      <x:c r="V361" s="151"/>
      <x:c r="W361" s="17" t="str"/>
    </x:row>
    <x:row r="362" ht="42" customHeight="1">
      <x:c r="A362" s="22" t="str">
        <x:v>ST-361</x:v>
      </x:c>
      <x:c r="B362" s="22" t="str">
        <x:v>Talk</x:v>
      </x:c>
      <x:c r="C362" s="22" t="str">
        <x:v>Vision</x:v>
      </x:c>
      <x:c r="D362" s="17" t="str">
        <x:v>Vision</x:v>
      </x:c>
      <x:c r="E362" s="17" t="str">
        <x:v>Vision</x:v>
      </x:c>
      <x:c r="F362" s="23" t="str">
        <x:v>English</x:v>
      </x:c>
      <x:c r="G362" s="17" t="str">
        <x:v>Fundamentals of Computer Vision Explained by a Lead ML Engineer | UChicago Data Science Seminar</x:v>
      </x:c>
      <x:c r="H362" s="17" t="str">
        <x:v>To be added</x:v>
      </x:c>
      <x:c r="I362" s="17" t="str">
        <x:v>UChicago Data Science Institute</x:v>
      </x:c>
      <x:c r="J362" s="23" t="str">
        <x:v>Academic Talk</x:v>
      </x:c>
      <x:c r="K362" s="24" t="n">
        <x:v>58</x:v>
      </x:c>
      <x:c r="L362" s="16" t="str">
        <x:v>https://www.youtube.com/watch?v=yanhbjA3kls</x:v>
      </x:c>
      <x:c r="M362" s="22" t="str">
        <x:v>YouTube</x:v>
      </x:c>
      <x:c r="N362" s="25" t="n">
        <x:v>331</x:v>
      </x:c>
      <x:c r="O362" s="23" t="str">
        <x:v>B | University / Conference / Institution</x:v>
      </x:c>
      <x:c r="P362" s="23" t="str">
        <x:v>Recommended</x:v>
      </x:c>
      <x:c r="Q362" s="23" t="str">
        <x:v>Verified</x:v>
      </x:c>
      <x:c r="R362" s="26" t="n">
        <x:v>46244</x:v>
      </x:c>
      <x:c r="S362" s="17" t="str">
        <x:v>Targeted addition for the four priority areas; public YouTube result verified as accessible.</x:v>
      </x:c>
      <x:c r="T362" s="16" t="str">
        <x:v>yanhbjA3kls</x:v>
      </x:c>
      <x:c r="U362" s="17" t="str"/>
      <x:c r="V362" s="151"/>
      <x:c r="W362" s="17" t="str"/>
    </x:row>
    <x:row r="363" ht="42" customHeight="1">
      <x:c r="A363" s="22" t="str">
        <x:v>ST-362</x:v>
      </x:c>
      <x:c r="B363" s="22" t="str">
        <x:v>Talk</x:v>
      </x:c>
      <x:c r="C363" s="22" t="str">
        <x:v>Vision</x:v>
      </x:c>
      <x:c r="D363" s="17" t="str">
        <x:v>Vision</x:v>
      </x:c>
      <x:c r="E363" s="17" t="str">
        <x:v>Vision</x:v>
      </x:c>
      <x:c r="F363" s="23" t="str">
        <x:v>English</x:v>
      </x:c>
      <x:c r="G363" s="17" t="str">
        <x:v>Keynote talk given by Prof. James Hays on 4th CVPR VOCVALC workshop</x:v>
      </x:c>
      <x:c r="H363" s="17" t="str">
        <x:v>To be added</x:v>
      </x:c>
      <x:c r="I363" s="17" t="str">
        <x:v>Intelligent Vision and Sensing Lab</x:v>
      </x:c>
      <x:c r="J363" s="23" t="str">
        <x:v>Academic Talk</x:v>
      </x:c>
      <x:c r="K363" s="24" t="n">
        <x:v>38</x:v>
      </x:c>
      <x:c r="L363" s="16" t="str">
        <x:v>https://www.youtube.com/watch?v=prC9MJNZmTI</x:v>
      </x:c>
      <x:c r="M363" s="22" t="str">
        <x:v>YouTube</x:v>
      </x:c>
      <x:c r="N363" s="25" t="n">
        <x:v>103</x:v>
      </x:c>
      <x:c r="O363" s="23" t="str">
        <x:v>B | University / Conference / Institution</x:v>
      </x:c>
      <x:c r="P363" s="23" t="str">
        <x:v>Recommended</x:v>
      </x:c>
      <x:c r="Q363" s="23" t="str">
        <x:v>Verified</x:v>
      </x:c>
      <x:c r="R363" s="26" t="n">
        <x:v>46244</x:v>
      </x:c>
      <x:c r="S363" s="17" t="str">
        <x:v>Targeted addition for the four priority areas; public YouTube result verified as accessible.</x:v>
      </x:c>
      <x:c r="T363" s="16" t="str">
        <x:v>prC9MJNZmTI</x:v>
      </x:c>
      <x:c r="U363" s="17" t="str"/>
      <x:c r="V363" s="151"/>
      <x:c r="W363" s="17" t="str"/>
    </x:row>
    <x:row r="364" ht="42" customHeight="1">
      <x:c r="A364" s="22" t="str">
        <x:v>ST-363</x:v>
      </x:c>
      <x:c r="B364" s="22" t="str">
        <x:v>Talk</x:v>
      </x:c>
      <x:c r="C364" s="22" t="str">
        <x:v>Vision</x:v>
      </x:c>
      <x:c r="D364" s="17" t="str">
        <x:v>Vision</x:v>
      </x:c>
      <x:c r="E364" s="17" t="str">
        <x:v>Vision</x:v>
      </x:c>
      <x:c r="F364" s="23" t="str">
        <x:v>English</x:v>
      </x:c>
      <x:c r="G364" s="17" t="str">
        <x:v>Keynote talk given by Prof. Daniel Cremers on 4th CVPR VOCVALC workshop.</x:v>
      </x:c>
      <x:c r="H364" s="17" t="str">
        <x:v>To be added</x:v>
      </x:c>
      <x:c r="I364" s="17" t="str">
        <x:v>Intelligent Vision and Sensing Lab</x:v>
      </x:c>
      <x:c r="J364" s="23" t="str">
        <x:v>Academic Talk</x:v>
      </x:c>
      <x:c r="K364" s="24" t="n">
        <x:v>46</x:v>
      </x:c>
      <x:c r="L364" s="16" t="str">
        <x:v>https://www.youtube.com/watch?v=RTspF8gxJDE</x:v>
      </x:c>
      <x:c r="M364" s="22" t="str">
        <x:v>YouTube</x:v>
      </x:c>
      <x:c r="N364" s="25" t="n">
        <x:v>106</x:v>
      </x:c>
      <x:c r="O364" s="23" t="str">
        <x:v>B | University / Conference / Institution</x:v>
      </x:c>
      <x:c r="P364" s="23" t="str">
        <x:v>Recommended</x:v>
      </x:c>
      <x:c r="Q364" s="23" t="str">
        <x:v>Verified</x:v>
      </x:c>
      <x:c r="R364" s="26" t="n">
        <x:v>46244</x:v>
      </x:c>
      <x:c r="S364" s="17" t="str">
        <x:v>Targeted addition for the four priority areas; public YouTube result verified as accessible.</x:v>
      </x:c>
      <x:c r="T364" s="16" t="str">
        <x:v>RTspF8gxJDE</x:v>
      </x:c>
      <x:c r="U364" s="17" t="str"/>
      <x:c r="V364" s="151"/>
      <x:c r="W364" s="17" t="str"/>
    </x:row>
    <x:row r="365" ht="42" customHeight="1">
      <x:c r="A365" s="22" t="str">
        <x:v>ST-364</x:v>
      </x:c>
      <x:c r="B365" s="22" t="str">
        <x:v>Talk</x:v>
      </x:c>
      <x:c r="C365" s="22" t="str">
        <x:v>Vision</x:v>
      </x:c>
      <x:c r="D365" s="17" t="str">
        <x:v>Vision</x:v>
      </x:c>
      <x:c r="E365" s="17" t="str">
        <x:v>Vision</x:v>
      </x:c>
      <x:c r="F365" s="23" t="str">
        <x:v>English</x:v>
      </x:c>
      <x:c r="G365" s="17" t="str">
        <x:v>Prof. Torsten Sattler's keynote talk on 4th CVPR VOCVALC workshop</x:v>
      </x:c>
      <x:c r="H365" s="17" t="str">
        <x:v>To be added</x:v>
      </x:c>
      <x:c r="I365" s="17" t="str">
        <x:v>Intelligent Vision and Sensing Lab</x:v>
      </x:c>
      <x:c r="J365" s="23" t="str">
        <x:v>Academic Talk</x:v>
      </x:c>
      <x:c r="K365" s="24" t="n">
        <x:v>40</x:v>
      </x:c>
      <x:c r="L365" s="16" t="str">
        <x:v>https://www.youtube.com/watch?v=6eaGjvwzCfI</x:v>
      </x:c>
      <x:c r="M365" s="22" t="str">
        <x:v>YouTube</x:v>
      </x:c>
      <x:c r="N365" s="25" t="n">
        <x:v>65</x:v>
      </x:c>
      <x:c r="O365" s="23" t="str">
        <x:v>B | University / Conference / Institution</x:v>
      </x:c>
      <x:c r="P365" s="23" t="str">
        <x:v>Recommended</x:v>
      </x:c>
      <x:c r="Q365" s="23" t="str">
        <x:v>Verified</x:v>
      </x:c>
      <x:c r="R365" s="26" t="n">
        <x:v>46244</x:v>
      </x:c>
      <x:c r="S365" s="17" t="str">
        <x:v>Targeted addition for the four priority areas; public YouTube result verified as accessible.</x:v>
      </x:c>
      <x:c r="T365" s="16" t="str">
        <x:v>6eaGjvwzCfI</x:v>
      </x:c>
      <x:c r="U365" s="17" t="str"/>
      <x:c r="V365" s="151"/>
      <x:c r="W365" s="17" t="str"/>
    </x:row>
    <x:row r="366" ht="42" customHeight="1">
      <x:c r="A366" s="22" t="str">
        <x:v>ST-365</x:v>
      </x:c>
      <x:c r="B366" s="22" t="str">
        <x:v>Talk</x:v>
      </x:c>
      <x:c r="C366" s="22" t="str">
        <x:v>Robotics</x:v>
      </x:c>
      <x:c r="D366" s="17" t="str">
        <x:v>Robotics / Embodied AI</x:v>
      </x:c>
      <x:c r="E366" s="17" t="str">
        <x:v>Robot Learning; Human Experience; Imitation Learning; Embodied AI</x:v>
      </x:c>
      <x:c r="F366" s="23" t="str">
        <x:v>English</x:v>
      </x:c>
      <x:c r="G366" s="17" t="str">
        <x:v>Stanford Robotics Seminar ENGR319 | Spring 2026 | Robot Learning from Human Experience</x:v>
      </x:c>
      <x:c r="H366" s="17" t="str">
        <x:v>Danfei Xu</x:v>
      </x:c>
      <x:c r="I366" s="17" t="str">
        <x:v>Stanford Online</x:v>
      </x:c>
      <x:c r="J366" s="23" t="str">
        <x:v>Academic Talk</x:v>
      </x:c>
      <x:c r="K366" s="24" t="n">
        <x:v>69</x:v>
      </x:c>
      <x:c r="L366" s="16" t="str">
        <x:v>https://www.youtube.com/watch?v=NUtaN10cVDc</x:v>
      </x:c>
      <x:c r="M366" s="22" t="str">
        <x:v>YouTube</x:v>
      </x:c>
      <x:c r="N366" s="25" t="n">
        <x:v>12851</x:v>
      </x:c>
      <x:c r="O366" s="23" t="str">
        <x:v>A | Official / Original Creator / Organizer</x:v>
      </x:c>
      <x:c r="P366" s="23" t="str">
        <x:v>Core</x:v>
      </x:c>
      <x:c r="Q366" s="23" t="str">
        <x:v>Verified</x:v>
      </x:c>
      <x:c r="R366" s="26" t="n">
        <x:v>46244</x:v>
      </x:c>
      <x:c r="S366" s="17" t="str">
        <x:v>Targeted addition for the four priority areas; public YouTube result verified as accessible. Metadata and series placement refined in the 2026-08-15 latest-gap audit.</x:v>
      </x:c>
      <x:c r="T366" s="16" t="str">
        <x:v>NUtaN10cVDc</x:v>
      </x:c>
      <x:c r="U366" s="17" t="str"/>
      <x:c r="V366" s="151"/>
      <x:c r="W366" s="17" t="str"/>
    </x:row>
    <x:row r="367" ht="42" customHeight="1">
      <x:c r="A367" s="22" t="str">
        <x:v>ST-366</x:v>
      </x:c>
      <x:c r="B367" s="22" t="str">
        <x:v>Talk</x:v>
      </x:c>
      <x:c r="C367" s="22" t="str">
        <x:v>Robotics</x:v>
      </x:c>
      <x:c r="D367" s="17" t="str">
        <x:v>Robotics / Embodied AI</x:v>
      </x:c>
      <x:c r="E367" s="17" t="str">
        <x:v>Foundation Models; Robot Learning; Embodied AI; Generalist Robot Policies</x:v>
      </x:c>
      <x:c r="F367" s="23" t="str">
        <x:v>English</x:v>
      </x:c>
      <x:c r="G367" s="17" t="str">
        <x:v>Stanford Robotics Seminar ENGR319 | Winter 2026 | 𝚿0: An Open Foundation Model</x:v>
      </x:c>
      <x:c r="H367" s="17" t="str">
        <x:v>Yue Wang</x:v>
      </x:c>
      <x:c r="I367" s="17" t="str">
        <x:v>Stanford Online</x:v>
      </x:c>
      <x:c r="J367" s="23" t="str">
        <x:v>Academic Talk</x:v>
      </x:c>
      <x:c r="K367" s="24" t="n">
        <x:v>64</x:v>
      </x:c>
      <x:c r="L367" s="16" t="str">
        <x:v>https://www.youtube.com/watch?v=popjDuA-whA</x:v>
      </x:c>
      <x:c r="M367" s="22" t="str">
        <x:v>YouTube</x:v>
      </x:c>
      <x:c r="N367" s="25" t="n">
        <x:v>18240</x:v>
      </x:c>
      <x:c r="O367" s="23" t="str">
        <x:v>A | Official / Original Creator / Organizer</x:v>
      </x:c>
      <x:c r="P367" s="23" t="str">
        <x:v>Core</x:v>
      </x:c>
      <x:c r="Q367" s="23" t="str">
        <x:v>Verified</x:v>
      </x:c>
      <x:c r="R367" s="26" t="n">
        <x:v>46244</x:v>
      </x:c>
      <x:c r="S367" s="17" t="str">
        <x:v>Targeted addition for the four priority areas; public YouTube result verified as accessible. Metadata and series placement refined in the 2026-08-15 latest-gap audit.</x:v>
      </x:c>
      <x:c r="T367" s="16" t="str">
        <x:v>popjDuA-whA</x:v>
      </x:c>
      <x:c r="U367" s="17" t="str"/>
      <x:c r="V367" s="151"/>
      <x:c r="W367" s="17" t="str"/>
    </x:row>
    <x:row r="368" ht="42" customHeight="1">
      <x:c r="A368" s="22" t="str">
        <x:v>ST-367</x:v>
      </x:c>
      <x:c r="B368" s="22" t="str">
        <x:v>Talk</x:v>
      </x:c>
      <x:c r="C368" s="22" t="str">
        <x:v>Robotics</x:v>
      </x:c>
      <x:c r="D368" s="17" t="str">
        <x:v>Robotics</x:v>
      </x:c>
      <x:c r="E368" s="17" t="str">
        <x:v>Robotics</x:v>
      </x:c>
      <x:c r="F368" s="23" t="str">
        <x:v>English</x:v>
      </x:c>
      <x:c r="G368" s="17" t="str">
        <x:v>RI Seminar: Max Simchowitz: Generative Control, Action Chunking, and Moravec’s Paradox</x:v>
      </x:c>
      <x:c r="H368" s="17" t="str">
        <x:v>To be added</x:v>
      </x:c>
      <x:c r="I368" s="17" t="str">
        <x:v>CMU Robotics Institute</x:v>
      </x:c>
      <x:c r="J368" s="23" t="str">
        <x:v>Academic Talk</x:v>
      </x:c>
      <x:c r="K368" s="24" t="n">
        <x:v>57</x:v>
      </x:c>
      <x:c r="L368" s="16" t="str">
        <x:v>https://www.youtube.com/watch?v=UX1YXcRnFbs</x:v>
      </x:c>
      <x:c r="M368" s="22" t="str">
        <x:v>YouTube</x:v>
      </x:c>
      <x:c r="N368" s="25" t="n">
        <x:v>27380</x:v>
      </x:c>
      <x:c r="O368" s="23" t="str">
        <x:v>A | Official / Original Creator / Organizer</x:v>
      </x:c>
      <x:c r="P368" s="23" t="str">
        <x:v>Core</x:v>
      </x:c>
      <x:c r="Q368" s="23" t="str">
        <x:v>Verified</x:v>
      </x:c>
      <x:c r="R368" s="26" t="n">
        <x:v>46244</x:v>
      </x:c>
      <x:c r="S368" s="17" t="str">
        <x:v>Targeted addition for the four priority areas; public YouTube result verified as accessible.</x:v>
      </x:c>
      <x:c r="T368" s="16" t="str">
        <x:v>UX1YXcRnFbs</x:v>
      </x:c>
      <x:c r="U368" s="17" t="str"/>
      <x:c r="V368" s="151"/>
      <x:c r="W368" s="17" t="str"/>
    </x:row>
    <x:row r="369" ht="42" customHeight="1">
      <x:c r="A369" s="22" t="str">
        <x:v>ST-368</x:v>
      </x:c>
      <x:c r="B369" s="22" t="str">
        <x:v>Talk</x:v>
      </x:c>
      <x:c r="C369" s="22" t="str">
        <x:v>Robotics</x:v>
      </x:c>
      <x:c r="D369" s="17" t="str">
        <x:v>Robotics</x:v>
      </x:c>
      <x:c r="E369" s="17" t="str">
        <x:v>Agents; Multi-Agent Systems</x:v>
      </x:c>
      <x:c r="F369" s="23" t="str">
        <x:v>English</x:v>
      </x:c>
      <x:c r="G369" s="17" t="str">
        <x:v>Jensen Huang Delivers Keynote at CES, Reveals the Rise of Agentic AI, Open Models, Physical AI |AI1N</x:v>
      </x:c>
      <x:c r="H369" s="17" t="str">
        <x:v>To be added</x:v>
      </x:c>
      <x:c r="I369" s="17" t="str">
        <x:v>DRM News</x:v>
      </x:c>
      <x:c r="J369" s="23" t="str">
        <x:v>Academic Talk</x:v>
      </x:c>
      <x:c r="K369" s="24" t="n">
        <x:v>16</x:v>
      </x:c>
      <x:c r="L369" s="16" t="str">
        <x:v>https://www.youtube.com/watch?v=a7nqkc8zgR8</x:v>
      </x:c>
      <x:c r="M369" s="22" t="str">
        <x:v>YouTube</x:v>
      </x:c>
      <x:c r="N369" s="25" t="n">
        <x:v>19613</x:v>
      </x:c>
      <x:c r="O369" s="23" t="str">
        <x:v>C | Community Selection</x:v>
      </x:c>
      <x:c r="P369" s="23" t="str">
        <x:v>Reserve</x:v>
      </x:c>
      <x:c r="Q369" s="23" t="str">
        <x:v>Verified</x:v>
      </x:c>
      <x:c r="R369" s="26" t="n">
        <x:v>46244</x:v>
      </x:c>
      <x:c r="S369" s="17" t="str">
        <x:v>Targeted addition for the four priority areas; public YouTube result verified as accessible.</x:v>
      </x:c>
      <x:c r="T369" s="16" t="str">
        <x:v>a7nqkc8zgR8</x:v>
      </x:c>
      <x:c r="U369" s="17" t="str"/>
      <x:c r="V369" s="151"/>
      <x:c r="W369" s="17" t="str"/>
    </x:row>
    <x:row r="370" ht="42" customHeight="1">
      <x:c r="A370" s="22" t="str">
        <x:v>ST-369</x:v>
      </x:c>
      <x:c r="B370" s="22" t="str">
        <x:v>Talk</x:v>
      </x:c>
      <x:c r="C370" s="22" t="str">
        <x:v>Robotics</x:v>
      </x:c>
      <x:c r="D370" s="17" t="str">
        <x:v>Robotics</x:v>
      </x:c>
      <x:c r="E370" s="17" t="str">
        <x:v>Robotics</x:v>
      </x:c>
      <x:c r="F370" s="23" t="str">
        <x:v>English</x:v>
      </x:c>
      <x:c r="G370" s="17" t="str">
        <x:v>Raquel Urtasun | CVPR 2020 Embodied AI Workshop Talk</x:v>
      </x:c>
      <x:c r="H370" s="17" t="str">
        <x:v>To be added</x:v>
      </x:c>
      <x:c r="I370" s="17" t="str">
        <x:v>Embodied AI</x:v>
      </x:c>
      <x:c r="J370" s="23" t="str">
        <x:v>Academic Talk</x:v>
      </x:c>
      <x:c r="K370" s="24" t="n">
        <x:v>31</x:v>
      </x:c>
      <x:c r="L370" s="16" t="str">
        <x:v>https://www.youtube.com/watch?v=7GIUBS-TEa0</x:v>
      </x:c>
      <x:c r="M370" s="22" t="str">
        <x:v>YouTube</x:v>
      </x:c>
      <x:c r="N370" s="25" t="n">
        <x:v>1960</x:v>
      </x:c>
      <x:c r="O370" s="23" t="str">
        <x:v>C | Community Selection</x:v>
      </x:c>
      <x:c r="P370" s="23" t="str">
        <x:v>Reserve</x:v>
      </x:c>
      <x:c r="Q370" s="23" t="str">
        <x:v>Verified</x:v>
      </x:c>
      <x:c r="R370" s="26" t="n">
        <x:v>46244</x:v>
      </x:c>
      <x:c r="S370" s="17" t="str">
        <x:v>Targeted addition for the four priority areas; public YouTube result verified as accessible.</x:v>
      </x:c>
      <x:c r="T370" s="16" t="str">
        <x:v>7GIUBS-TEa0</x:v>
      </x:c>
      <x:c r="U370" s="17" t="str"/>
      <x:c r="V370" s="151"/>
      <x:c r="W370" s="17" t="str"/>
    </x:row>
    <x:row r="371" ht="42" customHeight="1">
      <x:c r="A371" s="22" t="str">
        <x:v>ST-370</x:v>
      </x:c>
      <x:c r="B371" s="22" t="str">
        <x:v>Talk</x:v>
      </x:c>
      <x:c r="C371" s="22" t="str">
        <x:v>Robotics</x:v>
      </x:c>
      <x:c r="D371" s="17" t="str">
        <x:v>Robotics</x:v>
      </x:c>
      <x:c r="E371" s="17" t="str">
        <x:v>AI for Science</x:v>
      </x:c>
      <x:c r="F371" s="23" t="str">
        <x:v>English</x:v>
      </x:c>
      <x:c r="G371" s="17" t="str">
        <x:v>Ray Summit 2025 Keynote: Physical AI Turing Test with Jim Fan from NVIDIA</x:v>
      </x:c>
      <x:c r="H371" s="17" t="str">
        <x:v>To be added</x:v>
      </x:c>
      <x:c r="I371" s="17" t="str">
        <x:v>Anyscale</x:v>
      </x:c>
      <x:c r="J371" s="23" t="str">
        <x:v>Academic Talk</x:v>
      </x:c>
      <x:c r="K371" s="24" t="n">
        <x:v>20</x:v>
      </x:c>
      <x:c r="L371" s="16" t="str">
        <x:v>https://www.youtube.com/watch?v=7fDiui8cAVQ</x:v>
      </x:c>
      <x:c r="M371" s="22" t="str">
        <x:v>YouTube</x:v>
      </x:c>
      <x:c r="N371" s="25" t="n">
        <x:v>2162</x:v>
      </x:c>
      <x:c r="O371" s="23" t="str">
        <x:v>C | Community Selection</x:v>
      </x:c>
      <x:c r="P371" s="23" t="str">
        <x:v>Reserve</x:v>
      </x:c>
      <x:c r="Q371" s="23" t="str">
        <x:v>Verified</x:v>
      </x:c>
      <x:c r="R371" s="26" t="n">
        <x:v>46244</x:v>
      </x:c>
      <x:c r="S371" s="17" t="str">
        <x:v>Targeted addition for the four priority areas; public YouTube result verified as accessible.</x:v>
      </x:c>
      <x:c r="T371" s="16" t="str">
        <x:v>7fDiui8cAVQ</x:v>
      </x:c>
      <x:c r="U371" s="17" t="str"/>
      <x:c r="V371" s="151"/>
      <x:c r="W371" s="17" t="str"/>
    </x:row>
    <x:row r="372" ht="42" customHeight="1">
      <x:c r="A372" s="22" t="str">
        <x:v>ST-371</x:v>
      </x:c>
      <x:c r="B372" s="22" t="str">
        <x:v>Interview</x:v>
      </x:c>
      <x:c r="C372" s="22" t="str">
        <x:v>Robotics</x:v>
      </x:c>
      <x:c r="D372" s="17" t="str">
        <x:v>Robotics / Embodied AI</x:v>
      </x:c>
      <x:c r="E372" s="17" t="str">
        <x:v>Robot Learning / Embodied AI / Control</x:v>
      </x:c>
      <x:c r="F372" s="23" t="str">
        <x:v>English</x:v>
      </x:c>
      <x:c r="G372" s="17" t="str">
        <x:v>Russ Tedrake: Underactuated Robotics, Control, Dynamics and Touch | Lex Fridman Podcast #114</x:v>
      </x:c>
      <x:c r="H372" s="17" t="str">
        <x:v>Russ Tedrake</x:v>
      </x:c>
      <x:c r="I372" s="17" t="str">
        <x:v>Lex Fridman</x:v>
      </x:c>
      <x:c r="J372" s="23" t="str">
        <x:v>Podcast Interview</x:v>
      </x:c>
      <x:c r="K372" s="24" t="n">
        <x:v>169</x:v>
      </x:c>
      <x:c r="L372" s="16" t="str">
        <x:v>https://www.youtube.com/watch?v=A22Ej6kb2wo</x:v>
      </x:c>
      <x:c r="M372" s="22" t="str">
        <x:v>YouTube</x:v>
      </x:c>
      <x:c r="N372" s="25" t="n">
        <x:v>191105</x:v>
      </x:c>
      <x:c r="O372" s="23" t="str">
        <x:v>B | University / Conference / Institution</x:v>
      </x:c>
      <x:c r="P372" s="23" t="str">
        <x:v>Recommended</x:v>
      </x:c>
      <x:c r="Q372" s="23" t="str">
        <x:v>Verified</x:v>
      </x:c>
      <x:c r="R372" s="26" t="n">
        <x:v>46246</x:v>
      </x:c>
      <x:c r="S372" s="17" t="str">
        <x:v>Curated in the targeted ScholarTube expansion; public metadata accessible and editorially reviewed.</x:v>
      </x:c>
      <x:c r="T372" s="16" t="str">
        <x:v>A22Ej6kb2wo</x:v>
      </x:c>
      <x:c r="U372" s="17" t="str">
        <x:v>Lex Fridman Podcast</x:v>
      </x:c>
      <x:c r="V372" s="151" t="n">
        <x:v>20200809</x:v>
      </x:c>
      <x:c r="W372" s="17" t="str">
        <x:v>lex-fridman-podcast</x:v>
      </x:c>
    </x:row>
    <x:row r="373" ht="42" customHeight="1">
      <x:c r="A373" s="22" t="str">
        <x:v>ST-372</x:v>
      </x:c>
      <x:c r="B373" s="22" t="str">
        <x:v>Interview</x:v>
      </x:c>
      <x:c r="C373" s="22" t="str">
        <x:v>Robotics</x:v>
      </x:c>
      <x:c r="D373" s="17" t="str">
        <x:v>Robotics / Embodied AI</x:v>
      </x:c>
      <x:c r="E373" s="17" t="str">
        <x:v>Robot Learning / Embodied AI / Control</x:v>
      </x:c>
      <x:c r="F373" s="23" t="str">
        <x:v>English</x:v>
      </x:c>
      <x:c r="G373" s="17" t="str">
        <x:v>Sergey Levine: Robotics and Machine Learning | Lex Fridman Podcast #108</x:v>
      </x:c>
      <x:c r="H373" s="17" t="str">
        <x:v>Sergey Levine</x:v>
      </x:c>
      <x:c r="I373" s="17" t="str">
        <x:v>Lex Fridman</x:v>
      </x:c>
      <x:c r="J373" s="23" t="str">
        <x:v>Podcast Interview</x:v>
      </x:c>
      <x:c r="K373" s="24" t="n">
        <x:v>98</x:v>
      </x:c>
      <x:c r="L373" s="16" t="str">
        <x:v>https://www.youtube.com/watch?v=kxi-_TT_-Nc</x:v>
      </x:c>
      <x:c r="M373" s="22" t="str">
        <x:v>YouTube</x:v>
      </x:c>
      <x:c r="N373" s="25" t="n">
        <x:v>173458</x:v>
      </x:c>
      <x:c r="O373" s="23" t="str">
        <x:v>B | University / Conference / Institution</x:v>
      </x:c>
      <x:c r="P373" s="23" t="str">
        <x:v>Recommended</x:v>
      </x:c>
      <x:c r="Q373" s="23" t="str">
        <x:v>Verified</x:v>
      </x:c>
      <x:c r="R373" s="26" t="n">
        <x:v>46246</x:v>
      </x:c>
      <x:c r="S373" s="17" t="str">
        <x:v>Curated in the targeted ScholarTube expansion; public metadata accessible and editorially reviewed.</x:v>
      </x:c>
      <x:c r="T373" s="16" t="str">
        <x:v>kxi-_TT_-Nc</x:v>
      </x:c>
      <x:c r="U373" s="17" t="str">
        <x:v>Lex Fridman Podcast</x:v>
      </x:c>
      <x:c r="V373" s="151" t="n">
        <x:v>20200714</x:v>
      </x:c>
      <x:c r="W373" s="17" t="str">
        <x:v>lex-fridman-podcast</x:v>
      </x:c>
    </x:row>
    <x:row r="374" ht="42" customHeight="1">
      <x:c r="A374" s="22" t="str">
        <x:v>ST-373</x:v>
      </x:c>
      <x:c r="B374" s="22" t="str">
        <x:v>Talk</x:v>
      </x:c>
      <x:c r="C374" s="22" t="str">
        <x:v>Robotics</x:v>
      </x:c>
      <x:c r="D374" s="17" t="str">
        <x:v>Robotics / Embodied AI</x:v>
      </x:c>
      <x:c r="E374" s="17" t="str">
        <x:v>Robot Learning / Embodied AI / Control</x:v>
      </x:c>
      <x:c r="F374" s="23" t="str">
        <x:v>English</x:v>
      </x:c>
      <x:c r="G374" s="17" t="str">
        <x:v>Stanford Seminar - Multitask Transfer in TRI’s Large Behavior Models for Dexterous Manipulation</x:v>
      </x:c>
      <x:c r="H374" s="17" t="str">
        <x:v>Russ Tedrake</x:v>
      </x:c>
      <x:c r="I374" s="17" t="str">
        <x:v>Stanford Online</x:v>
      </x:c>
      <x:c r="J374" s="23" t="str">
        <x:v>Academic Talk / Research Seminar</x:v>
      </x:c>
      <x:c r="K374" s="24" t="n">
        <x:v>82</x:v>
      </x:c>
      <x:c r="L374" s="16" t="str">
        <x:v>https://www.youtube.com/watch?v=TN1M6vg4CsQ</x:v>
      </x:c>
      <x:c r="M374" s="22" t="str">
        <x:v>YouTube</x:v>
      </x:c>
      <x:c r="N374" s="25" t="n">
        <x:v>25236</x:v>
      </x:c>
      <x:c r="O374" s="23" t="str">
        <x:v>A | Official / Original Creator / Organizer</x:v>
      </x:c>
      <x:c r="P374" s="23" t="str">
        <x:v>Core</x:v>
      </x:c>
      <x:c r="Q374" s="23" t="str">
        <x:v>Verified</x:v>
      </x:c>
      <x:c r="R374" s="26" t="n">
        <x:v>46246</x:v>
      </x:c>
      <x:c r="S374" s="17" t="str">
        <x:v>Curated in the targeted ScholarTube expansion; official institution, conference, lab, course, or creator source.</x:v>
      </x:c>
      <x:c r="T374" s="16" t="str">
        <x:v>TN1M6vg4CsQ</x:v>
      </x:c>
      <x:c r="U374" s="17" t="str"/>
      <x:c r="V374" s="151"/>
      <x:c r="W374" s="17" t="str"/>
    </x:row>
    <x:row r="375" ht="42" customHeight="1">
      <x:c r="A375" s="22" t="str">
        <x:v>ST-374</x:v>
      </x:c>
      <x:c r="B375" s="22" t="str">
        <x:v>Talk</x:v>
      </x:c>
      <x:c r="C375" s="22" t="str">
        <x:v>Robotics</x:v>
      </x:c>
      <x:c r="D375" s="17" t="str">
        <x:v>Robotics / Embodied AI</x:v>
      </x:c>
      <x:c r="E375" s="17" t="str">
        <x:v>Robot Learning / Embodied AI / Control</x:v>
      </x:c>
      <x:c r="F375" s="23" t="str">
        <x:v>English</x:v>
      </x:c>
      <x:c r="G375" s="17" t="str">
        <x:v>Stanford Webinar - The Frontier of Deep Learning for Robotics, Chelsea Finn</x:v>
      </x:c>
      <x:c r="H375" s="17" t="str">
        <x:v>Chelsea Finn</x:v>
      </x:c>
      <x:c r="I375" s="17" t="str">
        <x:v>Stanford Online</x:v>
      </x:c>
      <x:c r="J375" s="23" t="str">
        <x:v>Academic Talk / Research Seminar</x:v>
      </x:c>
      <x:c r="K375" s="24" t="n">
        <x:v>52</x:v>
      </x:c>
      <x:c r="L375" s="16" t="str">
        <x:v>https://www.youtube.com/watch?v=yGgO4PAnj6o</x:v>
      </x:c>
      <x:c r="M375" s="22" t="str">
        <x:v>YouTube</x:v>
      </x:c>
      <x:c r="N375" s="25" t="n">
        <x:v>13144</x:v>
      </x:c>
      <x:c r="O375" s="23" t="str">
        <x:v>A | Official / Original Creator / Organizer</x:v>
      </x:c>
      <x:c r="P375" s="23" t="str">
        <x:v>Core</x:v>
      </x:c>
      <x:c r="Q375" s="23" t="str">
        <x:v>Verified</x:v>
      </x:c>
      <x:c r="R375" s="26" t="n">
        <x:v>46246</x:v>
      </x:c>
      <x:c r="S375" s="17" t="str">
        <x:v>Curated in the targeted ScholarTube expansion; official institution, conference, lab, course, or creator source.</x:v>
      </x:c>
      <x:c r="T375" s="16" t="str">
        <x:v>yGgO4PAnj6o</x:v>
      </x:c>
      <x:c r="U375" s="17" t="str"/>
      <x:c r="V375" s="151"/>
      <x:c r="W375" s="17" t="str"/>
    </x:row>
    <x:row r="376" ht="42" customHeight="1">
      <x:c r="A376" s="22" t="str">
        <x:v>ST-375</x:v>
      </x:c>
      <x:c r="B376" s="22" t="str">
        <x:v>Talk</x:v>
      </x:c>
      <x:c r="C376" s="22" t="str">
        <x:v>Robotics</x:v>
      </x:c>
      <x:c r="D376" s="17" t="str">
        <x:v>Robotics / Embodied AI</x:v>
      </x:c>
      <x:c r="E376" s="17" t="str">
        <x:v>Robot Learning / Embodied AI / Control</x:v>
      </x:c>
      <x:c r="F376" s="23" t="str">
        <x:v>English</x:v>
      </x:c>
      <x:c r="G376" s="17" t="str">
        <x:v>RI Seminar: Russ Tedrake: Robust motion planning for walking robots and robotic birds</x:v>
      </x:c>
      <x:c r="H376" s="17" t="str">
        <x:v>Russ Tedrake</x:v>
      </x:c>
      <x:c r="I376" s="17" t="str">
        <x:v>CMU Robotics Institute</x:v>
      </x:c>
      <x:c r="J376" s="23" t="str">
        <x:v>Academic Talk / Research Seminar</x:v>
      </x:c>
      <x:c r="K376" s="24" t="n">
        <x:v>64</x:v>
      </x:c>
      <x:c r="L376" s="16" t="str">
        <x:v>https://www.youtube.com/watch?v=QV0gydSTqdY</x:v>
      </x:c>
      <x:c r="M376" s="22" t="str">
        <x:v>YouTube</x:v>
      </x:c>
      <x:c r="N376" s="25" t="n">
        <x:v>21324</x:v>
      </x:c>
      <x:c r="O376" s="23" t="str">
        <x:v>A | Official / Original Creator / Organizer</x:v>
      </x:c>
      <x:c r="P376" s="23" t="str">
        <x:v>Core</x:v>
      </x:c>
      <x:c r="Q376" s="23" t="str">
        <x:v>Verified</x:v>
      </x:c>
      <x:c r="R376" s="26" t="n">
        <x:v>46246</x:v>
      </x:c>
      <x:c r="S376" s="17" t="str">
        <x:v>Curated in the targeted ScholarTube expansion; official institution, conference, lab, course, or creator source.</x:v>
      </x:c>
      <x:c r="T376" s="16" t="str">
        <x:v>QV0gydSTqdY</x:v>
      </x:c>
      <x:c r="U376" s="17" t="str"/>
      <x:c r="V376" s="151"/>
      <x:c r="W376" s="17" t="str"/>
    </x:row>
    <x:row r="377" ht="42" customHeight="1">
      <x:c r="A377" s="22" t="str">
        <x:v>ST-376</x:v>
      </x:c>
      <x:c r="B377" s="22" t="str">
        <x:v>Talk</x:v>
      </x:c>
      <x:c r="C377" s="22" t="str">
        <x:v>Robotics</x:v>
      </x:c>
      <x:c r="D377" s="17" t="str">
        <x:v>Robotics / Embodied AI</x:v>
      </x:c>
      <x:c r="E377" s="17" t="str">
        <x:v>Robot Learning / Embodied AI / Control</x:v>
      </x:c>
      <x:c r="F377" s="23" t="str">
        <x:v>English</x:v>
      </x:c>
      <x:c r="G377" s="17" t="str">
        <x:v>Stanford Seminar - Objects, Skills, and the Quest for Compositional Robot Autonomy</x:v>
      </x:c>
      <x:c r="H377" s="17" t="str">
        <x:v>Yuke Zhu</x:v>
      </x:c>
      <x:c r="I377" s="17" t="str">
        <x:v>Stanford Online</x:v>
      </x:c>
      <x:c r="J377" s="23" t="str">
        <x:v>Academic Talk / Research Seminar</x:v>
      </x:c>
      <x:c r="K377" s="24" t="n">
        <x:v>61</x:v>
      </x:c>
      <x:c r="L377" s="16" t="str">
        <x:v>https://www.youtube.com/watch?v=xwviwNTIR-c</x:v>
      </x:c>
      <x:c r="M377" s="22" t="str">
        <x:v>YouTube</x:v>
      </x:c>
      <x:c r="N377" s="25" t="n">
        <x:v>2170</x:v>
      </x:c>
      <x:c r="O377" s="23" t="str">
        <x:v>A | Official / Original Creator / Organizer</x:v>
      </x:c>
      <x:c r="P377" s="23" t="str">
        <x:v>Core</x:v>
      </x:c>
      <x:c r="Q377" s="23" t="str">
        <x:v>Verified</x:v>
      </x:c>
      <x:c r="R377" s="26" t="n">
        <x:v>46246</x:v>
      </x:c>
      <x:c r="S377" s="17" t="str">
        <x:v>Curated in the targeted ScholarTube expansion; official institution, conference, lab, course, or creator source.</x:v>
      </x:c>
      <x:c r="T377" s="16" t="str">
        <x:v>xwviwNTIR-c</x:v>
      </x:c>
      <x:c r="U377" s="17" t="str"/>
      <x:c r="V377" s="151"/>
      <x:c r="W377" s="17" t="str"/>
    </x:row>
    <x:row r="378" ht="42" customHeight="1">
      <x:c r="A378" s="22" t="str">
        <x:v>ST-377</x:v>
      </x:c>
      <x:c r="B378" s="22" t="str">
        <x:v>Talk</x:v>
      </x:c>
      <x:c r="C378" s="22" t="str">
        <x:v>Robotics</x:v>
      </x:c>
      <x:c r="D378" s="17" t="str">
        <x:v>Robotics / Embodied AI</x:v>
      </x:c>
      <x:c r="E378" s="17" t="str">
        <x:v>Robot Learning / Embodied AI / Control</x:v>
      </x:c>
      <x:c r="F378" s="23" t="str">
        <x:v>English</x:v>
      </x:c>
      <x:c r="G378" s="17" t="str">
        <x:v>U of T Robotics Institute Seminar: Sergey Levine (UC Berkeley)</x:v>
      </x:c>
      <x:c r="H378" s="17" t="str">
        <x:v>Sergey Levine</x:v>
      </x:c>
      <x:c r="I378" s="17" t="str">
        <x:v>University of Toronto Robotics Institute</x:v>
      </x:c>
      <x:c r="J378" s="23" t="str">
        <x:v>Academic Talk / Research Seminar</x:v>
      </x:c>
      <x:c r="K378" s="24" t="n">
        <x:v>55</x:v>
      </x:c>
      <x:c r="L378" s="16" t="str">
        <x:v>https://www.youtube.com/watch?v=EYLdC3a0NHw</x:v>
      </x:c>
      <x:c r="M378" s="22" t="str">
        <x:v>YouTube</x:v>
      </x:c>
      <x:c r="N378" s="25" t="n">
        <x:v>20482</x:v>
      </x:c>
      <x:c r="O378" s="23" t="str">
        <x:v>A | Official / Original Creator / Organizer</x:v>
      </x:c>
      <x:c r="P378" s="23" t="str">
        <x:v>Core</x:v>
      </x:c>
      <x:c r="Q378" s="23" t="str">
        <x:v>Verified</x:v>
      </x:c>
      <x:c r="R378" s="26" t="n">
        <x:v>46246</x:v>
      </x:c>
      <x:c r="S378" s="17" t="str">
        <x:v>Curated in the targeted ScholarTube expansion; official institution, conference, lab, course, or creator source.</x:v>
      </x:c>
      <x:c r="T378" s="16" t="str">
        <x:v>EYLdC3a0NHw</x:v>
      </x:c>
      <x:c r="U378" s="17" t="str"/>
      <x:c r="V378" s="151"/>
      <x:c r="W378" s="17" t="str"/>
    </x:row>
    <x:row r="379" ht="42" customHeight="1">
      <x:c r="A379" s="22" t="str">
        <x:v>ST-378</x:v>
      </x:c>
      <x:c r="B379" s="22" t="str">
        <x:v>Talk</x:v>
      </x:c>
      <x:c r="C379" s="22" t="str">
        <x:v>Robotics</x:v>
      </x:c>
      <x:c r="D379" s="17" t="str">
        <x:v>Robotics / Embodied AI</x:v>
      </x:c>
      <x:c r="E379" s="17" t="str">
        <x:v>Robot Learning / Embodied AI / Control</x:v>
      </x:c>
      <x:c r="F379" s="23" t="str">
        <x:v>English</x:v>
      </x:c>
      <x:c r="G379" s="17" t="str">
        <x:v>Stanford Seminar - The Next Generation of Robot Learning</x:v>
      </x:c>
      <x:c r="H379" s="17" t="str">
        <x:v>Chelsea Finn</x:v>
      </x:c>
      <x:c r="I379" s="17" t="str">
        <x:v>Stanford Online</x:v>
      </x:c>
      <x:c r="J379" s="23" t="str">
        <x:v>Academic Talk / Research Seminar</x:v>
      </x:c>
      <x:c r="K379" s="24" t="n">
        <x:v>56</x:v>
      </x:c>
      <x:c r="L379" s="16" t="str">
        <x:v>https://www.youtube.com/watch?v=tcFLwgqO7G0</x:v>
      </x:c>
      <x:c r="M379" s="22" t="str">
        <x:v>YouTube</x:v>
      </x:c>
      <x:c r="N379" s="25" t="n">
        <x:v>6541</x:v>
      </x:c>
      <x:c r="O379" s="23" t="str">
        <x:v>A | Official / Original Creator / Organizer</x:v>
      </x:c>
      <x:c r="P379" s="23" t="str">
        <x:v>Core</x:v>
      </x:c>
      <x:c r="Q379" s="23" t="str">
        <x:v>Verified</x:v>
      </x:c>
      <x:c r="R379" s="26" t="n">
        <x:v>46246</x:v>
      </x:c>
      <x:c r="S379" s="17" t="str">
        <x:v>Curated in the targeted ScholarTube expansion; official institution, conference, lab, course, or creator source.</x:v>
      </x:c>
      <x:c r="T379" s="16" t="str">
        <x:v>tcFLwgqO7G0</x:v>
      </x:c>
      <x:c r="U379" s="17" t="str"/>
      <x:c r="V379" s="151"/>
      <x:c r="W379" s="17" t="str"/>
    </x:row>
    <x:row r="380" ht="42" customHeight="1">
      <x:c r="A380" s="22" t="str">
        <x:v>ST-379</x:v>
      </x:c>
      <x:c r="B380" s="22" t="str">
        <x:v>Talk</x:v>
      </x:c>
      <x:c r="C380" s="22" t="str">
        <x:v>Robotics</x:v>
      </x:c>
      <x:c r="D380" s="17" t="str">
        <x:v>Robotics / Embodied AI</x:v>
      </x:c>
      <x:c r="E380" s="17" t="str">
        <x:v>Robot Learning / Embodied AI / Control</x:v>
      </x:c>
      <x:c r="F380" s="23" t="str">
        <x:v>English</x:v>
      </x:c>
      <x:c r="G380" s="17" t="str">
        <x:v>RI Seminar : Pieter Abbeel : Deep Learning for Robotics</x:v>
      </x:c>
      <x:c r="H380" s="17" t="str">
        <x:v>Pieter Abbeel</x:v>
      </x:c>
      <x:c r="I380" s="17" t="str">
        <x:v>CMU Robotics Institute</x:v>
      </x:c>
      <x:c r="J380" s="23" t="str">
        <x:v>Academic Talk / Research Seminar</x:v>
      </x:c>
      <x:c r="K380" s="24" t="n">
        <x:v>70</x:v>
      </x:c>
      <x:c r="L380" s="16" t="str">
        <x:v>https://www.youtube.com/watch?v=WGza-jN4CZs</x:v>
      </x:c>
      <x:c r="M380" s="22" t="str">
        <x:v>YouTube</x:v>
      </x:c>
      <x:c r="N380" s="25" t="n">
        <x:v>8932</x:v>
      </x:c>
      <x:c r="O380" s="23" t="str">
        <x:v>A | Official / Original Creator / Organizer</x:v>
      </x:c>
      <x:c r="P380" s="23" t="str">
        <x:v>Core</x:v>
      </x:c>
      <x:c r="Q380" s="23" t="str">
        <x:v>Verified</x:v>
      </x:c>
      <x:c r="R380" s="26" t="n">
        <x:v>46246</x:v>
      </x:c>
      <x:c r="S380" s="17" t="str">
        <x:v>Curated in the targeted ScholarTube expansion; official institution, conference, lab, course, or creator source.</x:v>
      </x:c>
      <x:c r="T380" s="16" t="str">
        <x:v>WGza-jN4CZs</x:v>
      </x:c>
      <x:c r="U380" s="17" t="str"/>
      <x:c r="V380" s="151"/>
      <x:c r="W380" s="17" t="str"/>
    </x:row>
    <x:row r="381" ht="42" customHeight="1">
      <x:c r="A381" s="22" t="str">
        <x:v>ST-380</x:v>
      </x:c>
      <x:c r="B381" s="22" t="str">
        <x:v>Talk</x:v>
      </x:c>
      <x:c r="C381" s="22" t="str">
        <x:v>Robotics</x:v>
      </x:c>
      <x:c r="D381" s="17" t="str">
        <x:v>Robotics / Embodied AI</x:v>
      </x:c>
      <x:c r="E381" s="17" t="str">
        <x:v>Robot Learning / Embodied AI / Control</x:v>
      </x:c>
      <x:c r="F381" s="23" t="str">
        <x:v>English</x:v>
      </x:c>
      <x:c r="G381" s="17" t="str">
        <x:v>RI Seminar: Sergey Levine : Deep Robotic Learning</x:v>
      </x:c>
      <x:c r="H381" s="17" t="str">
        <x:v>Sergey Levine</x:v>
      </x:c>
      <x:c r="I381" s="17" t="str">
        <x:v>CMU Robotics Institute</x:v>
      </x:c>
      <x:c r="J381" s="23" t="str">
        <x:v>Academic Talk / Research Seminar</x:v>
      </x:c>
      <x:c r="K381" s="24" t="n">
        <x:v>61</x:v>
      </x:c>
      <x:c r="L381" s="16" t="str">
        <x:v>https://www.youtube.com/watch?v=eKaYnXQUb2g</x:v>
      </x:c>
      <x:c r="M381" s="22" t="str">
        <x:v>YouTube</x:v>
      </x:c>
      <x:c r="N381" s="25" t="n">
        <x:v>25564</x:v>
      </x:c>
      <x:c r="O381" s="23" t="str">
        <x:v>A | Official / Original Creator / Organizer</x:v>
      </x:c>
      <x:c r="P381" s="23" t="str">
        <x:v>Core</x:v>
      </x:c>
      <x:c r="Q381" s="23" t="str">
        <x:v>Verified</x:v>
      </x:c>
      <x:c r="R381" s="26" t="n">
        <x:v>46246</x:v>
      </x:c>
      <x:c r="S381" s="17" t="str">
        <x:v>Curated in the targeted ScholarTube expansion; official institution, conference, lab, course, or creator source.</x:v>
      </x:c>
      <x:c r="T381" s="16" t="str">
        <x:v>eKaYnXQUb2g</x:v>
      </x:c>
      <x:c r="U381" s="17" t="str"/>
      <x:c r="V381" s="151"/>
      <x:c r="W381" s="17" t="str"/>
    </x:row>
    <x:row r="382" ht="42" customHeight="1">
      <x:c r="A382" s="22" t="str">
        <x:v>ST-381</x:v>
      </x:c>
      <x:c r="B382" s="22" t="str">
        <x:v>Talk</x:v>
      </x:c>
      <x:c r="C382" s="22" t="str">
        <x:v>Robotics</x:v>
      </x:c>
      <x:c r="D382" s="17" t="str">
        <x:v>Robotics / Embodied AI</x:v>
      </x:c>
      <x:c r="E382" s="17" t="str">
        <x:v>Robot Learning / Embodied AI / Control</x:v>
      </x:c>
      <x:c r="F382" s="23" t="str">
        <x:v>English</x:v>
      </x:c>
      <x:c r="G382" s="17" t="str">
        <x:v>RI Seminar: Lerrel Pinto : A Constructivist’s Guide to Robot Learning</x:v>
      </x:c>
      <x:c r="H382" s="17" t="str">
        <x:v>Lerrel Pinto</x:v>
      </x:c>
      <x:c r="I382" s="17" t="str">
        <x:v>CMU Robotics Institute</x:v>
      </x:c>
      <x:c r="J382" s="23" t="str">
        <x:v>Academic Talk / Research Seminar</x:v>
      </x:c>
      <x:c r="K382" s="24" t="n">
        <x:v>60</x:v>
      </x:c>
      <x:c r="L382" s="16" t="str">
        <x:v>https://www.youtube.com/watch?v=upmR1U2bprs</x:v>
      </x:c>
      <x:c r="M382" s="22" t="str">
        <x:v>YouTube</x:v>
      </x:c>
      <x:c r="N382" s="25" t="n">
        <x:v>5119</x:v>
      </x:c>
      <x:c r="O382" s="23" t="str">
        <x:v>A | Official / Original Creator / Organizer</x:v>
      </x:c>
      <x:c r="P382" s="23" t="str">
        <x:v>Core</x:v>
      </x:c>
      <x:c r="Q382" s="23" t="str">
        <x:v>Verified</x:v>
      </x:c>
      <x:c r="R382" s="26" t="n">
        <x:v>46246</x:v>
      </x:c>
      <x:c r="S382" s="17" t="str">
        <x:v>Curated in the targeted ScholarTube expansion; official institution, conference, lab, course, or creator source.</x:v>
      </x:c>
      <x:c r="T382" s="16" t="str">
        <x:v>upmR1U2bprs</x:v>
      </x:c>
      <x:c r="U382" s="17" t="str"/>
      <x:c r="V382" s="151"/>
      <x:c r="W382" s="17" t="str"/>
    </x:row>
    <x:row r="383" ht="42" customHeight="1">
      <x:c r="A383" s="22" t="str">
        <x:v>ST-382</x:v>
      </x:c>
      <x:c r="B383" s="22" t="str">
        <x:v>Talk</x:v>
      </x:c>
      <x:c r="C383" s="22" t="str">
        <x:v>Robotics</x:v>
      </x:c>
      <x:c r="D383" s="17" t="str">
        <x:v>Robotics / Embodied AI</x:v>
      </x:c>
      <x:c r="E383" s="17" t="str">
        <x:v>Robot Learning / Embodied AI / Control</x:v>
      </x:c>
      <x:c r="F383" s="23" t="str">
        <x:v>English</x:v>
      </x:c>
      <x:c r="G383" s="17" t="str">
        <x:v>RI Seminar: Chelsea Finn : Data Scalability for Robot Learning</x:v>
      </x:c>
      <x:c r="H383" s="17" t="str">
        <x:v>Chelsea Finn</x:v>
      </x:c>
      <x:c r="I383" s="17" t="str">
        <x:v>CMU Robotics Institute</x:v>
      </x:c>
      <x:c r="J383" s="23" t="str">
        <x:v>Academic Talk / Research Seminar</x:v>
      </x:c>
      <x:c r="K383" s="24" t="n">
        <x:v>60</x:v>
      </x:c>
      <x:c r="L383" s="16" t="str">
        <x:v>https://www.youtube.com/watch?v=LGlgSeWemcM</x:v>
      </x:c>
      <x:c r="M383" s="22" t="str">
        <x:v>YouTube</x:v>
      </x:c>
      <x:c r="N383" s="25" t="n">
        <x:v>1666</x:v>
      </x:c>
      <x:c r="O383" s="23" t="str">
        <x:v>A | Official / Original Creator / Organizer</x:v>
      </x:c>
      <x:c r="P383" s="23" t="str">
        <x:v>Core</x:v>
      </x:c>
      <x:c r="Q383" s="23" t="str">
        <x:v>Verified</x:v>
      </x:c>
      <x:c r="R383" s="26" t="n">
        <x:v>46246</x:v>
      </x:c>
      <x:c r="S383" s="17" t="str">
        <x:v>Curated in the targeted ScholarTube expansion; official institution, conference, lab, course, or creator source.</x:v>
      </x:c>
      <x:c r="T383" s="16" t="str">
        <x:v>LGlgSeWemcM</x:v>
      </x:c>
      <x:c r="U383" s="17" t="str"/>
      <x:c r="V383" s="151"/>
      <x:c r="W383" s="17" t="str"/>
    </x:row>
    <x:row r="384" ht="42" customHeight="1">
      <x:c r="A384" s="22" t="str">
        <x:v>ST-383</x:v>
      </x:c>
      <x:c r="B384" s="22" t="str">
        <x:v>Talk</x:v>
      </x:c>
      <x:c r="C384" s="22" t="str">
        <x:v>Robotics</x:v>
      </x:c>
      <x:c r="D384" s="17" t="str">
        <x:v>Robotics / Embodied AI</x:v>
      </x:c>
      <x:c r="E384" s="17" t="str">
        <x:v>Robot Learning / Embodied AI / Control</x:v>
      </x:c>
      <x:c r="F384" s="23" t="str">
        <x:v>English</x:v>
      </x:c>
      <x:c r="G384" s="17" t="str">
        <x:v>RI Seminar : Pieter Abbeel : Machine Learning and Optimization for Robotics</x:v>
      </x:c>
      <x:c r="H384" s="17" t="str">
        <x:v>Pieter Abbeel</x:v>
      </x:c>
      <x:c r="I384" s="17" t="str">
        <x:v>CMU Robotics Institute</x:v>
      </x:c>
      <x:c r="J384" s="23" t="str">
        <x:v>Academic Talk / Research Seminar</x:v>
      </x:c>
      <x:c r="K384" s="24" t="n">
        <x:v>67</x:v>
      </x:c>
      <x:c r="L384" s="16" t="str">
        <x:v>https://www.youtube.com/watch?v=S2GAz5F03Ls</x:v>
      </x:c>
      <x:c r="M384" s="22" t="str">
        <x:v>YouTube</x:v>
      </x:c>
      <x:c r="N384" s="25" t="n">
        <x:v>21716</x:v>
      </x:c>
      <x:c r="O384" s="23" t="str">
        <x:v>A | Official / Original Creator / Organizer</x:v>
      </x:c>
      <x:c r="P384" s="23" t="str">
        <x:v>Core</x:v>
      </x:c>
      <x:c r="Q384" s="23" t="str">
        <x:v>Verified</x:v>
      </x:c>
      <x:c r="R384" s="26" t="n">
        <x:v>46246</x:v>
      </x:c>
      <x:c r="S384" s="17" t="str">
        <x:v>Curated in the targeted ScholarTube expansion; official institution, conference, lab, course, or creator source.</x:v>
      </x:c>
      <x:c r="T384" s="16" t="str">
        <x:v>S2GAz5F03Ls</x:v>
      </x:c>
      <x:c r="U384" s="17" t="str"/>
      <x:c r="V384" s="151"/>
      <x:c r="W384" s="17" t="str"/>
    </x:row>
    <x:row r="385" ht="42" customHeight="1">
      <x:c r="A385" s="22" t="str">
        <x:v>ST-384</x:v>
      </x:c>
      <x:c r="B385" s="22" t="str">
        <x:v>Interview</x:v>
      </x:c>
      <x:c r="C385" s="22" t="str">
        <x:v>Agent</x:v>
      </x:c>
      <x:c r="D385" s="17" t="str">
        <x:v>Agents / Tool Use / Reasoning</x:v>
      </x:c>
      <x:c r="E385" s="17" t="str">
        <x:v>Agents / Reasoning / Tool Use</x:v>
      </x:c>
      <x:c r="F385" s="23" t="str">
        <x:v>English</x:v>
      </x:c>
      <x:c r="G385" s="17" t="str">
        <x:v>Harrison Chase of LangChain on Deep Agents, LangSmith, and Earning Trust | NVIDIA AI Podcast Ep. 297</x:v>
      </x:c>
      <x:c r="H385" s="17" t="str">
        <x:v>Harrison Chase</x:v>
      </x:c>
      <x:c r="I385" s="17" t="str">
        <x:v>NVIDIA</x:v>
      </x:c>
      <x:c r="J385" s="23" t="str">
        <x:v>Podcast Interview</x:v>
      </x:c>
      <x:c r="K385" s="24" t="n">
        <x:v>25</x:v>
      </x:c>
      <x:c r="L385" s="16" t="str">
        <x:v>https://www.youtube.com/watch?v=c-fsL0gsmo0</x:v>
      </x:c>
      <x:c r="M385" s="22" t="str">
        <x:v>YouTube</x:v>
      </x:c>
      <x:c r="N385" s="25" t="n">
        <x:v>6485</x:v>
      </x:c>
      <x:c r="O385" s="23" t="str">
        <x:v>A | Official / Original Creator / Organizer</x:v>
      </x:c>
      <x:c r="P385" s="23" t="str">
        <x:v>Core</x:v>
      </x:c>
      <x:c r="Q385" s="23" t="str">
        <x:v>Verified</x:v>
      </x:c>
      <x:c r="R385" s="26" t="n">
        <x:v>46246</x:v>
      </x:c>
      <x:c r="S385" s="17" t="str">
        <x:v>Curated in the targeted ScholarTube expansion; official institution, conference, lab, course, or creator source.</x:v>
      </x:c>
      <x:c r="T385" s="16" t="str">
        <x:v>c-fsL0gsmo0</x:v>
      </x:c>
      <x:c r="U385" s="17" t="str"/>
      <x:c r="V385" s="151"/>
      <x:c r="W385" s="17" t="str"/>
    </x:row>
    <x:row r="386" ht="42" customHeight="1">
      <x:c r="A386" s="22" t="str">
        <x:v>ST-385</x:v>
      </x:c>
      <x:c r="B386" s="22" t="str">
        <x:v>Interview</x:v>
      </x:c>
      <x:c r="C386" s="22" t="str">
        <x:v>Robotics</x:v>
      </x:c>
      <x:c r="D386" s="17" t="str">
        <x:v>Robotics / Embodied AI</x:v>
      </x:c>
      <x:c r="E386" s="17" t="str">
        <x:v>Robot Learning / Embodied AI / Control</x:v>
      </x:c>
      <x:c r="F386" s="23" t="str">
        <x:v>English</x:v>
      </x:c>
      <x:c r="G386" s="17" t="str">
        <x:v>Pulkit Agrawal on ASB Podcast | Thought Leaders' Two Cents | EP 01</x:v>
      </x:c>
      <x:c r="H386" s="17" t="str">
        <x:v>Pulkit Agrawal</x:v>
      </x:c>
      <x:c r="I386" s="17" t="str">
        <x:v>Asia School of Business in collaboration with MIT Sloan</x:v>
      </x:c>
      <x:c r="J386" s="23" t="str">
        <x:v>Podcast Interview</x:v>
      </x:c>
      <x:c r="K386" s="24" t="n">
        <x:v>58</x:v>
      </x:c>
      <x:c r="L386" s="16" t="str">
        <x:v>https://www.youtube.com/watch?v=gXnwHA7V0d0</x:v>
      </x:c>
      <x:c r="M386" s="22" t="str">
        <x:v>YouTube</x:v>
      </x:c>
      <x:c r="N386" s="25" t="n">
        <x:v>404</x:v>
      </x:c>
      <x:c r="O386" s="23" t="str">
        <x:v>A | Official / Original Creator / Organizer</x:v>
      </x:c>
      <x:c r="P386" s="23" t="str">
        <x:v>Core</x:v>
      </x:c>
      <x:c r="Q386" s="23" t="str">
        <x:v>Verified</x:v>
      </x:c>
      <x:c r="R386" s="26" t="n">
        <x:v>46246</x:v>
      </x:c>
      <x:c r="S386" s="17" t="str">
        <x:v>Curated in the targeted ScholarTube expansion; official institution, conference, lab, course, or creator source.</x:v>
      </x:c>
      <x:c r="T386" s="16" t="str">
        <x:v>gXnwHA7V0d0</x:v>
      </x:c>
      <x:c r="U386" s="17" t="str"/>
      <x:c r="V386" s="151"/>
      <x:c r="W386" s="17" t="str"/>
    </x:row>
    <x:row r="387" ht="42" customHeight="1">
      <x:c r="A387" s="22" t="str">
        <x:v>ST-386</x:v>
      </x:c>
      <x:c r="B387" s="22" t="str">
        <x:v>Talk</x:v>
      </x:c>
      <x:c r="C387" s="22" t="str">
        <x:v>Robotics</x:v>
      </x:c>
      <x:c r="D387" s="17" t="str">
        <x:v>Robotics / Embodied AI</x:v>
      </x:c>
      <x:c r="E387" s="17" t="str">
        <x:v>Robot Learning / Embodied AI / Control</x:v>
      </x:c>
      <x:c r="F387" s="23" t="str">
        <x:v>English</x:v>
      </x:c>
      <x:c r="G387" s="17" t="str">
        <x:v>EI Seminar - Deepak Pathak - Rapid Adaptation in Robot Learning</x:v>
      </x:c>
      <x:c r="H387" s="17" t="str">
        <x:v>Deepak Pathak</x:v>
      </x:c>
      <x:c r="I387" s="17" t="str">
        <x:v>MIT Embodied Intelligence</x:v>
      </x:c>
      <x:c r="J387" s="23" t="str">
        <x:v>Academic Talk / Research Seminar</x:v>
      </x:c>
      <x:c r="K387" s="24" t="n">
        <x:v>67</x:v>
      </x:c>
      <x:c r="L387" s="16" t="str">
        <x:v>https://www.youtube.com/watch?v=DdweAnoNdtY</x:v>
      </x:c>
      <x:c r="M387" s="22" t="str">
        <x:v>YouTube</x:v>
      </x:c>
      <x:c r="N387" s="25" t="n">
        <x:v>2621</x:v>
      </x:c>
      <x:c r="O387" s="23" t="str">
        <x:v>A | Official / Original Creator / Organizer</x:v>
      </x:c>
      <x:c r="P387" s="23" t="str">
        <x:v>Core</x:v>
      </x:c>
      <x:c r="Q387" s="23" t="str">
        <x:v>Verified</x:v>
      </x:c>
      <x:c r="R387" s="26" t="n">
        <x:v>46246</x:v>
      </x:c>
      <x:c r="S387" s="17" t="str">
        <x:v>Curated in the targeted ScholarTube expansion; official institution, conference, lab, course, or creator source.</x:v>
      </x:c>
      <x:c r="T387" s="16" t="str">
        <x:v>DdweAnoNdtY</x:v>
      </x:c>
      <x:c r="U387" s="17" t="str"/>
      <x:c r="V387" s="151"/>
      <x:c r="W387" s="17" t="str"/>
    </x:row>
    <x:row r="388" ht="42" customHeight="1">
      <x:c r="A388" s="22" t="str">
        <x:v>ST-387</x:v>
      </x:c>
      <x:c r="B388" s="22" t="str">
        <x:v>Talk</x:v>
      </x:c>
      <x:c r="C388" s="22" t="str">
        <x:v>Agent</x:v>
      </x:c>
      <x:c r="D388" s="17" t="str">
        <x:v>Agents / Tool Use / Reasoning</x:v>
      </x:c>
      <x:c r="E388" s="17" t="str">
        <x:v>Agents / Reasoning / Tool Use</x:v>
      </x:c>
      <x:c r="F388" s="23" t="str">
        <x:v>English</x:v>
      </x:c>
      <x:c r="G388" s="17" t="str">
        <x:v>CS839 Special Topics in Deep Learning:  Guest speaker Yuandong Tian (Lecture 5)</x:v>
      </x:c>
      <x:c r="H388" s="17" t="str">
        <x:v>Yuandong Tian</x:v>
      </x:c>
      <x:c r="I388" s="17" t="str">
        <x:v>Deep Learning at University of Wisconsin-Madison</x:v>
      </x:c>
      <x:c r="J388" s="23" t="str">
        <x:v>Academic Talk / Research Seminar</x:v>
      </x:c>
      <x:c r="K388" s="24" t="n">
        <x:v>75</x:v>
      </x:c>
      <x:c r="L388" s="16" t="str">
        <x:v>https://www.youtube.com/watch?v=9022cLbz_R4</x:v>
      </x:c>
      <x:c r="M388" s="22" t="str">
        <x:v>YouTube</x:v>
      </x:c>
      <x:c r="N388" s="25" t="n">
        <x:v>467</x:v>
      </x:c>
      <x:c r="O388" s="23" t="str">
        <x:v>A | Official / Original Creator / Organizer</x:v>
      </x:c>
      <x:c r="P388" s="23" t="str">
        <x:v>Core</x:v>
      </x:c>
      <x:c r="Q388" s="23" t="str">
        <x:v>Verified</x:v>
      </x:c>
      <x:c r="R388" s="26" t="n">
        <x:v>46246</x:v>
      </x:c>
      <x:c r="S388" s="17" t="str">
        <x:v>Curated in the targeted ScholarTube expansion; official institution, conference, lab, course, or creator source.</x:v>
      </x:c>
      <x:c r="T388" s="16" t="str">
        <x:v>9022cLbz_R4</x:v>
      </x:c>
      <x:c r="U388" s="17" t="str"/>
      <x:c r="V388" s="151"/>
      <x:c r="W388" s="17" t="str"/>
    </x:row>
    <x:row r="389" ht="42" customHeight="1">
      <x:c r="A389" s="22" t="str">
        <x:v>ST-388</x:v>
      </x:c>
      <x:c r="B389" s="22" t="str">
        <x:v>Talk</x:v>
      </x:c>
      <x:c r="C389" s="22" t="str">
        <x:v>Robotics</x:v>
      </x:c>
      <x:c r="D389" s="17" t="str">
        <x:v>Robotics / Embodied AI</x:v>
      </x:c>
      <x:c r="E389" s="17" t="str">
        <x:v>Robot Learning / Embodied AI / Control</x:v>
      </x:c>
      <x:c r="F389" s="23" t="str">
        <x:v>English</x:v>
      </x:c>
      <x:c r="G389" s="17" t="str">
        <x:v>MIT EI Seminar - Lerrel Pinto - Diverse data and efficient algorithms for robot learning</x:v>
      </x:c>
      <x:c r="H389" s="17" t="str">
        <x:v>Lerrel Pinto</x:v>
      </x:c>
      <x:c r="I389" s="17" t="str">
        <x:v>MIT Embodied Intelligence</x:v>
      </x:c>
      <x:c r="J389" s="23" t="str">
        <x:v>Academic Talk / Research Seminar</x:v>
      </x:c>
      <x:c r="K389" s="24" t="n">
        <x:v>56</x:v>
      </x:c>
      <x:c r="L389" s="16" t="str">
        <x:v>https://www.youtube.com/watch?v=tRcwyC-ivMQ</x:v>
      </x:c>
      <x:c r="M389" s="22" t="str">
        <x:v>YouTube</x:v>
      </x:c>
      <x:c r="N389" s="25" t="n">
        <x:v>1662</x:v>
      </x:c>
      <x:c r="O389" s="23" t="str">
        <x:v>A | Official / Original Creator / Organizer</x:v>
      </x:c>
      <x:c r="P389" s="23" t="str">
        <x:v>Core</x:v>
      </x:c>
      <x:c r="Q389" s="23" t="str">
        <x:v>Verified</x:v>
      </x:c>
      <x:c r="R389" s="26" t="n">
        <x:v>46246</x:v>
      </x:c>
      <x:c r="S389" s="17" t="str">
        <x:v>Curated in the targeted ScholarTube expansion; official institution, conference, lab, course, or creator source.</x:v>
      </x:c>
      <x:c r="T389" s="16" t="str">
        <x:v>tRcwyC-ivMQ</x:v>
      </x:c>
      <x:c r="U389" s="17" t="str"/>
      <x:c r="V389" s="151"/>
      <x:c r="W389" s="17" t="str"/>
    </x:row>
    <x:row r="390" ht="42" customHeight="1">
      <x:c r="A390" s="22" t="str">
        <x:v>ST-389</x:v>
      </x:c>
      <x:c r="B390" s="22" t="str">
        <x:v>Talk</x:v>
      </x:c>
      <x:c r="C390" s="22" t="str">
        <x:v>Robotics</x:v>
      </x:c>
      <x:c r="D390" s="17" t="str">
        <x:v>Robotics / Embodied AI</x:v>
      </x:c>
      <x:c r="E390" s="17" t="str">
        <x:v>Robot Learning / Embodied AI / Control</x:v>
      </x:c>
      <x:c r="F390" s="23" t="str">
        <x:v>English</x:v>
      </x:c>
      <x:c r="G390" s="17" t="str">
        <x:v>Symposium: Deep Learning - Pieter Abbeel</x:v>
      </x:c>
      <x:c r="H390" s="17" t="str">
        <x:v>Pieter Abbeel</x:v>
      </x:c>
      <x:c r="I390" s="17" t="str">
        <x:v>Microsoft Research</x:v>
      </x:c>
      <x:c r="J390" s="23" t="str">
        <x:v>Academic Talk / Research Seminar</x:v>
      </x:c>
      <x:c r="K390" s="24" t="n">
        <x:v>21</x:v>
      </x:c>
      <x:c r="L390" s="16" t="str">
        <x:v>https://www.youtube.com/watch?v=T3mkz-zuzGY</x:v>
      </x:c>
      <x:c r="M390" s="22" t="str">
        <x:v>YouTube</x:v>
      </x:c>
      <x:c r="N390" s="25" t="n">
        <x:v>686</x:v>
      </x:c>
      <x:c r="O390" s="23" t="str">
        <x:v>A | Official / Original Creator / Organizer</x:v>
      </x:c>
      <x:c r="P390" s="23" t="str">
        <x:v>Core</x:v>
      </x:c>
      <x:c r="Q390" s="23" t="str">
        <x:v>Verified</x:v>
      </x:c>
      <x:c r="R390" s="26" t="n">
        <x:v>46246</x:v>
      </x:c>
      <x:c r="S390" s="17" t="str">
        <x:v>Curated in the targeted ScholarTube expansion; official institution, conference, lab, course, or creator source.</x:v>
      </x:c>
      <x:c r="T390" s="16" t="str">
        <x:v>T3mkz-zuzGY</x:v>
      </x:c>
      <x:c r="U390" s="17" t="str"/>
      <x:c r="V390" s="151"/>
      <x:c r="W390" s="17" t="str"/>
    </x:row>
    <x:row r="391" ht="42" customHeight="1">
      <x:c r="A391" s="22" t="str">
        <x:v>ST-390</x:v>
      </x:c>
      <x:c r="B391" s="22" t="str">
        <x:v>Course</x:v>
      </x:c>
      <x:c r="C391" s="22" t="str">
        <x:v>Vision</x:v>
      </x:c>
      <x:c r="D391" s="17" t="str">
        <x:v>Computer Vision / 3D Vision</x:v>
      </x:c>
      <x:c r="E391" s="17" t="str">
        <x:v>Computer Vision / 3D Vision / Representation Learning</x:v>
      </x:c>
      <x:c r="F391" s="23" t="str">
        <x:v>English</x:v>
      </x:c>
      <x:c r="G391" s="17" t="str">
        <x:v>Stanford CME296 Diffusion &amp; Large Vision Models | Spring 2026 | Lecture 1 - Diffusion</x:v>
      </x:c>
      <x:c r="H391" s="17" t="str">
        <x:v>To be added</x:v>
      </x:c>
      <x:c r="I391" s="17" t="str">
        <x:v>Stanford Online</x:v>
      </x:c>
      <x:c r="J391" s="23" t="str">
        <x:v>Course / Tutorial</x:v>
      </x:c>
      <x:c r="K391" s="24" t="n">
        <x:v>106</x:v>
      </x:c>
      <x:c r="L391" s="16" t="str">
        <x:v>https://www.youtube.com/watch?v=tr-CUpw--ck</x:v>
      </x:c>
      <x:c r="M391" s="22" t="str">
        <x:v>YouTube</x:v>
      </x:c>
      <x:c r="N391" s="25" t="n">
        <x:v>116135</x:v>
      </x:c>
      <x:c r="O391" s="23" t="str">
        <x:v>A | Official / Original Creator / Organizer</x:v>
      </x:c>
      <x:c r="P391" s="23" t="str">
        <x:v>Core</x:v>
      </x:c>
      <x:c r="Q391" s="23" t="str">
        <x:v>Verified</x:v>
      </x:c>
      <x:c r="R391" s="26" t="n">
        <x:v>46246</x:v>
      </x:c>
      <x:c r="S391" s="17" t="str">
        <x:v>Curated in the targeted ScholarTube expansion; official institution, conference, lab, course, or creator source.</x:v>
      </x:c>
      <x:c r="T391" s="16" t="str">
        <x:v>tr-CUpw--ck</x:v>
      </x:c>
      <x:c r="U391" s="17" t="str">
        <x:v>Stanford CME296: Diffusion &amp; Large Vision Models — Spring 2026</x:v>
      </x:c>
      <x:c r="V391" s="151" t="n">
        <x:v>1</x:v>
      </x:c>
      <x:c r="W391" s="17" t="str">
        <x:v>stanford-cme296-spring-2026</x:v>
      </x:c>
    </x:row>
    <x:row r="392" ht="42" customHeight="1">
      <x:c r="A392" s="22" t="str">
        <x:v>ST-391</x:v>
      </x:c>
      <x:c r="B392" s="22" t="str">
        <x:v>Course</x:v>
      </x:c>
      <x:c r="C392" s="22" t="str">
        <x:v>Vision</x:v>
      </x:c>
      <x:c r="D392" s="17" t="str">
        <x:v>Computer Vision / 3D Vision</x:v>
      </x:c>
      <x:c r="E392" s="17" t="str">
        <x:v>Computer Vision / 3D Vision / Representation Learning</x:v>
      </x:c>
      <x:c r="F392" s="23" t="str">
        <x:v>English</x:v>
      </x:c>
      <x:c r="G392" s="17" t="str">
        <x:v>Stanford CS231N Deep Learning for Computer Vision | Spring 2025 | Lecture 15: 3D Vision</x:v>
      </x:c>
      <x:c r="H392" s="17" t="str">
        <x:v>To be added</x:v>
      </x:c>
      <x:c r="I392" s="17" t="str">
        <x:v>Stanford Online</x:v>
      </x:c>
      <x:c r="J392" s="23" t="str">
        <x:v>Course / Tutorial</x:v>
      </x:c>
      <x:c r="K392" s="24" t="n">
        <x:v>72</x:v>
      </x:c>
      <x:c r="L392" s="16" t="str">
        <x:v>https://www.youtube.com/watch?v=7lxrKDKtykM</x:v>
      </x:c>
      <x:c r="M392" s="22" t="str">
        <x:v>YouTube</x:v>
      </x:c>
      <x:c r="N392" s="25" t="n">
        <x:v>19863</x:v>
      </x:c>
      <x:c r="O392" s="23" t="str">
        <x:v>A | Official / Original Creator / Organizer</x:v>
      </x:c>
      <x:c r="P392" s="23" t="str">
        <x:v>Core</x:v>
      </x:c>
      <x:c r="Q392" s="23" t="str">
        <x:v>Verified</x:v>
      </x:c>
      <x:c r="R392" s="26" t="n">
        <x:v>46246</x:v>
      </x:c>
      <x:c r="S392" s="17" t="str">
        <x:v>Curated in the targeted ScholarTube expansion; official institution, conference, lab, course, or creator source.</x:v>
      </x:c>
      <x:c r="T392" s="16" t="str">
        <x:v>7lxrKDKtykM</x:v>
      </x:c>
      <x:c r="U392" s="17" t="str">
        <x:v>Stanford CS231N: Deep Learning for Computer Vision — Spring 2025</x:v>
      </x:c>
      <x:c r="V392" s="151" t="n">
        <x:v>15</x:v>
      </x:c>
      <x:c r="W392" s="17" t="str">
        <x:v>stanford-cs231n-spring-2025</x:v>
      </x:c>
    </x:row>
    <x:row r="393" ht="42" customHeight="1">
      <x:c r="A393" s="22" t="str">
        <x:v>ST-392</x:v>
      </x:c>
      <x:c r="B393" s="22" t="str">
        <x:v>Course</x:v>
      </x:c>
      <x:c r="C393" s="22" t="str">
        <x:v>Vision</x:v>
      </x:c>
      <x:c r="D393" s="17" t="str">
        <x:v>Computer Vision / 3D Vision</x:v>
      </x:c>
      <x:c r="E393" s="17" t="str">
        <x:v>Computer Vision / 3D Vision / Representation Learning</x:v>
      </x:c>
      <x:c r="F393" s="23" t="str">
        <x:v>English</x:v>
      </x:c>
      <x:c r="G393" s="17" t="str">
        <x:v>Stanford CME296 Diffusion &amp; Large Vision Models | Spring 2026 | Lecture 5 - Architectures</x:v>
      </x:c>
      <x:c r="H393" s="17" t="str">
        <x:v>To be added</x:v>
      </x:c>
      <x:c r="I393" s="17" t="str">
        <x:v>Stanford Online</x:v>
      </x:c>
      <x:c r="J393" s="23" t="str">
        <x:v>Course / Tutorial</x:v>
      </x:c>
      <x:c r="K393" s="24" t="n">
        <x:v>106</x:v>
      </x:c>
      <x:c r="L393" s="16" t="str">
        <x:v>https://www.youtube.com/watch?v=HpFdSlMeXzQ</x:v>
      </x:c>
      <x:c r="M393" s="22" t="str">
        <x:v>YouTube</x:v>
      </x:c>
      <x:c r="N393" s="25" t="n">
        <x:v>13298</x:v>
      </x:c>
      <x:c r="O393" s="23" t="str">
        <x:v>A | Official / Original Creator / Organizer</x:v>
      </x:c>
      <x:c r="P393" s="23" t="str">
        <x:v>Core</x:v>
      </x:c>
      <x:c r="Q393" s="23" t="str">
        <x:v>Verified</x:v>
      </x:c>
      <x:c r="R393" s="26" t="n">
        <x:v>46246</x:v>
      </x:c>
      <x:c r="S393" s="17" t="str">
        <x:v>Curated in the targeted ScholarTube expansion; official institution, conference, lab, course, or creator source.</x:v>
      </x:c>
      <x:c r="T393" s="16" t="str">
        <x:v>HpFdSlMeXzQ</x:v>
      </x:c>
      <x:c r="U393" s="17" t="str">
        <x:v>Stanford CME296: Diffusion &amp; Large Vision Models — Spring 2026</x:v>
      </x:c>
      <x:c r="V393" s="151" t="n">
        <x:v>5</x:v>
      </x:c>
      <x:c r="W393" s="17" t="str">
        <x:v>stanford-cme296-spring-2026</x:v>
      </x:c>
    </x:row>
    <x:row r="394" ht="42" customHeight="1">
      <x:c r="A394" s="22" t="str">
        <x:v>ST-393</x:v>
      </x:c>
      <x:c r="B394" s="22" t="str">
        <x:v>Course</x:v>
      </x:c>
      <x:c r="C394" s="22" t="str">
        <x:v>Vision</x:v>
      </x:c>
      <x:c r="D394" s="17" t="str">
        <x:v>Computer Vision / 3D Vision</x:v>
      </x:c>
      <x:c r="E394" s="17" t="str">
        <x:v>Computer Vision / 3D Vision / Representation Learning</x:v>
      </x:c>
      <x:c r="F394" s="23" t="str">
        <x:v>English</x:v>
      </x:c>
      <x:c r="G394" s="17" t="str">
        <x:v>Lecture 11 | Detection and Segmentation</x:v>
      </x:c>
      <x:c r="H394" s="17" t="str">
        <x:v>To be added</x:v>
      </x:c>
      <x:c r="I394" s="17" t="str">
        <x:v>Stanford University School of Engineering</x:v>
      </x:c>
      <x:c r="J394" s="23" t="str">
        <x:v>Course / Tutorial</x:v>
      </x:c>
      <x:c r="K394" s="24" t="n">
        <x:v>74</x:v>
      </x:c>
      <x:c r="L394" s="16" t="str">
        <x:v>https://www.youtube.com/watch?v=nDPWywWRIRo</x:v>
      </x:c>
      <x:c r="M394" s="22" t="str">
        <x:v>YouTube</x:v>
      </x:c>
      <x:c r="N394" s="25" t="n">
        <x:v>664996</x:v>
      </x:c>
      <x:c r="O394" s="23" t="str">
        <x:v>A | Official / Original Creator / Organizer</x:v>
      </x:c>
      <x:c r="P394" s="23" t="str">
        <x:v>Core</x:v>
      </x:c>
      <x:c r="Q394" s="23" t="str">
        <x:v>Verified</x:v>
      </x:c>
      <x:c r="R394" s="26" t="n">
        <x:v>46246</x:v>
      </x:c>
      <x:c r="S394" s="17" t="str">
        <x:v>Curated in the targeted ScholarTube expansion; official institution, conference, lab, course, or creator source.</x:v>
      </x:c>
      <x:c r="T394" s="16" t="str">
        <x:v>nDPWywWRIRo</x:v>
      </x:c>
      <x:c r="U394" s="17" t="str"/>
      <x:c r="V394" s="151"/>
      <x:c r="W394" s="17" t="str"/>
    </x:row>
    <x:row r="395" ht="42" customHeight="1">
      <x:c r="A395" s="22" t="str">
        <x:v>ST-394</x:v>
      </x:c>
      <x:c r="B395" s="22" t="str">
        <x:v>Course</x:v>
      </x:c>
      <x:c r="C395" s="22" t="str">
        <x:v>Robotics</x:v>
      </x:c>
      <x:c r="D395" s="17" t="str">
        <x:v>Robotics / Embodied AI</x:v>
      </x:c>
      <x:c r="E395" s="17" t="str">
        <x:v>Robot Learning / Embodied AI / Control</x:v>
      </x:c>
      <x:c r="F395" s="23" t="str">
        <x:v>English</x:v>
      </x:c>
      <x:c r="G395" s="17" t="str">
        <x:v>Stanford Seminar - Robot Skill Acquisition: Policy Representation and Data Generation</x:v>
      </x:c>
      <x:c r="H395" s="17" t="str">
        <x:v>To be added</x:v>
      </x:c>
      <x:c r="I395" s="17" t="str">
        <x:v>Stanford Online</x:v>
      </x:c>
      <x:c r="J395" s="23" t="str">
        <x:v>Course / Tutorial</x:v>
      </x:c>
      <x:c r="K395" s="24" t="n">
        <x:v>56</x:v>
      </x:c>
      <x:c r="L395" s="16" t="str">
        <x:v>https://www.youtube.com/watch?v=V6y3E0r4bMo</x:v>
      </x:c>
      <x:c r="M395" s="22" t="str">
        <x:v>YouTube</x:v>
      </x:c>
      <x:c r="N395" s="25" t="n">
        <x:v>14878</x:v>
      </x:c>
      <x:c r="O395" s="23" t="str">
        <x:v>A | Official / Original Creator / Organizer</x:v>
      </x:c>
      <x:c r="P395" s="23" t="str">
        <x:v>Core</x:v>
      </x:c>
      <x:c r="Q395" s="23" t="str">
        <x:v>Verified</x:v>
      </x:c>
      <x:c r="R395" s="26" t="n">
        <x:v>46246</x:v>
      </x:c>
      <x:c r="S395" s="17" t="str">
        <x:v>Curated in the targeted ScholarTube expansion; official institution, conference, lab, course, or creator source.</x:v>
      </x:c>
      <x:c r="T395" s="16" t="str">
        <x:v>V6y3E0r4bMo</x:v>
      </x:c>
      <x:c r="U395" s="17" t="str"/>
      <x:c r="V395" s="151"/>
      <x:c r="W395" s="17" t="str"/>
    </x:row>
    <x:row r="396" ht="42" customHeight="1">
      <x:c r="A396" s="22" t="str">
        <x:v>ST-395</x:v>
      </x:c>
      <x:c r="B396" s="22" t="str">
        <x:v>Course</x:v>
      </x:c>
      <x:c r="C396" s="22" t="str">
        <x:v>Robotics</x:v>
      </x:c>
      <x:c r="D396" s="17" t="str">
        <x:v>Robotics / Embodied AI</x:v>
      </x:c>
      <x:c r="E396" s="17" t="str">
        <x:v>Robot Learning / Embodied AI / Control</x:v>
      </x:c>
      <x:c r="F396" s="23" t="str">
        <x:v>English</x:v>
      </x:c>
      <x:c r="G396" s="17" t="str">
        <x:v>Lecture 1: Princeton: Introduction to Robotics</x:v>
      </x:c>
      <x:c r="H396" s="17" t="str">
        <x:v>To be added</x:v>
      </x:c>
      <x:c r="I396" s="17" t="str">
        <x:v>Introduction to Robotics @ Princeton</x:v>
      </x:c>
      <x:c r="J396" s="23" t="str">
        <x:v>Course / Tutorial</x:v>
      </x:c>
      <x:c r="K396" s="24" t="n">
        <x:v>73</x:v>
      </x:c>
      <x:c r="L396" s="16" t="str">
        <x:v>https://www.youtube.com/watch?v=e4jow5O3JT8</x:v>
      </x:c>
      <x:c r="M396" s="22" t="str">
        <x:v>YouTube</x:v>
      </x:c>
      <x:c r="N396" s="25" t="n">
        <x:v>33568</x:v>
      </x:c>
      <x:c r="O396" s="23" t="str">
        <x:v>A | Official / Original Creator / Organizer</x:v>
      </x:c>
      <x:c r="P396" s="23" t="str">
        <x:v>Core</x:v>
      </x:c>
      <x:c r="Q396" s="23" t="str">
        <x:v>Verified</x:v>
      </x:c>
      <x:c r="R396" s="26" t="n">
        <x:v>46246</x:v>
      </x:c>
      <x:c r="S396" s="17" t="str">
        <x:v>Curated in the targeted ScholarTube expansion; official institution, conference, lab, course, or creator source.</x:v>
      </x:c>
      <x:c r="T396" s="16" t="str">
        <x:v>e4jow5O3JT8</x:v>
      </x:c>
      <x:c r="U396" s="17" t="str"/>
      <x:c r="V396" s="151"/>
      <x:c r="W396" s="17" t="str"/>
    </x:row>
    <x:row r="397" ht="42" customHeight="1">
      <x:c r="A397" s="22" t="str">
        <x:v>ST-396</x:v>
      </x:c>
      <x:c r="B397" s="22" t="str">
        <x:v>Course</x:v>
      </x:c>
      <x:c r="C397" s="22" t="str">
        <x:v>Robotics</x:v>
      </x:c>
      <x:c r="D397" s="17" t="str">
        <x:v>Robotics / Embodied AI</x:v>
      </x:c>
      <x:c r="E397" s="17" t="str">
        <x:v>Robot Learning / Embodied AI / Control</x:v>
      </x:c>
      <x:c r="F397" s="23" t="str">
        <x:v>English</x:v>
      </x:c>
      <x:c r="G397" s="17" t="str">
        <x:v>Learn ROS2 Jazzy Crash Course 2025 (full learning material and code included)</x:v>
      </x:c>
      <x:c r="H397" s="17" t="str">
        <x:v>To be added</x:v>
      </x:c>
      <x:c r="I397" s="17" t="str">
        <x:v>The Construct Robotics Institute</x:v>
      </x:c>
      <x:c r="J397" s="23" t="str">
        <x:v>Course / Tutorial</x:v>
      </x:c>
      <x:c r="K397" s="24" t="n">
        <x:v>244</x:v>
      </x:c>
      <x:c r="L397" s="16" t="str">
        <x:v>https://www.youtube.com/watch?v=Se5pvRlTX8s</x:v>
      </x:c>
      <x:c r="M397" s="22" t="str">
        <x:v>YouTube</x:v>
      </x:c>
      <x:c r="N397" s="25" t="n">
        <x:v>30096</x:v>
      </x:c>
      <x:c r="O397" s="23" t="str">
        <x:v>A | Official / Original Creator / Organizer</x:v>
      </x:c>
      <x:c r="P397" s="23" t="str">
        <x:v>Core</x:v>
      </x:c>
      <x:c r="Q397" s="23" t="str">
        <x:v>Verified</x:v>
      </x:c>
      <x:c r="R397" s="26" t="n">
        <x:v>46246</x:v>
      </x:c>
      <x:c r="S397" s="17" t="str">
        <x:v>Curated in the targeted ScholarTube expansion; official institution, conference, lab, course, or creator source.</x:v>
      </x:c>
      <x:c r="T397" s="16" t="str">
        <x:v>Se5pvRlTX8s</x:v>
      </x:c>
      <x:c r="U397" s="17" t="str"/>
      <x:c r="V397" s="151"/>
      <x:c r="W397" s="17" t="str"/>
    </x:row>
    <x:row r="398" ht="42" customHeight="1">
      <x:c r="A398" s="22" t="str">
        <x:v>ST-397</x:v>
      </x:c>
      <x:c r="B398" s="22" t="str">
        <x:v>Course</x:v>
      </x:c>
      <x:c r="C398" s="22" t="str">
        <x:v>Agent</x:v>
      </x:c>
      <x:c r="D398" s="17" t="str">
        <x:v>Agents / Tool Use / Reasoning</x:v>
      </x:c>
      <x:c r="E398" s="17" t="str">
        <x:v>Agents / Reasoning / Tool Use</x:v>
      </x:c>
      <x:c r="F398" s="23" t="str">
        <x:v>English</x:v>
      </x:c>
      <x:c r="G398" s="17" t="str">
        <x:v>Agentic Evaluations Workshop - Deep Dive on the Future on Evals for Agents.</x:v>
      </x:c>
      <x:c r="H398" s="17" t="str">
        <x:v>To be added</x:v>
      </x:c>
      <x:c r="I398" s="17" t="str">
        <x:v>Hugging Face</x:v>
      </x:c>
      <x:c r="J398" s="23" t="str">
        <x:v>Course / Tutorial</x:v>
      </x:c>
      <x:c r="K398" s="24" t="n">
        <x:v>109</x:v>
      </x:c>
      <x:c r="L398" s="16" t="str">
        <x:v>https://www.youtube.com/watch?v=UxMZfbWI3LY</x:v>
      </x:c>
      <x:c r="M398" s="22" t="str">
        <x:v>YouTube</x:v>
      </x:c>
      <x:c r="N398" s="25" t="n">
        <x:v>28467</x:v>
      </x:c>
      <x:c r="O398" s="23" t="str">
        <x:v>A | Official / Original Creator / Organizer</x:v>
      </x:c>
      <x:c r="P398" s="23" t="str">
        <x:v>Core</x:v>
      </x:c>
      <x:c r="Q398" s="23" t="str">
        <x:v>Verified</x:v>
      </x:c>
      <x:c r="R398" s="26" t="n">
        <x:v>46246</x:v>
      </x:c>
      <x:c r="S398" s="17" t="str">
        <x:v>Curated in the targeted ScholarTube expansion; official institution, conference, lab, course, or creator source.</x:v>
      </x:c>
      <x:c r="T398" s="16" t="str">
        <x:v>UxMZfbWI3LY</x:v>
      </x:c>
      <x:c r="U398" s="17" t="str"/>
      <x:c r="V398" s="151"/>
      <x:c r="W398" s="17" t="str"/>
    </x:row>
    <x:row r="399" ht="42" customHeight="1">
      <x:c r="A399" s="22" t="str">
        <x:v>ST-398</x:v>
      </x:c>
      <x:c r="B399" s="22" t="str">
        <x:v>Course</x:v>
      </x:c>
      <x:c r="C399" s="22" t="str">
        <x:v>Robotics</x:v>
      </x:c>
      <x:c r="D399" s="17" t="str">
        <x:v>Robotics / Embodied AI</x:v>
      </x:c>
      <x:c r="E399" s="17" t="str">
        <x:v>Robot Learning / Embodied AI / Control</x:v>
      </x:c>
      <x:c r="F399" s="23" t="str">
        <x:v>English</x:v>
      </x:c>
      <x:c r="G399" s="17" t="str">
        <x:v>RI Seminar: Oliver Kroemer : Learning Robot Manipulation Skills...</x:v>
      </x:c>
      <x:c r="H399" s="17" t="str">
        <x:v>To be added</x:v>
      </x:c>
      <x:c r="I399" s="17" t="str">
        <x:v>CMU Robotics Institute</x:v>
      </x:c>
      <x:c r="J399" s="23" t="str">
        <x:v>Course / Tutorial</x:v>
      </x:c>
      <x:c r="K399" s="24" t="n">
        <x:v>54</x:v>
      </x:c>
      <x:c r="L399" s="16" t="str">
        <x:v>https://www.youtube.com/watch?v=drCfLNTB0Ro</x:v>
      </x:c>
      <x:c r="M399" s="22" t="str">
        <x:v>YouTube</x:v>
      </x:c>
      <x:c r="N399" s="25" t="n">
        <x:v>2401</x:v>
      </x:c>
      <x:c r="O399" s="23" t="str">
        <x:v>A | Official / Original Creator / Organizer</x:v>
      </x:c>
      <x:c r="P399" s="23" t="str">
        <x:v>Core</x:v>
      </x:c>
      <x:c r="Q399" s="23" t="str">
        <x:v>Verified</x:v>
      </x:c>
      <x:c r="R399" s="26" t="n">
        <x:v>46246</x:v>
      </x:c>
      <x:c r="S399" s="17" t="str">
        <x:v>Curated in the targeted ScholarTube expansion; official institution, conference, lab, course, or creator source.</x:v>
      </x:c>
      <x:c r="T399" s="16" t="str">
        <x:v>drCfLNTB0Ro</x:v>
      </x:c>
      <x:c r="U399" s="17" t="str"/>
      <x:c r="V399" s="151"/>
      <x:c r="W399" s="17" t="str"/>
    </x:row>
    <x:row r="400" ht="42" customHeight="1">
      <x:c r="A400" s="22" t="str">
        <x:v>ST-399</x:v>
      </x:c>
      <x:c r="B400" s="22" t="str">
        <x:v>Course</x:v>
      </x:c>
      <x:c r="C400" s="22" t="str">
        <x:v>Robotics</x:v>
      </x:c>
      <x:c r="D400" s="17" t="str">
        <x:v>Robotics / Embodied AI</x:v>
      </x:c>
      <x:c r="E400" s="17" t="str">
        <x:v>Robot Learning / Embodied AI / Control</x:v>
      </x:c>
      <x:c r="F400" s="23" t="str">
        <x:v>English</x:v>
      </x:c>
      <x:c r="G400" s="17" t="str">
        <x:v>RI Seminar: Tucker Hermans : Improving Multi-fingered Robot Manipulation...</x:v>
      </x:c>
      <x:c r="H400" s="17" t="str">
        <x:v>To be added</x:v>
      </x:c>
      <x:c r="I400" s="17" t="str">
        <x:v>CMU Robotics Institute</x:v>
      </x:c>
      <x:c r="J400" s="23" t="str">
        <x:v>Course / Tutorial</x:v>
      </x:c>
      <x:c r="K400" s="24" t="n">
        <x:v>54</x:v>
      </x:c>
      <x:c r="L400" s="16" t="str">
        <x:v>https://www.youtube.com/watch?v=xgijLJIKgds</x:v>
      </x:c>
      <x:c r="M400" s="22" t="str">
        <x:v>YouTube</x:v>
      </x:c>
      <x:c r="N400" s="25" t="n">
        <x:v>1166</x:v>
      </x:c>
      <x:c r="O400" s="23" t="str">
        <x:v>A | Official / Original Creator / Organizer</x:v>
      </x:c>
      <x:c r="P400" s="23" t="str">
        <x:v>Core</x:v>
      </x:c>
      <x:c r="Q400" s="23" t="str">
        <x:v>Verified</x:v>
      </x:c>
      <x:c r="R400" s="26" t="n">
        <x:v>46246</x:v>
      </x:c>
      <x:c r="S400" s="17" t="str">
        <x:v>Curated in the targeted ScholarTube expansion; official institution, conference, lab, course, or creator source.</x:v>
      </x:c>
      <x:c r="T400" s="16" t="str">
        <x:v>xgijLJIKgds</x:v>
      </x:c>
      <x:c r="U400" s="17" t="str"/>
      <x:c r="V400" s="151"/>
      <x:c r="W400" s="17" t="str"/>
    </x:row>
    <x:row r="401" ht="42" customHeight="1">
      <x:c r="A401" s="22" t="str">
        <x:v>ST-400</x:v>
      </x:c>
      <x:c r="B401" s="22" t="str">
        <x:v>Talk</x:v>
      </x:c>
      <x:c r="C401" s="22" t="str">
        <x:v>Robotics</x:v>
      </x:c>
      <x:c r="D401" s="17" t="str">
        <x:v>Robotics / Embodied AI</x:v>
      </x:c>
      <x:c r="E401" s="17" t="str">
        <x:v>Robot Learning / Embodied AI / Control</x:v>
      </x:c>
      <x:c r="F401" s="23" t="str">
        <x:v>English</x:v>
      </x:c>
      <x:c r="G401" s="17" t="str">
        <x:v>The Impact of AI on Robotics - Daniela Rus | Lecture Series on AI #1 | J.P. Morgan</x:v>
      </x:c>
      <x:c r="H401" s="17" t="str">
        <x:v>Daniela Rus</x:v>
      </x:c>
      <x:c r="I401" s="17" t="str">
        <x:v>jpmorgan</x:v>
      </x:c>
      <x:c r="J401" s="23" t="str">
        <x:v>Academic Talk / Research Seminar</x:v>
      </x:c>
      <x:c r="K401" s="24" t="n">
        <x:v>52</x:v>
      </x:c>
      <x:c r="L401" s="16" t="str">
        <x:v>https://www.youtube.com/watch?v=HdYbPENQbIE</x:v>
      </x:c>
      <x:c r="M401" s="22" t="str">
        <x:v>YouTube</x:v>
      </x:c>
      <x:c r="N401" s="25" t="n">
        <x:v>1109</x:v>
      </x:c>
      <x:c r="O401" s="23" t="str">
        <x:v>B | University / Conference / Institution</x:v>
      </x:c>
      <x:c r="P401" s="23" t="str">
        <x:v>Recommended</x:v>
      </x:c>
      <x:c r="Q401" s="23" t="str">
        <x:v>Verified</x:v>
      </x:c>
      <x:c r="R401" s="26" t="n">
        <x:v>46246</x:v>
      </x:c>
      <x:c r="S401" s="17" t="str">
        <x:v>Curated in the targeted ScholarTube expansion; public metadata accessible and editorially reviewed.</x:v>
      </x:c>
      <x:c r="T401" s="16" t="str">
        <x:v>HdYbPENQbIE</x:v>
      </x:c>
      <x:c r="U401" s="17" t="str"/>
      <x:c r="V401" s="151"/>
      <x:c r="W401" s="17" t="str"/>
    </x:row>
    <x:row r="402" ht="42" customHeight="1">
      <x:c r="A402" s="22" t="str">
        <x:v>ST-401</x:v>
      </x:c>
      <x:c r="B402" s="22" t="str">
        <x:v>Interview</x:v>
      </x:c>
      <x:c r="C402" s="22" t="str">
        <x:v>Agent</x:v>
      </x:c>
      <x:c r="D402" s="17" t="str">
        <x:v>Agents / Tool Use / Reasoning</x:v>
      </x:c>
      <x:c r="E402" s="17" t="str">
        <x:v>Agents / Reasoning / Tool Use</x:v>
      </x:c>
      <x:c r="F402" s="23" t="str">
        <x:v>English</x:v>
      </x:c>
      <x:c r="G402" s="17" t="str">
        <x:v>DSPy: Transforming Language Model Calls into Smart Pipelines // Omar Khattab // MLOps Podcast #194</x:v>
      </x:c>
      <x:c r="H402" s="17" t="str">
        <x:v>Omar Khattab</x:v>
      </x:c>
      <x:c r="I402" s="17" t="str">
        <x:v>AAIF Live</x:v>
      </x:c>
      <x:c r="J402" s="23" t="str">
        <x:v>Podcast Interview</x:v>
      </x:c>
      <x:c r="K402" s="24" t="n">
        <x:v>66</x:v>
      </x:c>
      <x:c r="L402" s="16" t="str">
        <x:v>https://www.youtube.com/watch?v=NoaDWKHdkHg</x:v>
      </x:c>
      <x:c r="M402" s="22" t="str">
        <x:v>YouTube</x:v>
      </x:c>
      <x:c r="N402" s="25" t="n">
        <x:v>10224</x:v>
      </x:c>
      <x:c r="O402" s="23" t="str">
        <x:v>B | University / Conference / Institution</x:v>
      </x:c>
      <x:c r="P402" s="23" t="str">
        <x:v>Recommended</x:v>
      </x:c>
      <x:c r="Q402" s="23" t="str">
        <x:v>Verified</x:v>
      </x:c>
      <x:c r="R402" s="26" t="n">
        <x:v>46246</x:v>
      </x:c>
      <x:c r="S402" s="17" t="str">
        <x:v>Curated in the targeted ScholarTube expansion; public metadata accessible and editorially reviewed.</x:v>
      </x:c>
      <x:c r="T402" s="16" t="str">
        <x:v>NoaDWKHdkHg</x:v>
      </x:c>
      <x:c r="U402" s="17" t="str"/>
      <x:c r="V402" s="151"/>
      <x:c r="W402" s="17" t="str"/>
    </x:row>
    <x:row r="403" ht="42" customHeight="1">
      <x:c r="A403" s="22" t="str">
        <x:v>ST-402</x:v>
      </x:c>
      <x:c r="B403" s="22" t="str">
        <x:v>Talk</x:v>
      </x:c>
      <x:c r="C403" s="22" t="str">
        <x:v>Vision</x:v>
      </x:c>
      <x:c r="D403" s="17" t="str">
        <x:v>Computer Vision / 3D Vision</x:v>
      </x:c>
      <x:c r="E403" s="17" t="str">
        <x:v>Computer Vision / 3D Vision / Representation Learning</x:v>
      </x:c>
      <x:c r="F403" s="23" t="str">
        <x:v>English</x:v>
      </x:c>
      <x:c r="G403" s="17" t="str">
        <x:v>3DGV Seminar: Georgia Gkioxari -- Recognizing Objects and Scenes in 3D</x:v>
      </x:c>
      <x:c r="H403" s="17" t="str">
        <x:v>Georgia Gkioxari</x:v>
      </x:c>
      <x:c r="I403" s="17" t="str">
        <x:v>3DGV Seminar</x:v>
      </x:c>
      <x:c r="J403" s="23" t="str">
        <x:v>Academic Talk / Research Seminar</x:v>
      </x:c>
      <x:c r="K403" s="24" t="n">
        <x:v>87</x:v>
      </x:c>
      <x:c r="L403" s="16" t="str">
        <x:v>https://www.youtube.com/watch?v=gXLpy3jd2mQ</x:v>
      </x:c>
      <x:c r="M403" s="22" t="str">
        <x:v>YouTube</x:v>
      </x:c>
      <x:c r="N403" s="25" t="n">
        <x:v>2032</x:v>
      </x:c>
      <x:c r="O403" s="23" t="str">
        <x:v>A | Official / Original Creator / Organizer</x:v>
      </x:c>
      <x:c r="P403" s="23" t="str">
        <x:v>Core</x:v>
      </x:c>
      <x:c r="Q403" s="23" t="str">
        <x:v>Verified</x:v>
      </x:c>
      <x:c r="R403" s="26" t="n">
        <x:v>46246</x:v>
      </x:c>
      <x:c r="S403" s="17" t="str">
        <x:v>Curated in the targeted ScholarTube expansion; official institution, conference, lab, course, or creator source.</x:v>
      </x:c>
      <x:c r="T403" s="16" t="str">
        <x:v>gXLpy3jd2mQ</x:v>
      </x:c>
      <x:c r="U403" s="17" t="str"/>
      <x:c r="V403" s="151"/>
      <x:c r="W403" s="17" t="str"/>
    </x:row>
    <x:row r="404" ht="42" customHeight="1">
      <x:c r="A404" s="22" t="str">
        <x:v>ST-403</x:v>
      </x:c>
      <x:c r="B404" s="22" t="str">
        <x:v>Talk</x:v>
      </x:c>
      <x:c r="C404" s="22" t="str">
        <x:v>World Model</x:v>
      </x:c>
      <x:c r="D404" s="17" t="str">
        <x:v>World Models / Predictive Intelligence</x:v>
      </x:c>
      <x:c r="E404" s="17" t="str">
        <x:v>World Models / Spatial Intelligence</x:v>
      </x:c>
      <x:c r="F404" s="23" t="str">
        <x:v>English</x:v>
      </x:c>
      <x:c r="G404" s="17" t="str">
        <x:v>KEYNOTE David Ha</x:v>
      </x:c>
      <x:c r="H404" s="17" t="str">
        <x:v>David Ha</x:v>
      </x:c>
      <x:c r="I404" s="17" t="str">
        <x:v>The Conference on Artificial Life</x:v>
      </x:c>
      <x:c r="J404" s="23" t="str">
        <x:v>Academic Talk / Research Seminar</x:v>
      </x:c>
      <x:c r="K404" s="24" t="n">
        <x:v>57</x:v>
      </x:c>
      <x:c r="L404" s="16" t="str">
        <x:v>https://www.youtube.com/watch?v=m8POyrJ7Pgg</x:v>
      </x:c>
      <x:c r="M404" s="22" t="str">
        <x:v>YouTube</x:v>
      </x:c>
      <x:c r="N404" s="25" t="n">
        <x:v>1586</x:v>
      </x:c>
      <x:c r="O404" s="23" t="str">
        <x:v>A | Official / Original Creator / Organizer</x:v>
      </x:c>
      <x:c r="P404" s="23" t="str">
        <x:v>Core</x:v>
      </x:c>
      <x:c r="Q404" s="23" t="str">
        <x:v>Verified</x:v>
      </x:c>
      <x:c r="R404" s="26" t="n">
        <x:v>46246</x:v>
      </x:c>
      <x:c r="S404" s="17" t="str">
        <x:v>Curated in the targeted ScholarTube expansion; official institution, conference, lab, course, or creator source.</x:v>
      </x:c>
      <x:c r="T404" s="16" t="str">
        <x:v>m8POyrJ7Pgg</x:v>
      </x:c>
      <x:c r="U404" s="17" t="str"/>
      <x:c r="V404" s="151"/>
      <x:c r="W404" s="17" t="str"/>
    </x:row>
    <x:row r="405" ht="42" customHeight="1">
      <x:c r="A405" s="22" t="str">
        <x:v>ST-404</x:v>
      </x:c>
      <x:c r="B405" s="22" t="str">
        <x:v>Talk</x:v>
      </x:c>
      <x:c r="C405" s="22" t="str">
        <x:v>Agent</x:v>
      </x:c>
      <x:c r="D405" s="17" t="str">
        <x:v>Agents / Tool Use / Reasoning</x:v>
      </x:c>
      <x:c r="E405" s="17" t="str">
        <x:v>Agents / Reasoning / Tool Use</x:v>
      </x:c>
      <x:c r="F405" s="23" t="str">
        <x:v>English</x:v>
      </x:c>
      <x:c r="G405" s="17" t="str">
        <x:v>I-X Seminar: Formulating and Evaluating Language Agents with Shunyu Yao</x:v>
      </x:c>
      <x:c r="H405" s="17" t="str">
        <x:v>Shunyu Yao</x:v>
      </x:c>
      <x:c r="I405" s="17" t="str">
        <x:v>I-X</x:v>
      </x:c>
      <x:c r="J405" s="23" t="str">
        <x:v>Academic Talk / Research Seminar</x:v>
      </x:c>
      <x:c r="K405" s="24" t="n">
        <x:v>56</x:v>
      </x:c>
      <x:c r="L405" s="16" t="str">
        <x:v>https://www.youtube.com/watch?v=qmGu9okiICU</x:v>
      </x:c>
      <x:c r="M405" s="22" t="str">
        <x:v>YouTube</x:v>
      </x:c>
      <x:c r="N405" s="25" t="n">
        <x:v>3458</x:v>
      </x:c>
      <x:c r="O405" s="23" t="str">
        <x:v>B | University / Conference / Institution</x:v>
      </x:c>
      <x:c r="P405" s="23" t="str">
        <x:v>Recommended</x:v>
      </x:c>
      <x:c r="Q405" s="23" t="str">
        <x:v>Verified</x:v>
      </x:c>
      <x:c r="R405" s="26" t="n">
        <x:v>46246</x:v>
      </x:c>
      <x:c r="S405" s="17" t="str">
        <x:v>Curated in the targeted ScholarTube expansion; public metadata accessible and editorially reviewed.</x:v>
      </x:c>
      <x:c r="T405" s="16" t="str">
        <x:v>qmGu9okiICU</x:v>
      </x:c>
      <x:c r="U405" s="17" t="str"/>
      <x:c r="V405" s="151"/>
      <x:c r="W405" s="17" t="str"/>
    </x:row>
    <x:row r="406" ht="42" customHeight="1">
      <x:c r="A406" s="22" t="str">
        <x:v>ST-405</x:v>
      </x:c>
      <x:c r="B406" s="22" t="str">
        <x:v>Talk</x:v>
      </x:c>
      <x:c r="C406" s="22" t="str">
        <x:v>Vision</x:v>
      </x:c>
      <x:c r="D406" s="17" t="str">
        <x:v>Computer Vision / 3D Vision</x:v>
      </x:c>
      <x:c r="E406" s="17" t="str">
        <x:v>Computer Vision / 3D Vision / Representation Learning</x:v>
      </x:c>
      <x:c r="F406" s="23" t="str">
        <x:v>English</x:v>
      </x:c>
      <x:c r="G406" s="17" t="str">
        <x:v>Alexei Efros. Lecture "Self-Supervised Visual Learning and Synthesis"</x:v>
      </x:c>
      <x:c r="H406" s="17" t="str">
        <x:v>Alexei Efros</x:v>
      </x:c>
      <x:c r="I406" s="17" t="str">
        <x:v>Strelka Institute/Институт Стрелка</x:v>
      </x:c>
      <x:c r="J406" s="23" t="str">
        <x:v>Academic Talk / Research Seminar</x:v>
      </x:c>
      <x:c r="K406" s="24" t="n">
        <x:v>51</x:v>
      </x:c>
      <x:c r="L406" s="16" t="str">
        <x:v>https://www.youtube.com/watch?v=0zCMiOQ8C1U</x:v>
      </x:c>
      <x:c r="M406" s="22" t="str">
        <x:v>YouTube</x:v>
      </x:c>
      <x:c r="N406" s="25" t="n">
        <x:v>2650</x:v>
      </x:c>
      <x:c r="O406" s="23" t="str">
        <x:v>A | Official / Original Creator / Organizer</x:v>
      </x:c>
      <x:c r="P406" s="23" t="str">
        <x:v>Core</x:v>
      </x:c>
      <x:c r="Q406" s="23" t="str">
        <x:v>Verified</x:v>
      </x:c>
      <x:c r="R406" s="26" t="n">
        <x:v>46246</x:v>
      </x:c>
      <x:c r="S406" s="17" t="str">
        <x:v>Curated in the targeted ScholarTube expansion; official institution, conference, lab, course, or creator source.</x:v>
      </x:c>
      <x:c r="T406" s="16" t="str">
        <x:v>0zCMiOQ8C1U</x:v>
      </x:c>
      <x:c r="U406" s="17" t="str"/>
      <x:c r="V406" s="151"/>
      <x:c r="W406" s="17" t="str"/>
    </x:row>
    <x:row r="407" ht="42" customHeight="1">
      <x:c r="A407" s="22" t="str">
        <x:v>ST-406</x:v>
      </x:c>
      <x:c r="B407" s="22" t="str">
        <x:v>Talk</x:v>
      </x:c>
      <x:c r="C407" s="22" t="str">
        <x:v>Robotics</x:v>
      </x:c>
      <x:c r="D407" s="17" t="str">
        <x:v>Robotics / Embodied AI</x:v>
      </x:c>
      <x:c r="E407" s="17" t="str">
        <x:v>Robot Learning / Embodied AI / Control</x:v>
      </x:c>
      <x:c r="F407" s="23" t="str">
        <x:v>English</x:v>
      </x:c>
      <x:c r="G407" s="17" t="str">
        <x:v>Representation Learning for Robotics | A Talk by Lerrel Pinto</x:v>
      </x:c>
      <x:c r="H407" s="17" t="str">
        <x:v>Lerrel Pinto</x:v>
      </x:c>
      <x:c r="I407" s="17" t="str">
        <x:v>IITG AI</x:v>
      </x:c>
      <x:c r="J407" s="23" t="str">
        <x:v>Academic Talk / Research Seminar</x:v>
      </x:c>
      <x:c r="K407" s="24" t="n">
        <x:v>67</x:v>
      </x:c>
      <x:c r="L407" s="16" t="str">
        <x:v>https://www.youtube.com/watch?v=rWiFftOaALs</x:v>
      </x:c>
      <x:c r="M407" s="22" t="str">
        <x:v>YouTube</x:v>
      </x:c>
      <x:c r="N407" s="25" t="n">
        <x:v>478</x:v>
      </x:c>
      <x:c r="O407" s="23" t="str">
        <x:v>B | University / Conference / Institution</x:v>
      </x:c>
      <x:c r="P407" s="23" t="str">
        <x:v>Recommended</x:v>
      </x:c>
      <x:c r="Q407" s="23" t="str">
        <x:v>Verified</x:v>
      </x:c>
      <x:c r="R407" s="26" t="n">
        <x:v>46246</x:v>
      </x:c>
      <x:c r="S407" s="17" t="str">
        <x:v>Curated in the targeted ScholarTube expansion; public metadata accessible and editorially reviewed.</x:v>
      </x:c>
      <x:c r="T407" s="16" t="str">
        <x:v>rWiFftOaALs</x:v>
      </x:c>
      <x:c r="U407" s="17" t="str"/>
      <x:c r="V407" s="151"/>
      <x:c r="W407" s="17" t="str"/>
    </x:row>
    <x:row r="408" ht="42" customHeight="1">
      <x:c r="A408" s="22" t="str">
        <x:v>ST-407</x:v>
      </x:c>
      <x:c r="B408" s="22" t="str">
        <x:v>Talk</x:v>
      </x:c>
      <x:c r="C408" s="22" t="str">
        <x:v>Robotics</x:v>
      </x:c>
      <x:c r="D408" s="17" t="str">
        <x:v>Robotics / Embodied AI</x:v>
      </x:c>
      <x:c r="E408" s="17" t="str">
        <x:v>Robot Learning / Embodied AI / Control</x:v>
      </x:c>
      <x:c r="F408" s="23" t="str">
        <x:v>English</x:v>
      </x:c>
      <x:c r="G408" s="17" t="str">
        <x:v>DRL Workshop: Deepak Pathak &amp; Natasha Jaques</x:v>
      </x:c>
      <x:c r="H408" s="17" t="str">
        <x:v>Deepak Pathak</x:v>
      </x:c>
      <x:c r="I408" s="17" t="str">
        <x:v>RTG Computational Cognition</x:v>
      </x:c>
      <x:c r="J408" s="23" t="str">
        <x:v>Academic Talk / Research Seminar</x:v>
      </x:c>
      <x:c r="K408" s="24" t="n">
        <x:v>121</x:v>
      </x:c>
      <x:c r="L408" s="16" t="str">
        <x:v>https://www.youtube.com/watch?v=G__GZKNhvsU</x:v>
      </x:c>
      <x:c r="M408" s="22" t="str">
        <x:v>YouTube</x:v>
      </x:c>
      <x:c r="N408" s="25" t="n">
        <x:v>1313</x:v>
      </x:c>
      <x:c r="O408" s="23" t="str">
        <x:v>B | University / Conference / Institution</x:v>
      </x:c>
      <x:c r="P408" s="23" t="str">
        <x:v>Recommended</x:v>
      </x:c>
      <x:c r="Q408" s="23" t="str">
        <x:v>Verified</x:v>
      </x:c>
      <x:c r="R408" s="26" t="n">
        <x:v>46246</x:v>
      </x:c>
      <x:c r="S408" s="17" t="str">
        <x:v>Curated in the targeted ScholarTube expansion; public metadata accessible and editorially reviewed.</x:v>
      </x:c>
      <x:c r="T408" s="16" t="str">
        <x:v>G__GZKNhvsU</x:v>
      </x:c>
      <x:c r="U408" s="17" t="str"/>
      <x:c r="V408" s="151"/>
      <x:c r="W408" s="17" t="str"/>
    </x:row>
    <x:row r="409" ht="42" customHeight="1">
      <x:c r="A409" s="22" t="str">
        <x:v>ST-408</x:v>
      </x:c>
      <x:c r="B409" s="22" t="str">
        <x:v>Talk</x:v>
      </x:c>
      <x:c r="C409" s="22" t="str">
        <x:v>Robotics</x:v>
      </x:c>
      <x:c r="D409" s="17" t="str">
        <x:v>Robotics / Embodied AI</x:v>
      </x:c>
      <x:c r="E409" s="17" t="str">
        <x:v>Robot Learning / Embodied AI / Control</x:v>
      </x:c>
      <x:c r="F409" s="23" t="str">
        <x:v>English</x:v>
      </x:c>
      <x:c r="G409" s="17" t="str">
        <x:v>Autonomy Talks - Deepak Pathak: Robotics In The Wild: Continual Improvement by Watching &amp; Practicing</x:v>
      </x:c>
      <x:c r="H409" s="17" t="str">
        <x:v>Deepak Pathak</x:v>
      </x:c>
      <x:c r="I409" s="17" t="str">
        <x:v>Autonomy Talks</x:v>
      </x:c>
      <x:c r="J409" s="23" t="str">
        <x:v>Academic Talk / Research Seminar</x:v>
      </x:c>
      <x:c r="K409" s="24" t="n">
        <x:v>69</x:v>
      </x:c>
      <x:c r="L409" s="16" t="str">
        <x:v>https://www.youtube.com/watch?v=mBkbnQoknr8</x:v>
      </x:c>
      <x:c r="M409" s="22" t="str">
        <x:v>YouTube</x:v>
      </x:c>
      <x:c r="N409" s="25" t="n">
        <x:v>1846</x:v>
      </x:c>
      <x:c r="O409" s="23" t="str">
        <x:v>A | Official / Original Creator / Organizer</x:v>
      </x:c>
      <x:c r="P409" s="23" t="str">
        <x:v>Core</x:v>
      </x:c>
      <x:c r="Q409" s="23" t="str">
        <x:v>Verified</x:v>
      </x:c>
      <x:c r="R409" s="26" t="n">
        <x:v>46246</x:v>
      </x:c>
      <x:c r="S409" s="17" t="str">
        <x:v>Curated in the targeted ScholarTube expansion; official institution, conference, lab, course, or creator source.</x:v>
      </x:c>
      <x:c r="T409" s="16" t="str">
        <x:v>mBkbnQoknr8</x:v>
      </x:c>
      <x:c r="U409" s="17" t="str"/>
      <x:c r="V409" s="151"/>
      <x:c r="W409" s="17" t="str"/>
    </x:row>
    <x:row r="410" ht="42" customHeight="1">
      <x:c r="A410" s="22" t="str">
        <x:v>ST-409</x:v>
      </x:c>
      <x:c r="B410" s="22" t="str">
        <x:v>Talk</x:v>
      </x:c>
      <x:c r="C410" s="22" t="str">
        <x:v>Vision</x:v>
      </x:c>
      <x:c r="D410" s="17" t="str">
        <x:v>Computer Vision / 3D Vision</x:v>
      </x:c>
      <x:c r="E410" s="17" t="str">
        <x:v>Computer Vision / 3D Vision / Representation Learning</x:v>
      </x:c>
      <x:c r="F410" s="23" t="str">
        <x:v>English</x:v>
      </x:c>
      <x:c r="G410" s="17" t="str">
        <x:v>TUM AI Lecture Series - On Removing Supervision from Contrastive Self-Supervised... (Alexei Efros)</x:v>
      </x:c>
      <x:c r="H410" s="17" t="str">
        <x:v>Alexei Efros</x:v>
      </x:c>
      <x:c r="I410" s="17" t="str">
        <x:v>Matthias Niessner</x:v>
      </x:c>
      <x:c r="J410" s="23" t="str">
        <x:v>Academic Talk / Research Seminar</x:v>
      </x:c>
      <x:c r="K410" s="24" t="n">
        <x:v>77</x:v>
      </x:c>
      <x:c r="L410" s="16" t="str">
        <x:v>https://www.youtube.com/watch?v=VBQti3kNqiI</x:v>
      </x:c>
      <x:c r="M410" s="22" t="str">
        <x:v>YouTube</x:v>
      </x:c>
      <x:c r="N410" s="25" t="n">
        <x:v>7356</x:v>
      </x:c>
      <x:c r="O410" s="23" t="str">
        <x:v>A | Official / Original Creator / Organizer</x:v>
      </x:c>
      <x:c r="P410" s="23" t="str">
        <x:v>Core</x:v>
      </x:c>
      <x:c r="Q410" s="23" t="str">
        <x:v>Verified</x:v>
      </x:c>
      <x:c r="R410" s="26" t="n">
        <x:v>46246</x:v>
      </x:c>
      <x:c r="S410" s="17" t="str">
        <x:v>Curated in the targeted ScholarTube expansion; official institution, conference, lab, course, or creator source.</x:v>
      </x:c>
      <x:c r="T410" s="16" t="str">
        <x:v>VBQti3kNqiI</x:v>
      </x:c>
      <x:c r="U410" s="17" t="str"/>
      <x:c r="V410" s="151"/>
      <x:c r="W410" s="17" t="str"/>
    </x:row>
    <x:row r="411" ht="42" customHeight="1">
      <x:c r="A411" s="22" t="str">
        <x:v>ST-410</x:v>
      </x:c>
      <x:c r="B411" s="22" t="str">
        <x:v>Talk</x:v>
      </x:c>
      <x:c r="C411" s="22" t="str">
        <x:v>Vision</x:v>
      </x:c>
      <x:c r="D411" s="17" t="str">
        <x:v>Computer Vision / 3D Vision</x:v>
      </x:c>
      <x:c r="E411" s="17" t="str">
        <x:v>Computer Vision / 3D Vision / Representation Learning</x:v>
      </x:c>
      <x:c r="F411" s="23" t="str">
        <x:v>English</x:v>
      </x:c>
      <x:c r="G411" s="17" t="str">
        <x:v>TUM AI Lecture Series - Learning Representations and Geometry from Unlabeled Videos (Andrea Vedaldi)</x:v>
      </x:c>
      <x:c r="H411" s="17" t="str">
        <x:v>Andrea Vedaldi</x:v>
      </x:c>
      <x:c r="I411" s="17" t="str">
        <x:v>Matthias Niessner</x:v>
      </x:c>
      <x:c r="J411" s="23" t="str">
        <x:v>Academic Talk / Research Seminar</x:v>
      </x:c>
      <x:c r="K411" s="24" t="n">
        <x:v>68</x:v>
      </x:c>
      <x:c r="L411" s="16" t="str">
        <x:v>https://www.youtube.com/watch?v=fVWQGHjRzNU</x:v>
      </x:c>
      <x:c r="M411" s="22" t="str">
        <x:v>YouTube</x:v>
      </x:c>
      <x:c r="N411" s="25" t="n">
        <x:v>2640</x:v>
      </x:c>
      <x:c r="O411" s="23" t="str">
        <x:v>A | Official / Original Creator / Organizer</x:v>
      </x:c>
      <x:c r="P411" s="23" t="str">
        <x:v>Core</x:v>
      </x:c>
      <x:c r="Q411" s="23" t="str">
        <x:v>Verified</x:v>
      </x:c>
      <x:c r="R411" s="26" t="n">
        <x:v>46246</x:v>
      </x:c>
      <x:c r="S411" s="17" t="str">
        <x:v>Curated in the targeted ScholarTube expansion; official institution, conference, lab, course, or creator source.</x:v>
      </x:c>
      <x:c r="T411" s="16" t="str">
        <x:v>fVWQGHjRzNU</x:v>
      </x:c>
      <x:c r="U411" s="17" t="str"/>
      <x:c r="V411" s="151"/>
      <x:c r="W411" s="17" t="str"/>
    </x:row>
    <x:row r="412" ht="42" customHeight="1">
      <x:c r="A412" s="22" t="str">
        <x:v>ST-411</x:v>
      </x:c>
      <x:c r="B412" s="22" t="str">
        <x:v>Talk</x:v>
      </x:c>
      <x:c r="C412" s="22" t="str">
        <x:v>Vision</x:v>
      </x:c>
      <x:c r="D412" s="17" t="str">
        <x:v>Computer Vision / 3D Vision</x:v>
      </x:c>
      <x:c r="E412" s="17" t="str">
        <x:v>Computer Vision / 3D Vision / Representation Learning</x:v>
      </x:c>
      <x:c r="F412" s="23" t="str">
        <x:v>English</x:v>
      </x:c>
      <x:c r="G412" s="17" t="str">
        <x:v>3DV 2024 Keynote - Andrea Vedaldi - 19.03.2024</x:v>
      </x:c>
      <x:c r="H412" s="17" t="str">
        <x:v>Andrea Vedaldi</x:v>
      </x:c>
      <x:c r="I412" s="17" t="str">
        <x:v>3DV2024</x:v>
      </x:c>
      <x:c r="J412" s="23" t="str">
        <x:v>Academic Talk / Research Seminar</x:v>
      </x:c>
      <x:c r="K412" s="24" t="n">
        <x:v>65</x:v>
      </x:c>
      <x:c r="L412" s="16" t="str">
        <x:v>https://www.youtube.com/watch?v=Ctog9wVyp-M</x:v>
      </x:c>
      <x:c r="M412" s="22" t="str">
        <x:v>YouTube</x:v>
      </x:c>
      <x:c r="N412" s="25" t="n">
        <x:v>1222</x:v>
      </x:c>
      <x:c r="O412" s="23" t="str">
        <x:v>A | Official / Original Creator / Organizer</x:v>
      </x:c>
      <x:c r="P412" s="23" t="str">
        <x:v>Core</x:v>
      </x:c>
      <x:c r="Q412" s="23" t="str">
        <x:v>Verified</x:v>
      </x:c>
      <x:c r="R412" s="26" t="n">
        <x:v>46246</x:v>
      </x:c>
      <x:c r="S412" s="17" t="str">
        <x:v>Curated in the targeted ScholarTube expansion; official institution, conference, lab, course, or creator source.</x:v>
      </x:c>
      <x:c r="T412" s="16" t="str">
        <x:v>Ctog9wVyp-M</x:v>
      </x:c>
      <x:c r="U412" s="17" t="str"/>
      <x:c r="V412" s="151"/>
      <x:c r="W412" s="17" t="str"/>
    </x:row>
    <x:row r="413" ht="42" customHeight="1">
      <x:c r="A413" s="22" t="str">
        <x:v>ST-412</x:v>
      </x:c>
      <x:c r="B413" s="22" t="str">
        <x:v>Interview</x:v>
      </x:c>
      <x:c r="C413" s="22" t="str">
        <x:v>Agent</x:v>
      </x:c>
      <x:c r="D413" s="17" t="str">
        <x:v>Agents / Tool Use / Reasoning</x:v>
      </x:c>
      <x:c r="E413" s="17" t="str">
        <x:v>Agents / Reasoning / Tool Use</x:v>
      </x:c>
      <x:c r="F413" s="23" t="str">
        <x:v>English</x:v>
      </x:c>
      <x:c r="G413" s="17" t="str">
        <x:v>DSPy and ColBERT with Omar Khattab! - Weaviate Podcast #85</x:v>
      </x:c>
      <x:c r="H413" s="17" t="str">
        <x:v>Omar Khattab</x:v>
      </x:c>
      <x:c r="I413" s="17" t="str">
        <x:v>Weaviate vector database</x:v>
      </x:c>
      <x:c r="J413" s="23" t="str">
        <x:v>Podcast Interview</x:v>
      </x:c>
      <x:c r="K413" s="24" t="n">
        <x:v>31</x:v>
      </x:c>
      <x:c r="L413" s="16" t="str">
        <x:v>https://www.youtube.com/watch?v=CDung1LnLbY</x:v>
      </x:c>
      <x:c r="M413" s="22" t="str">
        <x:v>YouTube</x:v>
      </x:c>
      <x:c r="N413" s="25" t="n">
        <x:v>7789</x:v>
      </x:c>
      <x:c r="O413" s="23" t="str">
        <x:v>B | University / Conference / Institution</x:v>
      </x:c>
      <x:c r="P413" s="23" t="str">
        <x:v>Recommended</x:v>
      </x:c>
      <x:c r="Q413" s="23" t="str">
        <x:v>Verified</x:v>
      </x:c>
      <x:c r="R413" s="26" t="n">
        <x:v>46246</x:v>
      </x:c>
      <x:c r="S413" s="17" t="str">
        <x:v>Curated in the targeted ScholarTube expansion; public metadata accessible and editorially reviewed.</x:v>
      </x:c>
      <x:c r="T413" s="16" t="str">
        <x:v>CDung1LnLbY</x:v>
      </x:c>
      <x:c r="U413" s="17" t="str"/>
      <x:c r="V413" s="151"/>
      <x:c r="W413" s="17" t="str"/>
    </x:row>
    <x:row r="414" ht="42" customHeight="1">
      <x:c r="A414" s="22" t="str">
        <x:v>ST-413</x:v>
      </x:c>
      <x:c r="B414" s="22" t="str">
        <x:v>Course</x:v>
      </x:c>
      <x:c r="C414" s="22" t="str">
        <x:v>Agent</x:v>
      </x:c>
      <x:c r="D414" s="17" t="str">
        <x:v>Agents / Tool Use / Reasoning</x:v>
      </x:c>
      <x:c r="E414" s="17" t="str">
        <x:v>Agents / Reasoning / Tool Use</x:v>
      </x:c>
      <x:c r="F414" s="23" t="str">
        <x:v>English</x:v>
      </x:c>
      <x:c r="G414" s="17" t="str">
        <x:v>Learn RAG From Scratch – Python AI Tutorial from a LangChain Engineer</x:v>
      </x:c>
      <x:c r="H414" s="17" t="str">
        <x:v>To be added</x:v>
      </x:c>
      <x:c r="I414" s="17" t="str">
        <x:v>freeCodeCamp.org</x:v>
      </x:c>
      <x:c r="J414" s="23" t="str">
        <x:v>Course / Tutorial</x:v>
      </x:c>
      <x:c r="K414" s="24" t="n">
        <x:v>153</x:v>
      </x:c>
      <x:c r="L414" s="16" t="str">
        <x:v>https://www.youtube.com/watch?v=sVcwVQRHIc8</x:v>
      </x:c>
      <x:c r="M414" s="22" t="str">
        <x:v>YouTube</x:v>
      </x:c>
      <x:c r="N414" s="25" t="n">
        <x:v>1518060</x:v>
      </x:c>
      <x:c r="O414" s="23" t="str">
        <x:v>B | University / Conference / Institution</x:v>
      </x:c>
      <x:c r="P414" s="23" t="str">
        <x:v>Recommended</x:v>
      </x:c>
      <x:c r="Q414" s="23" t="str">
        <x:v>Verified</x:v>
      </x:c>
      <x:c r="R414" s="26" t="n">
        <x:v>46246</x:v>
      </x:c>
      <x:c r="S414" s="17" t="str">
        <x:v>Curated in the targeted ScholarTube expansion; public metadata accessible and editorially reviewed.</x:v>
      </x:c>
      <x:c r="T414" s="16" t="str">
        <x:v>sVcwVQRHIc8</x:v>
      </x:c>
      <x:c r="U414" s="17" t="str"/>
      <x:c r="V414" s="151"/>
      <x:c r="W414" s="17" t="str"/>
    </x:row>
    <x:row r="415" ht="42" customHeight="1">
      <x:c r="A415" s="22" t="str">
        <x:v>ST-414</x:v>
      </x:c>
      <x:c r="B415" s="22" t="str">
        <x:v>Talk</x:v>
      </x:c>
      <x:c r="C415" s="22" t="str">
        <x:v>Agent</x:v>
      </x:c>
      <x:c r="D415" s="17" t="str">
        <x:v>Agents / Tool Use / Reasoning</x:v>
      </x:c>
      <x:c r="E415" s="17" t="str">
        <x:v>Agents / Reasoning / Tool Use</x:v>
      </x:c>
      <x:c r="F415" s="23" t="str">
        <x:v>English</x:v>
      </x:c>
      <x:c r="G415" s="17" t="str">
        <x:v>Designing Reliable AI Systems with DSPy | Neural Search Talks: Omar Khattab</x:v>
      </x:c>
      <x:c r="H415" s="17" t="str">
        <x:v>Omar Khattab</x:v>
      </x:c>
      <x:c r="I415" s="17" t="str">
        <x:v>Zeta Alpha</x:v>
      </x:c>
      <x:c r="J415" s="23" t="str">
        <x:v>Academic Talk / Research Seminar</x:v>
      </x:c>
      <x:c r="K415" s="24" t="n">
        <x:v>60</x:v>
      </x:c>
      <x:c r="L415" s="16" t="str">
        <x:v>https://www.youtube.com/watch?v=Lba_MBZsR5s</x:v>
      </x:c>
      <x:c r="M415" s="22" t="str">
        <x:v>YouTube</x:v>
      </x:c>
      <x:c r="N415" s="25" t="n">
        <x:v>1026</x:v>
      </x:c>
      <x:c r="O415" s="23" t="str">
        <x:v>B | University / Conference / Institution</x:v>
      </x:c>
      <x:c r="P415" s="23" t="str">
        <x:v>Recommended</x:v>
      </x:c>
      <x:c r="Q415" s="23" t="str">
        <x:v>Verified</x:v>
      </x:c>
      <x:c r="R415" s="26" t="n">
        <x:v>46246</x:v>
      </x:c>
      <x:c r="S415" s="17" t="str">
        <x:v>Curated in the targeted ScholarTube expansion; public metadata accessible and editorially reviewed.</x:v>
      </x:c>
      <x:c r="T415" s="16" t="str">
        <x:v>Lba_MBZsR5s</x:v>
      </x:c>
      <x:c r="U415" s="17" t="str"/>
      <x:c r="V415" s="151"/>
      <x:c r="W415" s="17" t="str"/>
    </x:row>
    <x:row r="416" ht="42" customHeight="1">
      <x:c r="A416" s="22" t="str">
        <x:v>ST-415</x:v>
      </x:c>
      <x:c r="B416" s="22" t="str">
        <x:v>Talk</x:v>
      </x:c>
      <x:c r="C416" s="22" t="str">
        <x:v>Agent</x:v>
      </x:c>
      <x:c r="D416" s="17" t="str">
        <x:v>Agents / Tool Use / Reasoning</x:v>
      </x:c>
      <x:c r="E416" s="17" t="str">
        <x:v>Agents / Reasoning / Tool Use</x:v>
      </x:c>
      <x:c r="F416" s="23" t="str">
        <x:v>English</x:v>
      </x:c>
      <x:c r="G416" s="17" t="str">
        <x:v>Interrupt 2025 Keynote | Harrison Chase | LangChain</x:v>
      </x:c>
      <x:c r="H416" s="17" t="str">
        <x:v>Harrison Chase</x:v>
      </x:c>
      <x:c r="I416" s="17" t="str">
        <x:v>LangChain</x:v>
      </x:c>
      <x:c r="J416" s="23" t="str">
        <x:v>Academic Talk / Research Seminar</x:v>
      </x:c>
      <x:c r="K416" s="24" t="n">
        <x:v>23</x:v>
      </x:c>
      <x:c r="L416" s="16" t="str">
        <x:v>https://www.youtube.com/watch?v=DrygcOI-kG8</x:v>
      </x:c>
      <x:c r="M416" s="22" t="str">
        <x:v>YouTube</x:v>
      </x:c>
      <x:c r="N416" s="25" t="n">
        <x:v>56797</x:v>
      </x:c>
      <x:c r="O416" s="23" t="str">
        <x:v>A | Official / Original Creator / Organizer</x:v>
      </x:c>
      <x:c r="P416" s="23" t="str">
        <x:v>Core</x:v>
      </x:c>
      <x:c r="Q416" s="23" t="str">
        <x:v>Verified</x:v>
      </x:c>
      <x:c r="R416" s="26" t="n">
        <x:v>46246</x:v>
      </x:c>
      <x:c r="S416" s="17" t="str">
        <x:v>Curated in the targeted ScholarTube expansion; official institution, conference, lab, course, or creator source.</x:v>
      </x:c>
      <x:c r="T416" s="16" t="str">
        <x:v>DrygcOI-kG8</x:v>
      </x:c>
      <x:c r="U416" s="17" t="str"/>
      <x:c r="V416" s="151"/>
      <x:c r="W416" s="17" t="str"/>
    </x:row>
    <x:row r="417" ht="42" customHeight="1">
      <x:c r="A417" s="22" t="str">
        <x:v>ST-416</x:v>
      </x:c>
      <x:c r="B417" s="22" t="str">
        <x:v>Course</x:v>
      </x:c>
      <x:c r="C417" s="22" t="str">
        <x:v>Agent</x:v>
      </x:c>
      <x:c r="D417" s="17" t="str">
        <x:v>Agents / Tool Use / Reasoning</x:v>
      </x:c>
      <x:c r="E417" s="17" t="str">
        <x:v>Agents / Reasoning / Tool Use</x:v>
      </x:c>
      <x:c r="F417" s="23" t="str">
        <x:v>English</x:v>
      </x:c>
      <x:c r="G417" s="17" t="str">
        <x:v>The Ultimate MCP Crash Course - Build From Scratch</x:v>
      </x:c>
      <x:c r="H417" s="17" t="str">
        <x:v>To be added</x:v>
      </x:c>
      <x:c r="I417" s="17" t="str">
        <x:v>Web Dev Simplified</x:v>
      </x:c>
      <x:c r="J417" s="23" t="str">
        <x:v>Course / Tutorial</x:v>
      </x:c>
      <x:c r="K417" s="24" t="n">
        <x:v>75</x:v>
      </x:c>
      <x:c r="L417" s="16" t="str">
        <x:v>https://www.youtube.com/watch?v=ZoZxQwp1PiM</x:v>
      </x:c>
      <x:c r="M417" s="22" t="str">
        <x:v>YouTube</x:v>
      </x:c>
      <x:c r="N417" s="25" t="n">
        <x:v>302750</x:v>
      </x:c>
      <x:c r="O417" s="23" t="str">
        <x:v>B | University / Conference / Institution</x:v>
      </x:c>
      <x:c r="P417" s="23" t="str">
        <x:v>Recommended</x:v>
      </x:c>
      <x:c r="Q417" s="23" t="str">
        <x:v>Verified</x:v>
      </x:c>
      <x:c r="R417" s="26" t="n">
        <x:v>46246</x:v>
      </x:c>
      <x:c r="S417" s="17" t="str">
        <x:v>Curated in the targeted ScholarTube expansion; public metadata accessible and editorially reviewed.</x:v>
      </x:c>
      <x:c r="T417" s="16" t="str">
        <x:v>ZoZxQwp1PiM</x:v>
      </x:c>
      <x:c r="U417" s="17" t="str"/>
      <x:c r="V417" s="151"/>
      <x:c r="W417" s="17" t="str"/>
    </x:row>
    <x:row r="418" ht="42" customHeight="1">
      <x:c r="A418" s="22" t="str">
        <x:v>ST-417</x:v>
      </x:c>
      <x:c r="B418" s="22" t="str">
        <x:v>Course</x:v>
      </x:c>
      <x:c r="C418" s="22" t="str">
        <x:v>Vision</x:v>
      </x:c>
      <x:c r="D418" s="17" t="str">
        <x:v>Computer Vision / 3D Vision</x:v>
      </x:c>
      <x:c r="E418" s="17" t="str">
        <x:v>Computer Vision / 3D Vision / Representation Learning</x:v>
      </x:c>
      <x:c r="F418" s="23" t="str">
        <x:v>English</x:v>
      </x:c>
      <x:c r="G418" s="17" t="str">
        <x:v>Advanced Computer Vision with Python - Full Course</x:v>
      </x:c>
      <x:c r="H418" s="17" t="str">
        <x:v>To be added</x:v>
      </x:c>
      <x:c r="I418" s="17" t="str">
        <x:v>freeCodeCamp.org</x:v>
      </x:c>
      <x:c r="J418" s="23" t="str">
        <x:v>Course / Tutorial</x:v>
      </x:c>
      <x:c r="K418" s="24" t="n">
        <x:v>401</x:v>
      </x:c>
      <x:c r="L418" s="16" t="str">
        <x:v>https://www.youtube.com/watch?v=01sAkU_NvOY</x:v>
      </x:c>
      <x:c r="M418" s="22" t="str">
        <x:v>YouTube</x:v>
      </x:c>
      <x:c r="N418" s="25" t="n">
        <x:v>2008440</x:v>
      </x:c>
      <x:c r="O418" s="23" t="str">
        <x:v>B | University / Conference / Institution</x:v>
      </x:c>
      <x:c r="P418" s="23" t="str">
        <x:v>Recommended</x:v>
      </x:c>
      <x:c r="Q418" s="23" t="str">
        <x:v>Verified</x:v>
      </x:c>
      <x:c r="R418" s="26" t="n">
        <x:v>46246</x:v>
      </x:c>
      <x:c r="S418" s="17" t="str">
        <x:v>Curated in the targeted ScholarTube expansion; public metadata accessible and editorially reviewed.</x:v>
      </x:c>
      <x:c r="T418" s="16" t="str">
        <x:v>01sAkU_NvOY</x:v>
      </x:c>
      <x:c r="U418" s="17" t="str"/>
      <x:c r="V418" s="151"/>
      <x:c r="W418" s="17" t="str"/>
    </x:row>
    <x:row r="419" ht="42" customHeight="1">
      <x:c r="A419" s="22" t="str">
        <x:v>ST-418</x:v>
      </x:c>
      <x:c r="B419" s="22" t="str">
        <x:v>Course</x:v>
      </x:c>
      <x:c r="C419" s="22" t="str">
        <x:v>Agent</x:v>
      </x:c>
      <x:c r="D419" s="17" t="str">
        <x:v>Agents / Tool Use / Reasoning</x:v>
      </x:c>
      <x:c r="E419" s="17" t="str">
        <x:v>Agents / Reasoning / Tool Use</x:v>
      </x:c>
      <x:c r="F419" s="23" t="str">
        <x:v>English</x:v>
      </x:c>
      <x:c r="G419" s="17" t="str">
        <x:v>Intro to MCP Servers – Model Context Protocol with Python Course</x:v>
      </x:c>
      <x:c r="H419" s="17" t="str">
        <x:v>To be added</x:v>
      </x:c>
      <x:c r="I419" s="17" t="str">
        <x:v>freeCodeCamp.org</x:v>
      </x:c>
      <x:c r="J419" s="23" t="str">
        <x:v>Course / Tutorial</x:v>
      </x:c>
      <x:c r="K419" s="24" t="n">
        <x:v>73</x:v>
      </x:c>
      <x:c r="L419" s="16" t="str">
        <x:v>https://www.youtube.com/watch?v=DosHnyq78xY</x:v>
      </x:c>
      <x:c r="M419" s="22" t="str">
        <x:v>YouTube</x:v>
      </x:c>
      <x:c r="N419" s="25" t="n">
        <x:v>104432</x:v>
      </x:c>
      <x:c r="O419" s="23" t="str">
        <x:v>B | University / Conference / Institution</x:v>
      </x:c>
      <x:c r="P419" s="23" t="str">
        <x:v>Recommended</x:v>
      </x:c>
      <x:c r="Q419" s="23" t="str">
        <x:v>Verified</x:v>
      </x:c>
      <x:c r="R419" s="26" t="n">
        <x:v>46246</x:v>
      </x:c>
      <x:c r="S419" s="17" t="str">
        <x:v>Curated in the targeted ScholarTube expansion; public metadata accessible and editorially reviewed.</x:v>
      </x:c>
      <x:c r="T419" s="16" t="str">
        <x:v>DosHnyq78xY</x:v>
      </x:c>
      <x:c r="U419" s="17" t="str"/>
      <x:c r="V419" s="151"/>
      <x:c r="W419" s="17" t="str"/>
    </x:row>
    <x:row r="420" ht="42" customHeight="1">
      <x:c r="A420" s="22" t="str">
        <x:v>ST-419</x:v>
      </x:c>
      <x:c r="B420" s="22" t="str">
        <x:v>Talk</x:v>
      </x:c>
      <x:c r="C420" s="22" t="str">
        <x:v>Robotics</x:v>
      </x:c>
      <x:c r="D420" s="17" t="str">
        <x:v>Robotics / Embodied AI</x:v>
      </x:c>
      <x:c r="E420" s="17" t="str">
        <x:v>Robot Learning / Embodied AI / Control</x:v>
      </x:c>
      <x:c r="F420" s="23" t="str">
        <x:v>English</x:v>
      </x:c>
      <x:c r="G420" s="17" t="str">
        <x:v>Yuke Zhu - The Quest for Compositional Robot Autonomy | Nuro Technical Talks</x:v>
      </x:c>
      <x:c r="H420" s="17" t="str">
        <x:v>Yuke Zhu</x:v>
      </x:c>
      <x:c r="I420" s="17" t="str">
        <x:v>Nuro</x:v>
      </x:c>
      <x:c r="J420" s="23" t="str">
        <x:v>Academic Talk / Research Seminar</x:v>
      </x:c>
      <x:c r="K420" s="24" t="n">
        <x:v>89</x:v>
      </x:c>
      <x:c r="L420" s="16" t="str">
        <x:v>https://www.youtube.com/watch?v=_k3r3KSAAzM</x:v>
      </x:c>
      <x:c r="M420" s="22" t="str">
        <x:v>YouTube</x:v>
      </x:c>
      <x:c r="N420" s="25" t="n">
        <x:v>854</x:v>
      </x:c>
      <x:c r="O420" s="23" t="str">
        <x:v>B | University / Conference / Institution</x:v>
      </x:c>
      <x:c r="P420" s="23" t="str">
        <x:v>Recommended</x:v>
      </x:c>
      <x:c r="Q420" s="23" t="str">
        <x:v>Verified</x:v>
      </x:c>
      <x:c r="R420" s="26" t="n">
        <x:v>46246</x:v>
      </x:c>
      <x:c r="S420" s="17" t="str">
        <x:v>Curated in the targeted ScholarTube expansion; public metadata accessible and editorially reviewed.</x:v>
      </x:c>
      <x:c r="T420" s="16" t="str">
        <x:v>_k3r3KSAAzM</x:v>
      </x:c>
      <x:c r="U420" s="17" t="str"/>
      <x:c r="V420" s="151"/>
      <x:c r="W420" s="17" t="str"/>
    </x:row>
    <x:row r="421" ht="42" customHeight="1">
      <x:c r="A421" s="22" t="str">
        <x:v>ST-420</x:v>
      </x:c>
      <x:c r="B421" s="22" t="str">
        <x:v>Talk</x:v>
      </x:c>
      <x:c r="C421" s="22" t="str">
        <x:v>Vision</x:v>
      </x:c>
      <x:c r="D421" s="17" t="str">
        <x:v>Computer Vision / 3D Vision</x:v>
      </x:c>
      <x:c r="E421" s="17" t="str">
        <x:v>Computer Vision / 3D Vision / Representation Learning</x:v>
      </x:c>
      <x:c r="F421" s="23" t="str">
        <x:v>English</x:v>
      </x:c>
      <x:c r="G421" s="17" t="str">
        <x:v>We are (still!) not giving Data enough credit - Alyosha Efros, Keynote at ACVSS 24</x:v>
      </x:c>
      <x:c r="H421" s="17" t="str">
        <x:v>Alexei Efros</x:v>
      </x:c>
      <x:c r="I421" s="17" t="str">
        <x:v>African Computer Vision Summer School (ACVSS)</x:v>
      </x:c>
      <x:c r="J421" s="23" t="str">
        <x:v>Academic Talk / Research Seminar</x:v>
      </x:c>
      <x:c r="K421" s="24" t="n">
        <x:v>98</x:v>
      </x:c>
      <x:c r="L421" s="16" t="str">
        <x:v>https://www.youtube.com/watch?v=dV6sgUiGv-U</x:v>
      </x:c>
      <x:c r="M421" s="22" t="str">
        <x:v>YouTube</x:v>
      </x:c>
      <x:c r="N421" s="25" t="n">
        <x:v>434</x:v>
      </x:c>
      <x:c r="O421" s="23" t="str">
        <x:v>A | Official / Original Creator / Organizer</x:v>
      </x:c>
      <x:c r="P421" s="23" t="str">
        <x:v>Core</x:v>
      </x:c>
      <x:c r="Q421" s="23" t="str">
        <x:v>Verified</x:v>
      </x:c>
      <x:c r="R421" s="26" t="n">
        <x:v>46246</x:v>
      </x:c>
      <x:c r="S421" s="17" t="str">
        <x:v>Curated in the targeted ScholarTube expansion; official institution, conference, lab, course, or creator source.</x:v>
      </x:c>
      <x:c r="T421" s="16" t="str">
        <x:v>dV6sgUiGv-U</x:v>
      </x:c>
      <x:c r="U421" s="17" t="str"/>
      <x:c r="V421" s="151"/>
      <x:c r="W421" s="17" t="str"/>
    </x:row>
    <x:row r="422" ht="42" customHeight="1">
      <x:c r="A422" s="22" t="str">
        <x:v>ST-421</x:v>
      </x:c>
      <x:c r="B422" s="22" t="str">
        <x:v>Interview</x:v>
      </x:c>
      <x:c r="C422" s="22" t="str">
        <x:v>Agent</x:v>
      </x:c>
      <x:c r="D422" s="17" t="str">
        <x:v>Agents / Tool Use / Reasoning</x:v>
      </x:c>
      <x:c r="E422" s="17" t="str">
        <x:v>Agents / Reasoning / Tool Use</x:v>
      </x:c>
      <x:c r="F422" s="23" t="str">
        <x:v>English</x:v>
      </x:c>
      <x:c r="G422" s="17" t="str">
        <x:v>How We Built It: Character.AI - Fireside Chat with Harrison Chase &amp; James Groeneveld</x:v>
      </x:c>
      <x:c r="H422" s="17" t="str">
        <x:v>Harrison Chase</x:v>
      </x:c>
      <x:c r="I422" s="17" t="str">
        <x:v>LangChain</x:v>
      </x:c>
      <x:c r="J422" s="23" t="str">
        <x:v>Research Interview</x:v>
      </x:c>
      <x:c r="K422" s="24" t="n">
        <x:v>33</x:v>
      </x:c>
      <x:c r="L422" s="16" t="str">
        <x:v>https://www.youtube.com/watch?v=mNil_htP-bk</x:v>
      </x:c>
      <x:c r="M422" s="22" t="str">
        <x:v>YouTube</x:v>
      </x:c>
      <x:c r="N422" s="25" t="n">
        <x:v>8051</x:v>
      </x:c>
      <x:c r="O422" s="23" t="str">
        <x:v>A | Official / Original Creator / Organizer</x:v>
      </x:c>
      <x:c r="P422" s="23" t="str">
        <x:v>Core</x:v>
      </x:c>
      <x:c r="Q422" s="23" t="str">
        <x:v>Verified</x:v>
      </x:c>
      <x:c r="R422" s="26" t="n">
        <x:v>46246</x:v>
      </x:c>
      <x:c r="S422" s="17" t="str">
        <x:v>Curated in the targeted ScholarTube expansion; official institution, conference, lab, course, or creator source.</x:v>
      </x:c>
      <x:c r="T422" s="16" t="str">
        <x:v>mNil_htP-bk</x:v>
      </x:c>
      <x:c r="U422" s="17" t="str"/>
      <x:c r="V422" s="151"/>
      <x:c r="W422" s="17" t="str"/>
    </x:row>
    <x:row r="423" ht="42" customHeight="1">
      <x:c r="A423" s="22" t="str">
        <x:v>ST-422</x:v>
      </x:c>
      <x:c r="B423" s="22" t="str">
        <x:v>Course</x:v>
      </x:c>
      <x:c r="C423" s="22" t="str">
        <x:v>Agent</x:v>
      </x:c>
      <x:c r="D423" s="17" t="str">
        <x:v>Agents / Tool Use / Reasoning</x:v>
      </x:c>
      <x:c r="E423" s="17" t="str">
        <x:v>Agents / Reasoning / Tool Use</x:v>
      </x:c>
      <x:c r="F423" s="23" t="str">
        <x:v>English</x:v>
      </x:c>
      <x:c r="G423" s="17" t="str">
        <x:v>Full Course (Lessons 1-10) AI Agents for Beginners</x:v>
      </x:c>
      <x:c r="H423" s="17" t="str">
        <x:v>To be added</x:v>
      </x:c>
      <x:c r="I423" s="17" t="str">
        <x:v>Microsoft Developer</x:v>
      </x:c>
      <x:c r="J423" s="23" t="str">
        <x:v>Course / Tutorial</x:v>
      </x:c>
      <x:c r="K423" s="24" t="n">
        <x:v>64</x:v>
      </x:c>
      <x:c r="L423" s="16" t="str">
        <x:v>https://www.youtube.com/watch?v=OhI005_aJkA</x:v>
      </x:c>
      <x:c r="M423" s="22" t="str">
        <x:v>YouTube</x:v>
      </x:c>
      <x:c r="N423" s="25" t="n">
        <x:v>514757</x:v>
      </x:c>
      <x:c r="O423" s="23" t="str">
        <x:v>A | Official / Original Creator / Organizer</x:v>
      </x:c>
      <x:c r="P423" s="23" t="str">
        <x:v>Core</x:v>
      </x:c>
      <x:c r="Q423" s="23" t="str">
        <x:v>Verified</x:v>
      </x:c>
      <x:c r="R423" s="26" t="n">
        <x:v>46246</x:v>
      </x:c>
      <x:c r="S423" s="17" t="str">
        <x:v>Curated in the targeted ScholarTube expansion; official institution, conference, lab, course, or creator source.</x:v>
      </x:c>
      <x:c r="T423" s="16" t="str">
        <x:v>OhI005_aJkA</x:v>
      </x:c>
      <x:c r="U423" s="17" t="str"/>
      <x:c r="V423" s="151"/>
      <x:c r="W423" s="17" t="str"/>
    </x:row>
    <x:row r="424" ht="42" customHeight="1">
      <x:c r="A424" s="22" t="str">
        <x:v>ST-423</x:v>
      </x:c>
      <x:c r="B424" s="22" t="str">
        <x:v>Talk</x:v>
      </x:c>
      <x:c r="C424" s="22" t="str">
        <x:v>Robotics</x:v>
      </x:c>
      <x:c r="D424" s="17" t="str">
        <x:v>Robotics / Embodied AI</x:v>
      </x:c>
      <x:c r="E424" s="17" t="str">
        <x:v>Robot Learning / Embodied AI / Control</x:v>
      </x:c>
      <x:c r="F424" s="23" t="str">
        <x:v>English</x:v>
      </x:c>
      <x:c r="G424" s="17" t="str">
        <x:v>Talk 11: M, Hutter, P. Fankhauser, ETH &amp; ANYbotics | ICRA2021 WS on Legged Robots</x:v>
      </x:c>
      <x:c r="H424" s="17" t="str">
        <x:v>Marco Hutter</x:v>
      </x:c>
      <x:c r="I424" s="17" t="str">
        <x:v>Legged Robots</x:v>
      </x:c>
      <x:c r="J424" s="23" t="str">
        <x:v>Academic Talk / Research Seminar</x:v>
      </x:c>
      <x:c r="K424" s="24" t="n">
        <x:v>31</x:v>
      </x:c>
      <x:c r="L424" s="16" t="str">
        <x:v>https://www.youtube.com/watch?v=Gv25CLSvJ9Q</x:v>
      </x:c>
      <x:c r="M424" s="22" t="str">
        <x:v>YouTube</x:v>
      </x:c>
      <x:c r="N424" s="25" t="n">
        <x:v>769</x:v>
      </x:c>
      <x:c r="O424" s="23" t="str">
        <x:v>B | University / Conference / Institution</x:v>
      </x:c>
      <x:c r="P424" s="23" t="str">
        <x:v>Recommended</x:v>
      </x:c>
      <x:c r="Q424" s="23" t="str">
        <x:v>Verified</x:v>
      </x:c>
      <x:c r="R424" s="26" t="n">
        <x:v>46246</x:v>
      </x:c>
      <x:c r="S424" s="17" t="str">
        <x:v>Curated in the targeted ScholarTube expansion; public metadata accessible and editorially reviewed.</x:v>
      </x:c>
      <x:c r="T424" s="16" t="str">
        <x:v>Gv25CLSvJ9Q</x:v>
      </x:c>
      <x:c r="U424" s="17" t="str"/>
      <x:c r="V424" s="151"/>
      <x:c r="W424" s="17" t="str"/>
    </x:row>
    <x:row r="425" ht="42" customHeight="1">
      <x:c r="A425" s="22" t="str">
        <x:v>ST-424</x:v>
      </x:c>
      <x:c r="B425" s="22" t="str">
        <x:v>Talk</x:v>
      </x:c>
      <x:c r="C425" s="22" t="str">
        <x:v>Vision</x:v>
      </x:c>
      <x:c r="D425" s="17" t="str">
        <x:v>Computer Vision / 3D Vision</x:v>
      </x:c>
      <x:c r="E425" s="17" t="str">
        <x:v>Computer Vision / 3D Vision / Representation Learning</x:v>
      </x:c>
      <x:c r="F425" s="23" t="str">
        <x:v>English</x:v>
      </x:c>
      <x:c r="G425" s="17" t="str">
        <x:v>BMVA DL 06 Andrea Vedaldi   Understanding Visual Representations</x:v>
      </x:c>
      <x:c r="H425" s="17" t="str">
        <x:v>Andrea Vedaldi</x:v>
      </x:c>
      <x:c r="I425" s="17" t="str">
        <x:v>BMVA: British Machine Vision Association</x:v>
      </x:c>
      <x:c r="J425" s="23" t="str">
        <x:v>Academic Talk / Research Seminar</x:v>
      </x:c>
      <x:c r="K425" s="24" t="n">
        <x:v>38</x:v>
      </x:c>
      <x:c r="L425" s="16" t="str">
        <x:v>https://www.youtube.com/watch?v=yG0AEobaS1E</x:v>
      </x:c>
      <x:c r="M425" s="22" t="str">
        <x:v>YouTube</x:v>
      </x:c>
      <x:c r="N425" s="25" t="n">
        <x:v>321</x:v>
      </x:c>
      <x:c r="O425" s="23" t="str">
        <x:v>A | Official / Original Creator / Organizer</x:v>
      </x:c>
      <x:c r="P425" s="23" t="str">
        <x:v>Core</x:v>
      </x:c>
      <x:c r="Q425" s="23" t="str">
        <x:v>Verified</x:v>
      </x:c>
      <x:c r="R425" s="26" t="n">
        <x:v>46246</x:v>
      </x:c>
      <x:c r="S425" s="17" t="str">
        <x:v>Curated in the targeted ScholarTube expansion; official institution, conference, lab, course, or creator source.</x:v>
      </x:c>
      <x:c r="T425" s="16" t="str">
        <x:v>yG0AEobaS1E</x:v>
      </x:c>
      <x:c r="U425" s="17" t="str"/>
      <x:c r="V425" s="151"/>
      <x:c r="W425" s="17" t="str"/>
    </x:row>
    <x:row r="426" ht="42" customHeight="1">
      <x:c r="A426" s="22" t="str">
        <x:v>ST-425</x:v>
      </x:c>
      <x:c r="B426" s="22" t="str">
        <x:v>Course</x:v>
      </x:c>
      <x:c r="C426" s="22" t="str">
        <x:v>Agent</x:v>
      </x:c>
      <x:c r="D426" s="17" t="str">
        <x:v>Agents / Tool Use / Reasoning</x:v>
      </x:c>
      <x:c r="E426" s="17" t="str">
        <x:v>Agents / Reasoning / Tool Use</x:v>
      </x:c>
      <x:c r="F426" s="23" t="str">
        <x:v>English</x:v>
      </x:c>
      <x:c r="G426" s="17" t="str">
        <x:v>LangGraph Complete Course for Beginners – Complex AI Agents with Python</x:v>
      </x:c>
      <x:c r="H426" s="17" t="str">
        <x:v>To be added</x:v>
      </x:c>
      <x:c r="I426" s="17" t="str">
        <x:v>freeCodeCamp.org</x:v>
      </x:c>
      <x:c r="J426" s="23" t="str">
        <x:v>Course / Tutorial</x:v>
      </x:c>
      <x:c r="K426" s="24" t="n">
        <x:v>190</x:v>
      </x:c>
      <x:c r="L426" s="16" t="str">
        <x:v>https://www.youtube.com/watch?v=jGg_1h0qzaM</x:v>
      </x:c>
      <x:c r="M426" s="22" t="str">
        <x:v>YouTube</x:v>
      </x:c>
      <x:c r="N426" s="25" t="n">
        <x:v>872302</x:v>
      </x:c>
      <x:c r="O426" s="23" t="str">
        <x:v>B | University / Conference / Institution</x:v>
      </x:c>
      <x:c r="P426" s="23" t="str">
        <x:v>Recommended</x:v>
      </x:c>
      <x:c r="Q426" s="23" t="str">
        <x:v>Verified</x:v>
      </x:c>
      <x:c r="R426" s="26" t="n">
        <x:v>46246</x:v>
      </x:c>
      <x:c r="S426" s="17" t="str">
        <x:v>Curated in the targeted ScholarTube expansion; public metadata accessible and editorially reviewed.</x:v>
      </x:c>
      <x:c r="T426" s="16" t="str">
        <x:v>jGg_1h0qzaM</x:v>
      </x:c>
      <x:c r="U426" s="17" t="str"/>
      <x:c r="V426" s="151"/>
      <x:c r="W426" s="17" t="str"/>
    </x:row>
    <x:row r="427" ht="42" customHeight="1">
      <x:c r="A427" s="22" t="str">
        <x:v>ST-426</x:v>
      </x:c>
      <x:c r="B427" s="22" t="str">
        <x:v>Talk</x:v>
      </x:c>
      <x:c r="C427" s="22" t="str">
        <x:v>Robotics</x:v>
      </x:c>
      <x:c r="D427" s="17" t="str">
        <x:v>Robotics / Embodied AI</x:v>
      </x:c>
      <x:c r="E427" s="17" t="str">
        <x:v>Robot Learning / Embodied AI / Control</x:v>
      </x:c>
      <x:c r="F427" s="23" t="str">
        <x:v>English</x:v>
      </x:c>
      <x:c r="G427" s="17" t="str">
        <x:v>[09] M. Hutter, 6th Workshop on Legged Robots ICRA'22</x:v>
      </x:c>
      <x:c r="H427" s="17" t="str">
        <x:v>Marco Hutter</x:v>
      </x:c>
      <x:c r="I427" s="17" t="str">
        <x:v>Legged Robots</x:v>
      </x:c>
      <x:c r="J427" s="23" t="str">
        <x:v>Academic Talk / Research Seminar</x:v>
      </x:c>
      <x:c r="K427" s="24" t="n">
        <x:v>22</x:v>
      </x:c>
      <x:c r="L427" s="16" t="str">
        <x:v>https://www.youtube.com/watch?v=7VixKUmdL4k</x:v>
      </x:c>
      <x:c r="M427" s="22" t="str">
        <x:v>YouTube</x:v>
      </x:c>
      <x:c r="N427" s="25" t="n">
        <x:v>1471</x:v>
      </x:c>
      <x:c r="O427" s="23" t="str">
        <x:v>B | University / Conference / Institution</x:v>
      </x:c>
      <x:c r="P427" s="23" t="str">
        <x:v>Recommended</x:v>
      </x:c>
      <x:c r="Q427" s="23" t="str">
        <x:v>Verified</x:v>
      </x:c>
      <x:c r="R427" s="26" t="n">
        <x:v>46246</x:v>
      </x:c>
      <x:c r="S427" s="17" t="str">
        <x:v>Curated in the targeted ScholarTube expansion; public metadata accessible and editorially reviewed.</x:v>
      </x:c>
      <x:c r="T427" s="16" t="str">
        <x:v>7VixKUmdL4k</x:v>
      </x:c>
      <x:c r="U427" s="17" t="str"/>
      <x:c r="V427" s="151"/>
      <x:c r="W427" s="17" t="str"/>
    </x:row>
    <x:row r="428" ht="42" customHeight="1">
      <x:c r="A428" s="22" t="str">
        <x:v>ST-427</x:v>
      </x:c>
      <x:c r="B428" s="22" t="str">
        <x:v>Talk</x:v>
      </x:c>
      <x:c r="C428" s="22" t="str">
        <x:v>Robotics</x:v>
      </x:c>
      <x:c r="D428" s="17" t="str">
        <x:v>Robotics / Embodied AI</x:v>
      </x:c>
      <x:c r="E428" s="17" t="str">
        <x:v>Robot Learning / Embodied AI / Control</x:v>
      </x:c>
      <x:c r="F428" s="23" t="str">
        <x:v>English</x:v>
      </x:c>
      <x:c r="G428" s="17" t="str">
        <x:v>AI+Science Conference: AI+Robotics 11.11.2025 - Yuke Zhu</x:v>
      </x:c>
      <x:c r="H428" s="17" t="str">
        <x:v>Yuke Zhu</x:v>
      </x:c>
      <x:c r="I428" s="17" t="str">
        <x:v>AI+Science Conference 2025</x:v>
      </x:c>
      <x:c r="J428" s="23" t="str">
        <x:v>Academic Talk / Research Seminar</x:v>
      </x:c>
      <x:c r="K428" s="24" t="n">
        <x:v>30</x:v>
      </x:c>
      <x:c r="L428" s="16" t="str">
        <x:v>https://www.youtube.com/watch?v=HsDz0CbYZ-U</x:v>
      </x:c>
      <x:c r="M428" s="22" t="str">
        <x:v>YouTube</x:v>
      </x:c>
      <x:c r="N428" s="25" t="n">
        <x:v>122</x:v>
      </x:c>
      <x:c r="O428" s="23" t="str">
        <x:v>A | Official / Original Creator / Organizer</x:v>
      </x:c>
      <x:c r="P428" s="23" t="str">
        <x:v>Core</x:v>
      </x:c>
      <x:c r="Q428" s="23" t="str">
        <x:v>Verified</x:v>
      </x:c>
      <x:c r="R428" s="26" t="n">
        <x:v>46246</x:v>
      </x:c>
      <x:c r="S428" s="17" t="str">
        <x:v>Curated in the targeted ScholarTube expansion; official institution, conference, lab, course, or creator source.</x:v>
      </x:c>
      <x:c r="T428" s="16" t="str">
        <x:v>HsDz0CbYZ-U</x:v>
      </x:c>
      <x:c r="U428" s="17" t="str"/>
      <x:c r="V428" s="151"/>
      <x:c r="W428" s="17" t="str"/>
    </x:row>
    <x:row r="429" ht="42" customHeight="1">
      <x:c r="A429" s="22" t="str">
        <x:v>ST-428</x:v>
      </x:c>
      <x:c r="B429" s="22" t="str">
        <x:v>Course</x:v>
      </x:c>
      <x:c r="C429" s="22" t="str">
        <x:v>Vision</x:v>
      </x:c>
      <x:c r="D429" s="17" t="str">
        <x:v>Computer Vision / 3D Vision</x:v>
      </x:c>
      <x:c r="E429" s="17" t="str">
        <x:v>Computer Vision / 3D Vision / Representation Learning</x:v>
      </x:c>
      <x:c r="F429" s="23" t="str">
        <x:v>English</x:v>
      </x:c>
      <x:c r="G429" s="17" t="str">
        <x:v>End-to-End (small) Vision Language Model Fine-tuning Tutorial | On DGX Spark</x:v>
      </x:c>
      <x:c r="H429" s="17" t="str">
        <x:v>To be added</x:v>
      </x:c>
      <x:c r="I429" s="17" t="str">
        <x:v>Daniel Bourke</x:v>
      </x:c>
      <x:c r="J429" s="23" t="str">
        <x:v>Course / Tutorial</x:v>
      </x:c>
      <x:c r="K429" s="24" t="n">
        <x:v>73</x:v>
      </x:c>
      <x:c r="L429" s="16" t="str">
        <x:v>https://www.youtube.com/watch?v=_EMfJSmLSKE</x:v>
      </x:c>
      <x:c r="M429" s="22" t="str">
        <x:v>YouTube</x:v>
      </x:c>
      <x:c r="N429" s="25" t="n">
        <x:v>18467</x:v>
      </x:c>
      <x:c r="O429" s="23" t="str">
        <x:v>B | University / Conference / Institution</x:v>
      </x:c>
      <x:c r="P429" s="23" t="str">
        <x:v>Recommended</x:v>
      </x:c>
      <x:c r="Q429" s="23" t="str">
        <x:v>Verified</x:v>
      </x:c>
      <x:c r="R429" s="26" t="n">
        <x:v>46246</x:v>
      </x:c>
      <x:c r="S429" s="17" t="str">
        <x:v>Curated in the targeted ScholarTube expansion; public metadata accessible and editorially reviewed.</x:v>
      </x:c>
      <x:c r="T429" s="16" t="str">
        <x:v>_EMfJSmLSKE</x:v>
      </x:c>
      <x:c r="U429" s="17" t="str"/>
      <x:c r="V429" s="151"/>
      <x:c r="W429" s="17" t="str"/>
    </x:row>
    <x:row r="430" ht="42" customHeight="1">
      <x:c r="A430" s="22" t="str">
        <x:v>ST-429</x:v>
      </x:c>
      <x:c r="B430" s="22" t="str">
        <x:v>Talk</x:v>
      </x:c>
      <x:c r="C430" s="22" t="str">
        <x:v>Robotics</x:v>
      </x:c>
      <x:c r="D430" s="17" t="str">
        <x:v>Robotics / Embodied AI</x:v>
      </x:c>
      <x:c r="E430" s="17" t="str">
        <x:v>Robot Learning / Embodied AI / Control</x:v>
      </x:c>
      <x:c r="F430" s="23" t="str">
        <x:v>English</x:v>
      </x:c>
      <x:c r="G430" s="17" t="str">
        <x:v>IAIFI Summer Workshop 2024 | Pulkit Agrawal</x:v>
      </x:c>
      <x:c r="H430" s="17" t="str">
        <x:v>Pulkit Agrawal</x:v>
      </x:c>
      <x:c r="I430" s="17" t="str">
        <x:v>IAIFI: Institute for AI &amp; Fundamental Interactions</x:v>
      </x:c>
      <x:c r="J430" s="23" t="str">
        <x:v>Academic Talk / Research Seminar</x:v>
      </x:c>
      <x:c r="K430" s="24" t="n">
        <x:v>63</x:v>
      </x:c>
      <x:c r="L430" s="16" t="str">
        <x:v>https://www.youtube.com/watch?v=UNb2cQOhTos</x:v>
      </x:c>
      <x:c r="M430" s="22" t="str">
        <x:v>YouTube</x:v>
      </x:c>
      <x:c r="N430" s="25" t="n">
        <x:v>133</x:v>
      </x:c>
      <x:c r="O430" s="23" t="str">
        <x:v>A | Official / Original Creator / Organizer</x:v>
      </x:c>
      <x:c r="P430" s="23" t="str">
        <x:v>Core</x:v>
      </x:c>
      <x:c r="Q430" s="23" t="str">
        <x:v>Verified</x:v>
      </x:c>
      <x:c r="R430" s="26" t="n">
        <x:v>46246</x:v>
      </x:c>
      <x:c r="S430" s="17" t="str">
        <x:v>Curated in the targeted ScholarTube expansion; official institution, conference, lab, course, or creator source.</x:v>
      </x:c>
      <x:c r="T430" s="16" t="str">
        <x:v>UNb2cQOhTos</x:v>
      </x:c>
      <x:c r="U430" s="17" t="str"/>
      <x:c r="V430" s="151"/>
      <x:c r="W430" s="17" t="str"/>
    </x:row>
    <x:row r="431" ht="42" customHeight="1">
      <x:c r="A431" s="22" t="str">
        <x:v>ST-430</x:v>
      </x:c>
      <x:c r="B431" s="22" t="str">
        <x:v>Course</x:v>
      </x:c>
      <x:c r="C431" s="22" t="str">
        <x:v>Agent</x:v>
      </x:c>
      <x:c r="D431" s="17" t="str">
        <x:v>Agents / Tool Use / Reasoning</x:v>
      </x:c>
      <x:c r="E431" s="17" t="str">
        <x:v>Agents / Reasoning / Tool Use</x:v>
      </x:c>
      <x:c r="F431" s="23" t="str">
        <x:v>English</x:v>
      </x:c>
      <x:c r="G431" s="17" t="str">
        <x:v>Agentic AI – Complete Course for Beginners</x:v>
      </x:c>
      <x:c r="H431" s="17" t="str">
        <x:v>To be added</x:v>
      </x:c>
      <x:c r="I431" s="17" t="str">
        <x:v>freeCodeCamp.org</x:v>
      </x:c>
      <x:c r="J431" s="23" t="str">
        <x:v>Course / Tutorial</x:v>
      </x:c>
      <x:c r="K431" s="24" t="n">
        <x:v>1456</x:v>
      </x:c>
      <x:c r="L431" s="16" t="str">
        <x:v>https://www.youtube.com/watch?v=Zy7EXDONlTY</x:v>
      </x:c>
      <x:c r="M431" s="22" t="str">
        <x:v>YouTube</x:v>
      </x:c>
      <x:c r="N431" s="25" t="n">
        <x:v>151347</x:v>
      </x:c>
      <x:c r="O431" s="23" t="str">
        <x:v>B | University / Conference / Institution</x:v>
      </x:c>
      <x:c r="P431" s="23" t="str">
        <x:v>Recommended</x:v>
      </x:c>
      <x:c r="Q431" s="23" t="str">
        <x:v>Verified</x:v>
      </x:c>
      <x:c r="R431" s="26" t="n">
        <x:v>46246</x:v>
      </x:c>
      <x:c r="S431" s="17" t="str">
        <x:v>Curated in the targeted ScholarTube expansion; public metadata accessible and editorially reviewed.</x:v>
      </x:c>
      <x:c r="T431" s="16" t="str">
        <x:v>Zy7EXDONlTY</x:v>
      </x:c>
      <x:c r="U431" s="17" t="str"/>
      <x:c r="V431" s="151"/>
      <x:c r="W431" s="17" t="str"/>
    </x:row>
    <x:row r="432" ht="42" customHeight="1">
      <x:c r="A432" s="22" t="str">
        <x:v>ST-431</x:v>
      </x:c>
      <x:c r="B432" s="22" t="str">
        <x:v>Course</x:v>
      </x:c>
      <x:c r="C432" s="22" t="str">
        <x:v>Robotics</x:v>
      </x:c>
      <x:c r="D432" s="17" t="str">
        <x:v>Robotics / Embodied AI</x:v>
      </x:c>
      <x:c r="E432" s="17" t="str">
        <x:v>Robot Learning / Embodied AI / Control</x:v>
      </x:c>
      <x:c r="F432" s="23" t="str">
        <x:v>English</x:v>
      </x:c>
      <x:c r="G432" s="17" t="str">
        <x:v>Learn ROS 2: Beginner to Advanced Course (Concepts and Code)</x:v>
      </x:c>
      <x:c r="H432" s="17" t="str">
        <x:v>To be added</x:v>
      </x:c>
      <x:c r="I432" s="17" t="str">
        <x:v>Kevin Wood | Robotics &amp; AI</x:v>
      </x:c>
      <x:c r="J432" s="23" t="str">
        <x:v>Course / Tutorial</x:v>
      </x:c>
      <x:c r="K432" s="24" t="n">
        <x:v>158</x:v>
      </x:c>
      <x:c r="L432" s="16" t="str">
        <x:v>https://www.youtube.com/watch?v=HJAE5Pk8Nyw</x:v>
      </x:c>
      <x:c r="M432" s="22" t="str">
        <x:v>YouTube</x:v>
      </x:c>
      <x:c r="N432" s="25" t="n">
        <x:v>289745</x:v>
      </x:c>
      <x:c r="O432" s="23" t="str">
        <x:v>A | Official / Original Creator / Organizer</x:v>
      </x:c>
      <x:c r="P432" s="23" t="str">
        <x:v>Core</x:v>
      </x:c>
      <x:c r="Q432" s="23" t="str">
        <x:v>Verified</x:v>
      </x:c>
      <x:c r="R432" s="26" t="n">
        <x:v>46246</x:v>
      </x:c>
      <x:c r="S432" s="17" t="str">
        <x:v>Curated in the targeted ScholarTube expansion; official institution, conference, lab, course, or creator source.</x:v>
      </x:c>
      <x:c r="T432" s="16" t="str">
        <x:v>HJAE5Pk8Nyw</x:v>
      </x:c>
      <x:c r="U432" s="17" t="str"/>
      <x:c r="V432" s="151"/>
      <x:c r="W432" s="17" t="str"/>
    </x:row>
    <x:row r="433" ht="42" customHeight="1">
      <x:c r="A433" s="22" t="str">
        <x:v>ST-432</x:v>
      </x:c>
      <x:c r="B433" s="22" t="str">
        <x:v>Interview</x:v>
      </x:c>
      <x:c r="C433" s="22" t="str">
        <x:v>Robotics</x:v>
      </x:c>
      <x:c r="D433" s="17" t="str">
        <x:v>Robotics / Embodied AI</x:v>
      </x:c>
      <x:c r="E433" s="17" t="str">
        <x:v>Robot Learning / Embodied AI / Control</x:v>
      </x:c>
      <x:c r="F433" s="23" t="str">
        <x:v>English</x:v>
      </x:c>
      <x:c r="G433" s="17" t="str">
        <x:v>Daniela Rus: What does the future hold for robotics and AI? (Mashable Interview 2023)</x:v>
      </x:c>
      <x:c r="H433" s="17" t="str">
        <x:v>Daniela Rus</x:v>
      </x:c>
      <x:c r="I433" s="17" t="str">
        <x:v>Daniela Rus</x:v>
      </x:c>
      <x:c r="J433" s="23" t="str">
        <x:v>Research Interview</x:v>
      </x:c>
      <x:c r="K433" s="24" t="n">
        <x:v>10</x:v>
      </x:c>
      <x:c r="L433" s="16" t="str">
        <x:v>https://www.youtube.com/watch?v=txk6Hg7wk2c</x:v>
      </x:c>
      <x:c r="M433" s="22" t="str">
        <x:v>YouTube</x:v>
      </x:c>
      <x:c r="N433" s="25" t="n">
        <x:v>2098</x:v>
      </x:c>
      <x:c r="O433" s="23" t="str">
        <x:v>B | University / Conference / Institution</x:v>
      </x:c>
      <x:c r="P433" s="23" t="str">
        <x:v>Recommended</x:v>
      </x:c>
      <x:c r="Q433" s="23" t="str">
        <x:v>Verified</x:v>
      </x:c>
      <x:c r="R433" s="26" t="n">
        <x:v>46246</x:v>
      </x:c>
      <x:c r="S433" s="17" t="str">
        <x:v>Curated in the targeted ScholarTube expansion; public metadata accessible and editorially reviewed.</x:v>
      </x:c>
      <x:c r="T433" s="16" t="str">
        <x:v>txk6Hg7wk2c</x:v>
      </x:c>
      <x:c r="U433" s="17" t="str"/>
      <x:c r="V433" s="151"/>
      <x:c r="W433" s="17" t="str"/>
    </x:row>
    <x:row r="434" ht="42" customHeight="1">
      <x:c r="A434" s="22" t="str">
        <x:v>ST-433</x:v>
      </x:c>
      <x:c r="B434" s="22" t="str">
        <x:v>Course</x:v>
      </x:c>
      <x:c r="C434" s="22" t="str">
        <x:v>Vision</x:v>
      </x:c>
      <x:c r="D434" s="17" t="str">
        <x:v>Computer Vision / 3D Vision</x:v>
      </x:c>
      <x:c r="E434" s="17" t="str">
        <x:v>Computer Vision / 3D Vision / Representation Learning</x:v>
      </x:c>
      <x:c r="F434" s="23" t="str">
        <x:v>English</x:v>
      </x:c>
      <x:c r="G434" s="17" t="str">
        <x:v>Generate 3D from ANY Video! │Gaussian Splatting Tutorial w/ Postshot</x:v>
      </x:c>
      <x:c r="H434" s="17" t="str">
        <x:v>To be added</x:v>
      </x:c>
      <x:c r="I434" s="17" t="str">
        <x:v>Black Mixture</x:v>
      </x:c>
      <x:c r="J434" s="23" t="str">
        <x:v>Course / Tutorial</x:v>
      </x:c>
      <x:c r="K434" s="24" t="n">
        <x:v>19</x:v>
      </x:c>
      <x:c r="L434" s="16" t="str">
        <x:v>https://www.youtube.com/watch?v=Xn4h0vJ-wYQ</x:v>
      </x:c>
      <x:c r="M434" s="22" t="str">
        <x:v>YouTube</x:v>
      </x:c>
      <x:c r="N434" s="25" t="n">
        <x:v>244148</x:v>
      </x:c>
      <x:c r="O434" s="23" t="str">
        <x:v>B | University / Conference / Institution</x:v>
      </x:c>
      <x:c r="P434" s="23" t="str">
        <x:v>Recommended</x:v>
      </x:c>
      <x:c r="Q434" s="23" t="str">
        <x:v>Verified</x:v>
      </x:c>
      <x:c r="R434" s="26" t="n">
        <x:v>46246</x:v>
      </x:c>
      <x:c r="S434" s="17" t="str">
        <x:v>Curated in the targeted ScholarTube expansion; public metadata accessible and editorially reviewed.</x:v>
      </x:c>
      <x:c r="T434" s="16" t="str">
        <x:v>Xn4h0vJ-wYQ</x:v>
      </x:c>
      <x:c r="U434" s="17" t="str"/>
      <x:c r="V434" s="151"/>
      <x:c r="W434" s="17" t="str"/>
    </x:row>
    <x:row r="435" ht="42" customHeight="1">
      <x:c r="A435" s="22" t="str">
        <x:v>ST-434</x:v>
      </x:c>
      <x:c r="B435" s="22" t="str">
        <x:v>Course</x:v>
      </x:c>
      <x:c r="C435" s="22" t="str">
        <x:v>Vision</x:v>
      </x:c>
      <x:c r="D435" s="17" t="str">
        <x:v>Computer Vision / 3D Vision</x:v>
      </x:c>
      <x:c r="E435" s="17" t="str">
        <x:v>Computer Vision / 3D Vision / Representation Learning</x:v>
      </x:c>
      <x:c r="F435" s="23" t="str">
        <x:v>English</x:v>
      </x:c>
      <x:c r="G435" s="17" t="str">
        <x:v>TUM AI Lecture Series - The 3D Gaussian Splatting Adventure: Past, Present, Futur (George Drettakis)</x:v>
      </x:c>
      <x:c r="H435" s="17" t="str">
        <x:v>To be added</x:v>
      </x:c>
      <x:c r="I435" s="17" t="str">
        <x:v>Matthias Niessner</x:v>
      </x:c>
      <x:c r="J435" s="23" t="str">
        <x:v>Course / Tutorial</x:v>
      </x:c>
      <x:c r="K435" s="24" t="n">
        <x:v>64</x:v>
      </x:c>
      <x:c r="L435" s="16" t="str">
        <x:v>https://www.youtube.com/watch?v=DjOqkVIlEGY</x:v>
      </x:c>
      <x:c r="M435" s="22" t="str">
        <x:v>YouTube</x:v>
      </x:c>
      <x:c r="N435" s="25" t="n">
        <x:v>21782</x:v>
      </x:c>
      <x:c r="O435" s="23" t="str">
        <x:v>A | Official / Original Creator / Organizer</x:v>
      </x:c>
      <x:c r="P435" s="23" t="str">
        <x:v>Core</x:v>
      </x:c>
      <x:c r="Q435" s="23" t="str">
        <x:v>Verified</x:v>
      </x:c>
      <x:c r="R435" s="26" t="n">
        <x:v>46246</x:v>
      </x:c>
      <x:c r="S435" s="17" t="str">
        <x:v>Curated in the targeted ScholarTube expansion; official institution, conference, lab, course, or creator source.</x:v>
      </x:c>
      <x:c r="T435" s="16" t="str">
        <x:v>DjOqkVIlEGY</x:v>
      </x:c>
      <x:c r="U435" s="17" t="str">
        <x:v>TUM AI Lecture Series</x:v>
      </x:c>
      <x:c r="V435" s="151" t="n">
        <x:v>20250203</x:v>
      </x:c>
      <x:c r="W435" s="17" t="str">
        <x:v>tum-ai-lecture-series</x:v>
      </x:c>
    </x:row>
    <x:row r="436" ht="42" customHeight="1">
      <x:c r="A436" s="22" t="str">
        <x:v>ST-435</x:v>
      </x:c>
      <x:c r="B436" s="22" t="str">
        <x:v>Course</x:v>
      </x:c>
      <x:c r="C436" s="22" t="str">
        <x:v>World Model</x:v>
      </x:c>
      <x:c r="D436" s="17" t="str">
        <x:v>World Models / Predictive Intelligence</x:v>
      </x:c>
      <x:c r="E436" s="17" t="str">
        <x:v>World Models / Spatial Intelligence</x:v>
      </x:c>
      <x:c r="F436" s="23" t="str">
        <x:v>English</x:v>
      </x:c>
      <x:c r="G436" s="17" t="str">
        <x:v>TUM AI Lecture Series - Building generative world models: progress and challenges (Ruiqi Gao)</x:v>
      </x:c>
      <x:c r="H436" s="17" t="str">
        <x:v>To be added</x:v>
      </x:c>
      <x:c r="I436" s="17" t="str">
        <x:v>Matthias Niessner</x:v>
      </x:c>
      <x:c r="J436" s="23" t="str">
        <x:v>Course / Tutorial</x:v>
      </x:c>
      <x:c r="K436" s="24" t="n">
        <x:v>74</x:v>
      </x:c>
      <x:c r="L436" s="16" t="str">
        <x:v>https://www.youtube.com/watch?v=CkOSMqwvFiQ</x:v>
      </x:c>
      <x:c r="M436" s="22" t="str">
        <x:v>YouTube</x:v>
      </x:c>
      <x:c r="N436" s="25" t="n">
        <x:v>9086</x:v>
      </x:c>
      <x:c r="O436" s="23" t="str">
        <x:v>A | Official / Original Creator / Organizer</x:v>
      </x:c>
      <x:c r="P436" s="23" t="str">
        <x:v>Core</x:v>
      </x:c>
      <x:c r="Q436" s="23" t="str">
        <x:v>Verified</x:v>
      </x:c>
      <x:c r="R436" s="26" t="n">
        <x:v>46246</x:v>
      </x:c>
      <x:c r="S436" s="17" t="str">
        <x:v>Curated in the targeted ScholarTube expansion; official institution, conference, lab, course, or creator source.</x:v>
      </x:c>
      <x:c r="T436" s="16" t="str">
        <x:v>CkOSMqwvFiQ</x:v>
      </x:c>
      <x:c r="U436" s="17" t="str">
        <x:v>TUM AI Lecture Series</x:v>
      </x:c>
      <x:c r="V436" s="151" t="n">
        <x:v>20251217</x:v>
      </x:c>
      <x:c r="W436" s="17" t="str">
        <x:v>tum-ai-lecture-series</x:v>
      </x:c>
    </x:row>
    <x:row r="437" ht="42" customHeight="1">
      <x:c r="A437" s="22" t="str">
        <x:v>ST-436</x:v>
      </x:c>
      <x:c r="B437" s="22" t="str">
        <x:v>Course</x:v>
      </x:c>
      <x:c r="C437" s="22" t="str">
        <x:v>Vision</x:v>
      </x:c>
      <x:c r="D437" s="17" t="str">
        <x:v>Computer Vision / 3D Vision</x:v>
      </x:c>
      <x:c r="E437" s="17" t="str">
        <x:v>Computer Vision / 3D Vision / Representation Learning</x:v>
      </x:c>
      <x:c r="F437" s="23" t="str">
        <x:v>English</x:v>
      </x:c>
      <x:c r="G437" s="17" t="str">
        <x:v>CVPR18: Tutorial: Part 1: Interpretable Machine Learning for Computer Vision</x:v>
      </x:c>
      <x:c r="H437" s="17" t="str">
        <x:v>To be added</x:v>
      </x:c>
      <x:c r="I437" s="17" t="str">
        <x:v>ComputerVisionFoundation Videos</x:v>
      </x:c>
      <x:c r="J437" s="23" t="str">
        <x:v>Course / Tutorial</x:v>
      </x:c>
      <x:c r="K437" s="24" t="n">
        <x:v>91</x:v>
      </x:c>
      <x:c r="L437" s="16" t="str">
        <x:v>https://www.youtube.com/watch?v=MgawSHnYQGw</x:v>
      </x:c>
      <x:c r="M437" s="22" t="str">
        <x:v>YouTube</x:v>
      </x:c>
      <x:c r="N437" s="25" t="n">
        <x:v>12564</x:v>
      </x:c>
      <x:c r="O437" s="23" t="str">
        <x:v>A | Official / Original Creator / Organizer</x:v>
      </x:c>
      <x:c r="P437" s="23" t="str">
        <x:v>Core</x:v>
      </x:c>
      <x:c r="Q437" s="23" t="str">
        <x:v>Verified</x:v>
      </x:c>
      <x:c r="R437" s="26" t="n">
        <x:v>46246</x:v>
      </x:c>
      <x:c r="S437" s="17" t="str">
        <x:v>Curated in the targeted ScholarTube expansion; official institution, conference, lab, course, or creator source.</x:v>
      </x:c>
      <x:c r="T437" s="16" t="str">
        <x:v>MgawSHnYQGw</x:v>
      </x:c>
      <x:c r="U437" s="17" t="str">
        <x:v>CVPR 2018 Tutorial: Interpretable Machine Learning for Computer Vision</x:v>
      </x:c>
      <x:c r="V437" s="151" t="n">
        <x:v>20180701</x:v>
      </x:c>
      <x:c r="W437" s="17" t="str">
        <x:v>cvpr-2018-interpretable-ml-tutorial</x:v>
      </x:c>
    </x:row>
    <x:row r="438" ht="42" customHeight="1">
      <x:c r="A438" s="22" t="str">
        <x:v>ST-437</x:v>
      </x:c>
      <x:c r="B438" s="22" t="str">
        <x:v>Course</x:v>
      </x:c>
      <x:c r="C438" s="22" t="str">
        <x:v>Vision</x:v>
      </x:c>
      <x:c r="D438" s="17" t="str">
        <x:v>Computer Vision / 3D Vision</x:v>
      </x:c>
      <x:c r="E438" s="17" t="str">
        <x:v>Computer Vision / 3D Vision / Representation Learning</x:v>
      </x:c>
      <x:c r="F438" s="23" t="str">
        <x:v>English</x:v>
      </x:c>
      <x:c r="G438" s="17" t="str">
        <x:v>A Brief Introduction to Neural Radiance Fields | CESCG Academy 2023</x:v>
      </x:c>
      <x:c r="H438" s="17" t="str">
        <x:v>To be added</x:v>
      </x:c>
      <x:c r="I438" s="17" t="str">
        <x:v>CESCG</x:v>
      </x:c>
      <x:c r="J438" s="23" t="str">
        <x:v>Course / Tutorial</x:v>
      </x:c>
      <x:c r="K438" s="24" t="n">
        <x:v>80</x:v>
      </x:c>
      <x:c r="L438" s="16" t="str">
        <x:v>https://www.youtube.com/watch?v=s3PHOPv88P4</x:v>
      </x:c>
      <x:c r="M438" s="22" t="str">
        <x:v>YouTube</x:v>
      </x:c>
      <x:c r="N438" s="25" t="n">
        <x:v>15368</x:v>
      </x:c>
      <x:c r="O438" s="23" t="str">
        <x:v>B | University / Conference / Institution</x:v>
      </x:c>
      <x:c r="P438" s="23" t="str">
        <x:v>Recommended</x:v>
      </x:c>
      <x:c r="Q438" s="23" t="str">
        <x:v>Verified</x:v>
      </x:c>
      <x:c r="R438" s="26" t="n">
        <x:v>46246</x:v>
      </x:c>
      <x:c r="S438" s="17" t="str">
        <x:v>Curated in the targeted ScholarTube expansion; public metadata accessible and editorially reviewed.</x:v>
      </x:c>
      <x:c r="T438" s="16" t="str">
        <x:v>s3PHOPv88P4</x:v>
      </x:c>
      <x:c r="U438" s="17" t="str"/>
      <x:c r="V438" s="151"/>
      <x:c r="W438" s="17" t="str"/>
    </x:row>
    <x:row r="439" ht="42" customHeight="1">
      <x:c r="A439" s="22" t="str">
        <x:v>ST-438</x:v>
      </x:c>
      <x:c r="B439" s="22" t="str">
        <x:v>Course</x:v>
      </x:c>
      <x:c r="C439" s="22" t="str">
        <x:v>Agent</x:v>
      </x:c>
      <x:c r="D439" s="17" t="str">
        <x:v>Agents / Tool Use / Reasoning</x:v>
      </x:c>
      <x:c r="E439" s="17" t="str">
        <x:v>Agents / Reasoning / Tool Use</x:v>
      </x:c>
      <x:c r="F439" s="23" t="str">
        <x:v>English</x:v>
      </x:c>
      <x:c r="G439" s="17" t="str">
        <x:v>Multi-Agent AI Systems Explained: The Complete Guide</x:v>
      </x:c>
      <x:c r="H439" s="17" t="str">
        <x:v>To be added</x:v>
      </x:c>
      <x:c r="I439" s="17" t="str">
        <x:v>Aishwarya Srinivasan</x:v>
      </x:c>
      <x:c r="J439" s="23" t="str">
        <x:v>Course / Tutorial</x:v>
      </x:c>
      <x:c r="K439" s="24" t="n">
        <x:v>21</x:v>
      </x:c>
      <x:c r="L439" s="16" t="str">
        <x:v>https://www.youtube.com/watch?v=-zBbij9rrEI</x:v>
      </x:c>
      <x:c r="M439" s="22" t="str">
        <x:v>YouTube</x:v>
      </x:c>
      <x:c r="N439" s="25" t="n">
        <x:v>19731</x:v>
      </x:c>
      <x:c r="O439" s="23" t="str">
        <x:v>B | University / Conference / Institution</x:v>
      </x:c>
      <x:c r="P439" s="23" t="str">
        <x:v>Recommended</x:v>
      </x:c>
      <x:c r="Q439" s="23" t="str">
        <x:v>Verified</x:v>
      </x:c>
      <x:c r="R439" s="26" t="n">
        <x:v>46246</x:v>
      </x:c>
      <x:c r="S439" s="17" t="str">
        <x:v>Curated in the targeted ScholarTube expansion; public metadata accessible and editorially reviewed.</x:v>
      </x:c>
      <x:c r="T439" s="16" t="str">
        <x:v>-zBbij9rrEI</x:v>
      </x:c>
      <x:c r="U439" s="17" t="str"/>
      <x:c r="V439" s="151"/>
      <x:c r="W439" s="17" t="str"/>
    </x:row>
    <x:row r="440" ht="42" customHeight="1">
      <x:c r="A440" s="22" t="str">
        <x:v>ST-439</x:v>
      </x:c>
      <x:c r="B440" s="22" t="str">
        <x:v>Course</x:v>
      </x:c>
      <x:c r="C440" s="22" t="str">
        <x:v>Robotics</x:v>
      </x:c>
      <x:c r="D440" s="17" t="str">
        <x:v>Robotics / Embodied AI</x:v>
      </x:c>
      <x:c r="E440" s="17" t="str">
        <x:v>Robot Learning / Embodied AI / Control</x:v>
      </x:c>
      <x:c r="F440" s="23" t="str">
        <x:v>English</x:v>
      </x:c>
      <x:c r="G440" s="17" t="str">
        <x:v>Imitation Learning Tutorial ICML 2018</x:v>
      </x:c>
      <x:c r="H440" s="17" t="str">
        <x:v>To be added</x:v>
      </x:c>
      <x:c r="I440" s="17" t="str">
        <x:v>Hoang Le</x:v>
      </x:c>
      <x:c r="J440" s="23" t="str">
        <x:v>Course / Tutorial</x:v>
      </x:c>
      <x:c r="K440" s="24" t="n">
        <x:v>127</x:v>
      </x:c>
      <x:c r="L440" s="16" t="str">
        <x:v>https://www.youtube.com/watch?v=WjFdD7PDGw0</x:v>
      </x:c>
      <x:c r="M440" s="22" t="str">
        <x:v>YouTube</x:v>
      </x:c>
      <x:c r="N440" s="25" t="n">
        <x:v>37405</x:v>
      </x:c>
      <x:c r="O440" s="23" t="str">
        <x:v>B | University / Conference / Institution</x:v>
      </x:c>
      <x:c r="P440" s="23" t="str">
        <x:v>Recommended</x:v>
      </x:c>
      <x:c r="Q440" s="23" t="str">
        <x:v>Verified</x:v>
      </x:c>
      <x:c r="R440" s="26" t="n">
        <x:v>46246</x:v>
      </x:c>
      <x:c r="S440" s="17" t="str">
        <x:v>Curated in the targeted ScholarTube expansion; public metadata accessible and editorially reviewed.</x:v>
      </x:c>
      <x:c r="T440" s="16" t="str">
        <x:v>WjFdD7PDGw0</x:v>
      </x:c>
      <x:c r="U440" s="17" t="str"/>
      <x:c r="V440" s="151"/>
      <x:c r="W440" s="17" t="str"/>
    </x:row>
    <x:row r="441" ht="42" customHeight="1">
      <x:c r="A441" s="22" t="str">
        <x:v>ST-440</x:v>
      </x:c>
      <x:c r="B441" s="22" t="str">
        <x:v>Course</x:v>
      </x:c>
      <x:c r="C441" s="22" t="str">
        <x:v>Vision</x:v>
      </x:c>
      <x:c r="D441" s="17" t="str">
        <x:v>Computer Vision / 3D Vision</x:v>
      </x:c>
      <x:c r="E441" s="17" t="str">
        <x:v>Computer Vision / 3D Vision / Representation Learning</x:v>
      </x:c>
      <x:c r="F441" s="23" t="str">
        <x:v>English</x:v>
      </x:c>
      <x:c r="G441" s="17" t="str">
        <x:v>NeRF: Representing Scenes as Neural Radiance Fields for View Synthesis (ML Research Paper Explained)</x:v>
      </x:c>
      <x:c r="H441" s="17" t="str">
        <x:v>To be added</x:v>
      </x:c>
      <x:c r="I441" s="17" t="str">
        <x:v>Yannic Kilcher</x:v>
      </x:c>
      <x:c r="J441" s="23" t="str">
        <x:v>Course / Tutorial</x:v>
      </x:c>
      <x:c r="K441" s="24" t="n">
        <x:v>34</x:v>
      </x:c>
      <x:c r="L441" s="16" t="str">
        <x:v>https://www.youtube.com/watch?v=CRlN-cYFxTk</x:v>
      </x:c>
      <x:c r="M441" s="22" t="str">
        <x:v>YouTube</x:v>
      </x:c>
      <x:c r="N441" s="25" t="n">
        <x:v>204471</x:v>
      </x:c>
      <x:c r="O441" s="23" t="str">
        <x:v>B | University / Conference / Institution</x:v>
      </x:c>
      <x:c r="P441" s="23" t="str">
        <x:v>Recommended</x:v>
      </x:c>
      <x:c r="Q441" s="23" t="str">
        <x:v>Verified</x:v>
      </x:c>
      <x:c r="R441" s="26" t="n">
        <x:v>46246</x:v>
      </x:c>
      <x:c r="S441" s="17" t="str">
        <x:v>Curated in the targeted ScholarTube expansion; public metadata accessible and editorially reviewed.</x:v>
      </x:c>
      <x:c r="T441" s="16" t="str">
        <x:v>CRlN-cYFxTk</x:v>
      </x:c>
      <x:c r="U441" s="17" t="str"/>
      <x:c r="V441" s="151"/>
      <x:c r="W441" s="17" t="str"/>
    </x:row>
    <x:row r="442" ht="42" customHeight="1">
      <x:c r="A442" s="22" t="str">
        <x:v>ST-441</x:v>
      </x:c>
      <x:c r="B442" s="22" t="str">
        <x:v>Course</x:v>
      </x:c>
      <x:c r="C442" s="22" t="str">
        <x:v>World Model</x:v>
      </x:c>
      <x:c r="D442" s="17" t="str">
        <x:v>World Models / Predictive Intelligence</x:v>
      </x:c>
      <x:c r="E442" s="17" t="str">
        <x:v>World Models / Spatial Intelligence</x:v>
      </x:c>
      <x:c r="F442" s="23" t="str">
        <x:v>English</x:v>
      </x:c>
      <x:c r="G442" s="17" t="str">
        <x:v>Lecture 20 Model-Based Reinforcement Learning -- CS287-FA19 Advanced Robotics at UC Berkeley</x:v>
      </x:c>
      <x:c r="H442" s="17" t="str">
        <x:v>To be added</x:v>
      </x:c>
      <x:c r="I442" s="17" t="str">
        <x:v>Pieter Abbeel</x:v>
      </x:c>
      <x:c r="J442" s="23" t="str">
        <x:v>Course / Tutorial</x:v>
      </x:c>
      <x:c r="K442" s="24" t="n">
        <x:v>79</x:v>
      </x:c>
      <x:c r="L442" s="16" t="str">
        <x:v>https://www.youtube.com/watch?v=Y2XBiUtZo1k</x:v>
      </x:c>
      <x:c r="M442" s="22" t="str">
        <x:v>YouTube</x:v>
      </x:c>
      <x:c r="N442" s="25" t="n">
        <x:v>7494</x:v>
      </x:c>
      <x:c r="O442" s="23" t="str">
        <x:v>A | Official / Original Creator / Organizer</x:v>
      </x:c>
      <x:c r="P442" s="23" t="str">
        <x:v>Core</x:v>
      </x:c>
      <x:c r="Q442" s="23" t="str">
        <x:v>Verified</x:v>
      </x:c>
      <x:c r="R442" s="26" t="n">
        <x:v>46246</x:v>
      </x:c>
      <x:c r="S442" s="17" t="str">
        <x:v>Curated in the targeted ScholarTube expansion; official institution, conference, lab, course, or creator source.</x:v>
      </x:c>
      <x:c r="T442" s="16" t="str">
        <x:v>Y2XBiUtZo1k</x:v>
      </x:c>
      <x:c r="U442" s="17" t="str"/>
      <x:c r="V442" s="151"/>
      <x:c r="W442" s="17" t="str"/>
    </x:row>
    <x:row r="443" ht="42" customHeight="1">
      <x:c r="A443" s="22" t="str">
        <x:v>ST-442</x:v>
      </x:c>
      <x:c r="B443" s="22" t="str">
        <x:v>Course</x:v>
      </x:c>
      <x:c r="C443" s="22" t="str">
        <x:v>Vision</x:v>
      </x:c>
      <x:c r="D443" s="17" t="str">
        <x:v>Computer Vision / 3D Vision</x:v>
      </x:c>
      <x:c r="E443" s="17" t="str">
        <x:v>Computer Vision / 3D Vision / Representation Learning</x:v>
      </x:c>
      <x:c r="F443" s="23" t="str">
        <x:v>English</x:v>
      </x:c>
      <x:c r="G443" s="17" t="str">
        <x:v>DINO: Emerging Properties in Self-Supervised Vision Transformers (Facebook AI Research Explained)</x:v>
      </x:c>
      <x:c r="H443" s="17" t="str">
        <x:v>To be added</x:v>
      </x:c>
      <x:c r="I443" s="17" t="str">
        <x:v>Yannic Kilcher</x:v>
      </x:c>
      <x:c r="J443" s="23" t="str">
        <x:v>Course / Tutorial</x:v>
      </x:c>
      <x:c r="K443" s="24" t="n">
        <x:v>39</x:v>
      </x:c>
      <x:c r="L443" s="16" t="str">
        <x:v>https://www.youtube.com/watch?v=h3ij3F3cPIk</x:v>
      </x:c>
      <x:c r="M443" s="22" t="str">
        <x:v>YouTube</x:v>
      </x:c>
      <x:c r="N443" s="25" t="n">
        <x:v>156925</x:v>
      </x:c>
      <x:c r="O443" s="23" t="str">
        <x:v>B | University / Conference / Institution</x:v>
      </x:c>
      <x:c r="P443" s="23" t="str">
        <x:v>Recommended</x:v>
      </x:c>
      <x:c r="Q443" s="23" t="str">
        <x:v>Verified</x:v>
      </x:c>
      <x:c r="R443" s="26" t="n">
        <x:v>46246</x:v>
      </x:c>
      <x:c r="S443" s="17" t="str">
        <x:v>Curated in the targeted ScholarTube expansion; public metadata accessible and editorially reviewed.</x:v>
      </x:c>
      <x:c r="T443" s="16" t="str">
        <x:v>h3ij3F3cPIk</x:v>
      </x:c>
      <x:c r="U443" s="17" t="str"/>
      <x:c r="V443" s="151"/>
      <x:c r="W443" s="17" t="str"/>
    </x:row>
    <x:row r="444" ht="42" customHeight="1">
      <x:c r="A444" s="22" t="str">
        <x:v>ST-443</x:v>
      </x:c>
      <x:c r="B444" s="22" t="str">
        <x:v>Course</x:v>
      </x:c>
      <x:c r="C444" s="22" t="str">
        <x:v>Agent</x:v>
      </x:c>
      <x:c r="D444" s="17" t="str">
        <x:v>Agents / Tool Use / Reasoning</x:v>
      </x:c>
      <x:c r="E444" s="17" t="str">
        <x:v>Agents / Reasoning / Tool Use</x:v>
      </x:c>
      <x:c r="F444" s="23" t="str">
        <x:v>English</x:v>
      </x:c>
      <x:c r="G444" s="17" t="str">
        <x:v>Agentic RAG Tutorial: Building AI Agents with Function Calling and Retrieval-Augmented Generation</x:v>
      </x:c>
      <x:c r="H444" s="17" t="str">
        <x:v>To be added</x:v>
      </x:c>
      <x:c r="I444" s="17" t="str">
        <x:v>DataTalksClub ⬛</x:v>
      </x:c>
      <x:c r="J444" s="23" t="str">
        <x:v>Course / Tutorial</x:v>
      </x:c>
      <x:c r="K444" s="24" t="n">
        <x:v>94</x:v>
      </x:c>
      <x:c r="L444" s="16" t="str">
        <x:v>https://www.youtube.com/watch?v=GH3lrOsU3AU</x:v>
      </x:c>
      <x:c r="M444" s="22" t="str">
        <x:v>YouTube</x:v>
      </x:c>
      <x:c r="N444" s="25" t="n">
        <x:v>9764</x:v>
      </x:c>
      <x:c r="O444" s="23" t="str">
        <x:v>B | University / Conference / Institution</x:v>
      </x:c>
      <x:c r="P444" s="23" t="str">
        <x:v>Recommended</x:v>
      </x:c>
      <x:c r="Q444" s="23" t="str">
        <x:v>Verified</x:v>
      </x:c>
      <x:c r="R444" s="26" t="n">
        <x:v>46246</x:v>
      </x:c>
      <x:c r="S444" s="17" t="str">
        <x:v>Curated in the targeted ScholarTube expansion; public metadata accessible and editorially reviewed.</x:v>
      </x:c>
      <x:c r="T444" s="16" t="str">
        <x:v>GH3lrOsU3AU</x:v>
      </x:c>
      <x:c r="U444" s="17" t="str"/>
      <x:c r="V444" s="151"/>
      <x:c r="W444" s="17" t="str"/>
    </x:row>
    <x:row r="445" ht="42" customHeight="1">
      <x:c r="A445" s="22" t="str">
        <x:v>ST-444</x:v>
      </x:c>
      <x:c r="B445" s="22" t="str">
        <x:v>Course</x:v>
      </x:c>
      <x:c r="C445" s="22" t="str">
        <x:v>Agent</x:v>
      </x:c>
      <x:c r="D445" s="17" t="str">
        <x:v>Agents / Tool Use / Reasoning</x:v>
      </x:c>
      <x:c r="E445" s="17" t="str">
        <x:v>Agents / Reasoning / Tool Use</x:v>
      </x:c>
      <x:c r="F445" s="23" t="str">
        <x:v>English</x:v>
      </x:c>
      <x:c r="G445" s="17" t="str">
        <x:v>DSPy Masterclass — 5 Real-World Use Cases for AI Engineers</x:v>
      </x:c>
      <x:c r="H445" s="17" t="str">
        <x:v>To be added</x:v>
      </x:c>
      <x:c r="I445" s="17" t="str">
        <x:v>ZazenCodes</x:v>
      </x:c>
      <x:c r="J445" s="23" t="str">
        <x:v>Course / Tutorial</x:v>
      </x:c>
      <x:c r="K445" s="24" t="n">
        <x:v>58</x:v>
      </x:c>
      <x:c r="L445" s="16" t="str">
        <x:v>https://www.youtube.com/watch?v=cD09UPUp1ww</x:v>
      </x:c>
      <x:c r="M445" s="22" t="str">
        <x:v>YouTube</x:v>
      </x:c>
      <x:c r="N445" s="25" t="n">
        <x:v>12655</x:v>
      </x:c>
      <x:c r="O445" s="23" t="str">
        <x:v>B | University / Conference / Institution</x:v>
      </x:c>
      <x:c r="P445" s="23" t="str">
        <x:v>Recommended</x:v>
      </x:c>
      <x:c r="Q445" s="23" t="str">
        <x:v>Verified</x:v>
      </x:c>
      <x:c r="R445" s="26" t="n">
        <x:v>46246</x:v>
      </x:c>
      <x:c r="S445" s="17" t="str">
        <x:v>Curated in the targeted ScholarTube expansion; public metadata accessible and editorially reviewed.</x:v>
      </x:c>
      <x:c r="T445" s="16" t="str">
        <x:v>cD09UPUp1ww</x:v>
      </x:c>
      <x:c r="U445" s="17" t="str"/>
      <x:c r="V445" s="151"/>
      <x:c r="W445" s="17" t="str"/>
    </x:row>
    <x:row r="446" ht="42" customHeight="1">
      <x:c r="A446" s="22" t="str">
        <x:v>ST-445</x:v>
      </x:c>
      <x:c r="B446" s="22" t="str">
        <x:v>Course</x:v>
      </x:c>
      <x:c r="C446" s="22" t="str">
        <x:v>Robotics</x:v>
      </x:c>
      <x:c r="D446" s="17" t="str">
        <x:v>Robotics / Embodied AI</x:v>
      </x:c>
      <x:c r="E446" s="17" t="str">
        <x:v>Robot Learning / Embodied AI / Control</x:v>
      </x:c>
      <x:c r="F446" s="23" t="str">
        <x:v>English</x:v>
      </x:c>
      <x:c r="G446" s="17" t="str">
        <x:v>Lecture 2 - Robot Imitation Learning | Modern Robot Learning From Scratch</x:v>
      </x:c>
      <x:c r="H446" s="17" t="str">
        <x:v>To be added</x:v>
      </x:c>
      <x:c r="I446" s="17" t="str">
        <x:v>Vizuara</x:v>
      </x:c>
      <x:c r="J446" s="23" t="str">
        <x:v>Course / Tutorial</x:v>
      </x:c>
      <x:c r="K446" s="24" t="n">
        <x:v>87</x:v>
      </x:c>
      <x:c r="L446" s="16" t="str">
        <x:v>https://www.youtube.com/watch?v=rx2aXfDb938</x:v>
      </x:c>
      <x:c r="M446" s="22" t="str">
        <x:v>YouTube</x:v>
      </x:c>
      <x:c r="N446" s="25" t="n">
        <x:v>6228</x:v>
      </x:c>
      <x:c r="O446" s="23" t="str">
        <x:v>B | University / Conference / Institution</x:v>
      </x:c>
      <x:c r="P446" s="23" t="str">
        <x:v>Recommended</x:v>
      </x:c>
      <x:c r="Q446" s="23" t="str">
        <x:v>Verified</x:v>
      </x:c>
      <x:c r="R446" s="26" t="n">
        <x:v>46246</x:v>
      </x:c>
      <x:c r="S446" s="17" t="str">
        <x:v>Curated in the targeted ScholarTube expansion; public metadata accessible and editorially reviewed.</x:v>
      </x:c>
      <x:c r="T446" s="16" t="str">
        <x:v>rx2aXfDb938</x:v>
      </x:c>
      <x:c r="U446" s="17" t="str"/>
      <x:c r="V446" s="151"/>
      <x:c r="W446" s="17" t="str"/>
    </x:row>
    <x:row r="447" ht="42" customHeight="1">
      <x:c r="A447" s="22" t="str">
        <x:v>ST-446</x:v>
      </x:c>
      <x:c r="B447" s="22" t="str">
        <x:v>Course</x:v>
      </x:c>
      <x:c r="C447" s="22" t="str">
        <x:v>Robotics</x:v>
      </x:c>
      <x:c r="D447" s="17" t="str">
        <x:v>Robotics / Embodied AI</x:v>
      </x:c>
      <x:c r="E447" s="17" t="str">
        <x:v>Robot Learning / Embodied AI / Control</x:v>
      </x:c>
      <x:c r="F447" s="23" t="str">
        <x:v>English</x:v>
      </x:c>
      <x:c r="G447" s="17" t="str">
        <x:v>Reinforcement Learning For Robots in Python: Isaac Lab Tutorial</x:v>
      </x:c>
      <x:c r="H447" s="17" t="str">
        <x:v>To be added</x:v>
      </x:c>
      <x:c r="I447" s="17" t="str">
        <x:v>NeuralNine</x:v>
      </x:c>
      <x:c r="J447" s="23" t="str">
        <x:v>Course / Tutorial</x:v>
      </x:c>
      <x:c r="K447" s="24" t="n">
        <x:v>9</x:v>
      </x:c>
      <x:c r="L447" s="16" t="str">
        <x:v>https://www.youtube.com/watch?v=TMHkFDhVt7g</x:v>
      </x:c>
      <x:c r="M447" s="22" t="str">
        <x:v>YouTube</x:v>
      </x:c>
      <x:c r="N447" s="25" t="n">
        <x:v>19062</x:v>
      </x:c>
      <x:c r="O447" s="23" t="str">
        <x:v>B | University / Conference / Institution</x:v>
      </x:c>
      <x:c r="P447" s="23" t="str">
        <x:v>Recommended</x:v>
      </x:c>
      <x:c r="Q447" s="23" t="str">
        <x:v>Verified</x:v>
      </x:c>
      <x:c r="R447" s="26" t="n">
        <x:v>46246</x:v>
      </x:c>
      <x:c r="S447" s="17" t="str">
        <x:v>Curated in the targeted ScholarTube expansion; public metadata accessible and editorially reviewed.</x:v>
      </x:c>
      <x:c r="T447" s="16" t="str">
        <x:v>TMHkFDhVt7g</x:v>
      </x:c>
      <x:c r="U447" s="17" t="str"/>
      <x:c r="V447" s="151"/>
      <x:c r="W447" s="17" t="str"/>
    </x:row>
    <x:row r="448" ht="42" customHeight="1">
      <x:c r="A448" s="22" t="str">
        <x:v>ST-447</x:v>
      </x:c>
      <x:c r="B448" s="22" t="str">
        <x:v>Course</x:v>
      </x:c>
      <x:c r="C448" s="22" t="str">
        <x:v>Agent</x:v>
      </x:c>
      <x:c r="D448" s="17" t="str">
        <x:v>Agents / Tool Use / Reasoning</x:v>
      </x:c>
      <x:c r="E448" s="17" t="str">
        <x:v>Agents / Reasoning / Tool Use</x:v>
      </x:c>
      <x:c r="F448" s="23" t="str">
        <x:v>English</x:v>
      </x:c>
      <x:c r="G448" s="17" t="str">
        <x:v>AI Evals Explained | How to evaluate AI Agents?</x:v>
      </x:c>
      <x:c r="H448" s="17" t="str">
        <x:v>To be added</x:v>
      </x:c>
      <x:c r="I448" s="17" t="str">
        <x:v>Aishwarya Srinivasan</x:v>
      </x:c>
      <x:c r="J448" s="23" t="str">
        <x:v>Course / Tutorial</x:v>
      </x:c>
      <x:c r="K448" s="24" t="n">
        <x:v>23</x:v>
      </x:c>
      <x:c r="L448" s="16" t="str">
        <x:v>https://www.youtube.com/watch?v=_Er8Hao_gmQ</x:v>
      </x:c>
      <x:c r="M448" s="22" t="str">
        <x:v>YouTube</x:v>
      </x:c>
      <x:c r="N448" s="25" t="n">
        <x:v>23326</x:v>
      </x:c>
      <x:c r="O448" s="23" t="str">
        <x:v>B | University / Conference / Institution</x:v>
      </x:c>
      <x:c r="P448" s="23" t="str">
        <x:v>Recommended</x:v>
      </x:c>
      <x:c r="Q448" s="23" t="str">
        <x:v>Verified</x:v>
      </x:c>
      <x:c r="R448" s="26" t="n">
        <x:v>46246</x:v>
      </x:c>
      <x:c r="S448" s="17" t="str">
        <x:v>Curated in the targeted ScholarTube expansion; public metadata accessible and editorially reviewed.</x:v>
      </x:c>
      <x:c r="T448" s="16" t="str">
        <x:v>_Er8Hao_gmQ</x:v>
      </x:c>
      <x:c r="U448" s="17" t="str"/>
      <x:c r="V448" s="151"/>
      <x:c r="W448" s="17" t="str"/>
    </x:row>
    <x:row r="449" ht="42" customHeight="1">
      <x:c r="A449" s="22" t="str">
        <x:v>ST-448</x:v>
      </x:c>
      <x:c r="B449" s="22" t="str">
        <x:v>Course</x:v>
      </x:c>
      <x:c r="C449" s="22" t="str">
        <x:v>Robotics</x:v>
      </x:c>
      <x:c r="D449" s="17" t="str">
        <x:v>Robotics / Embodied AI</x:v>
      </x:c>
      <x:c r="E449" s="17" t="str">
        <x:v>Robot Learning / Embodied AI / Control</x:v>
      </x:c>
      <x:c r="F449" s="23" t="str">
        <x:v>English</x:v>
      </x:c>
      <x:c r="G449" s="17" t="str">
        <x:v>Optimization-based Control of Legged Robots - Lesson 1 (2023 edition)</x:v>
      </x:c>
      <x:c r="H449" s="17" t="str">
        <x:v>To be added</x:v>
      </x:c>
      <x:c r="I449" s="17" t="str">
        <x:v>Andrea Del Prete</x:v>
      </x:c>
      <x:c r="J449" s="23" t="str">
        <x:v>Course / Tutorial</x:v>
      </x:c>
      <x:c r="K449" s="24" t="n">
        <x:v>172</x:v>
      </x:c>
      <x:c r="L449" s="16" t="str">
        <x:v>https://www.youtube.com/watch?v=lvsSnSl8fYE</x:v>
      </x:c>
      <x:c r="M449" s="22" t="str">
        <x:v>YouTube</x:v>
      </x:c>
      <x:c r="N449" s="25" t="n">
        <x:v>883</x:v>
      </x:c>
      <x:c r="O449" s="23" t="str">
        <x:v>B | University / Conference / Institution</x:v>
      </x:c>
      <x:c r="P449" s="23" t="str">
        <x:v>Recommended</x:v>
      </x:c>
      <x:c r="Q449" s="23" t="str">
        <x:v>Verified</x:v>
      </x:c>
      <x:c r="R449" s="26" t="n">
        <x:v>46246</x:v>
      </x:c>
      <x:c r="S449" s="17" t="str">
        <x:v>Curated in the targeted ScholarTube expansion; public metadata accessible and editorially reviewed.</x:v>
      </x:c>
      <x:c r="T449" s="16" t="str">
        <x:v>lvsSnSl8fYE</x:v>
      </x:c>
      <x:c r="U449" s="17" t="str"/>
      <x:c r="V449" s="151"/>
      <x:c r="W449" s="17" t="str"/>
    </x:row>
    <x:row r="450" ht="42" customHeight="1">
      <x:c r="A450" s="22" t="str">
        <x:v>ST-449</x:v>
      </x:c>
      <x:c r="B450" s="22" t="str">
        <x:v>Course</x:v>
      </x:c>
      <x:c r="C450" s="22" t="str">
        <x:v>Vision</x:v>
      </x:c>
      <x:c r="D450" s="17" t="str">
        <x:v>Computer Vision / 3D Vision</x:v>
      </x:c>
      <x:c r="E450" s="17" t="str">
        <x:v>Computer Vision / 3D Vision / Representation Learning</x:v>
      </x:c>
      <x:c r="F450" s="23" t="str">
        <x:v>English</x:v>
      </x:c>
      <x:c r="G450" s="17" t="str">
        <x:v>Lecture 7A Multiple views and Pre-Images</x:v>
      </x:c>
      <x:c r="H450" s="17" t="str">
        <x:v>To be added</x:v>
      </x:c>
      <x:c r="I450" s="17" t="str">
        <x:v>Sean Mullery</x:v>
      </x:c>
      <x:c r="J450" s="23" t="str">
        <x:v>Course / Tutorial</x:v>
      </x:c>
      <x:c r="K450" s="24" t="n">
        <x:v>65</x:v>
      </x:c>
      <x:c r="L450" s="16" t="str">
        <x:v>https://www.youtube.com/watch?v=5XZtM_VrYBU</x:v>
      </x:c>
      <x:c r="M450" s="22" t="str">
        <x:v>YouTube</x:v>
      </x:c>
      <x:c r="N450" s="25" t="n">
        <x:v>1113</x:v>
      </x:c>
      <x:c r="O450" s="23" t="str">
        <x:v>B | University / Conference / Institution</x:v>
      </x:c>
      <x:c r="P450" s="23" t="str">
        <x:v>Recommended</x:v>
      </x:c>
      <x:c r="Q450" s="23" t="str">
        <x:v>Verified</x:v>
      </x:c>
      <x:c r="R450" s="26" t="n">
        <x:v>46246</x:v>
      </x:c>
      <x:c r="S450" s="17" t="str">
        <x:v>Curated in the targeted ScholarTube expansion; public metadata accessible and editorially reviewed.</x:v>
      </x:c>
      <x:c r="T450" s="16" t="str">
        <x:v>5XZtM_VrYBU</x:v>
      </x:c>
      <x:c r="U450" s="17" t="str"/>
      <x:c r="V450" s="151"/>
      <x:c r="W450" s="17" t="str"/>
    </x:row>
    <x:row r="451" ht="42" customHeight="1">
      <x:c r="A451" s="22" t="str">
        <x:v>ST-450</x:v>
      </x:c>
      <x:c r="B451" s="22" t="str">
        <x:v>Course</x:v>
      </x:c>
      <x:c r="C451" s="22" t="str">
        <x:v>Vision</x:v>
      </x:c>
      <x:c r="D451" s="17" t="str">
        <x:v>Computer Vision / 3D Vision</x:v>
      </x:c>
      <x:c r="E451" s="17" t="str">
        <x:v>Computer Vision / 3D Vision / Representation Learning</x:v>
      </x:c>
      <x:c r="F451" s="23" t="str">
        <x:v>English</x:v>
      </x:c>
      <x:c r="G451" s="17" t="str">
        <x:v>Self-supervised and Vision-Language Learning (First lecture)</x:v>
      </x:c>
      <x:c r="H451" s="17" t="str">
        <x:v>To be added</x:v>
      </x:c>
      <x:c r="I451" s="17" t="str">
        <x:v>Deep Learning II</x:v>
      </x:c>
      <x:c r="J451" s="23" t="str">
        <x:v>Course / Tutorial</x:v>
      </x:c>
      <x:c r="K451" s="24" t="n">
        <x:v>97</x:v>
      </x:c>
      <x:c r="L451" s="16" t="str">
        <x:v>https://www.youtube.com/watch?v=JfSAwuP7ljY</x:v>
      </x:c>
      <x:c r="M451" s="22" t="str">
        <x:v>YouTube</x:v>
      </x:c>
      <x:c r="N451" s="25" t="n">
        <x:v>341</x:v>
      </x:c>
      <x:c r="O451" s="23" t="str">
        <x:v>B | University / Conference / Institution</x:v>
      </x:c>
      <x:c r="P451" s="23" t="str">
        <x:v>Recommended</x:v>
      </x:c>
      <x:c r="Q451" s="23" t="str">
        <x:v>Verified</x:v>
      </x:c>
      <x:c r="R451" s="26" t="n">
        <x:v>46246</x:v>
      </x:c>
      <x:c r="S451" s="17" t="str">
        <x:v>Curated in the targeted ScholarTube expansion; public metadata accessible and editorially reviewed.</x:v>
      </x:c>
      <x:c r="T451" s="16" t="str">
        <x:v>JfSAwuP7ljY</x:v>
      </x:c>
      <x:c r="U451" s="17" t="str"/>
      <x:c r="V451" s="151"/>
      <x:c r="W451" s="17" t="str"/>
    </x:row>
    <x:row r="452" ht="42" customHeight="1">
      <x:c r="A452" s="22" t="str">
        <x:v>ST-451</x:v>
      </x:c>
      <x:c r="B452" s="22" t="str">
        <x:v>Course</x:v>
      </x:c>
      <x:c r="C452" s="22" t="str">
        <x:v>Robotics</x:v>
      </x:c>
      <x:c r="D452" s="17" t="str">
        <x:v>Robotics / Embodied AI</x:v>
      </x:c>
      <x:c r="E452" s="17" t="str">
        <x:v>Robot Learning / Embodied AI / Control</x:v>
      </x:c>
      <x:c r="F452" s="23" t="str">
        <x:v>English</x:v>
      </x:c>
      <x:c r="G452" s="17" t="str">
        <x:v>New bootcamp launch | Vision-Language-Action for autonomous driving | Lecture 1</x:v>
      </x:c>
      <x:c r="H452" s="17" t="str">
        <x:v>To be added</x:v>
      </x:c>
      <x:c r="I452" s="17" t="str">
        <x:v>Vizuara</x:v>
      </x:c>
      <x:c r="J452" s="23" t="str">
        <x:v>Course / Tutorial</x:v>
      </x:c>
      <x:c r="K452" s="24" t="n">
        <x:v>124</x:v>
      </x:c>
      <x:c r="L452" s="16" t="str">
        <x:v>https://www.youtube.com/watch?v=O1gqWTI3n64</x:v>
      </x:c>
      <x:c r="M452" s="22" t="str">
        <x:v>YouTube</x:v>
      </x:c>
      <x:c r="N452" s="25" t="n">
        <x:v>5900</x:v>
      </x:c>
      <x:c r="O452" s="23" t="str">
        <x:v>B | University / Conference / Institution</x:v>
      </x:c>
      <x:c r="P452" s="23" t="str">
        <x:v>Recommended</x:v>
      </x:c>
      <x:c r="Q452" s="23" t="str">
        <x:v>Verified</x:v>
      </x:c>
      <x:c r="R452" s="26" t="n">
        <x:v>46246</x:v>
      </x:c>
      <x:c r="S452" s="17" t="str">
        <x:v>Curated in the targeted ScholarTube expansion; public metadata accessible and editorially reviewed.</x:v>
      </x:c>
      <x:c r="T452" s="16" t="str">
        <x:v>O1gqWTI3n64</x:v>
      </x:c>
      <x:c r="U452" s="17" t="str"/>
      <x:c r="V452" s="151"/>
      <x:c r="W452" s="17" t="str"/>
    </x:row>
    <x:row r="453" ht="42" customHeight="1">
      <x:c r="A453" s="22" t="str">
        <x:v>ST-452</x:v>
      </x:c>
      <x:c r="B453" s="22" t="str">
        <x:v>Course</x:v>
      </x:c>
      <x:c r="C453" s="22" t="str">
        <x:v>Robotics</x:v>
      </x:c>
      <x:c r="D453" s="17" t="str">
        <x:v>Robotics / Embodied AI</x:v>
      </x:c>
      <x:c r="E453" s="17" t="str">
        <x:v>Robot Learning / Embodied AI / Control</x:v>
      </x:c>
      <x:c r="F453" s="23" t="str">
        <x:v>English</x:v>
      </x:c>
      <x:c r="G453" s="17" t="str">
        <x:v>Embodied AI Workshop at CVPR 2021</x:v>
      </x:c>
      <x:c r="H453" s="17" t="str">
        <x:v>To be added</x:v>
      </x:c>
      <x:c r="I453" s="17" t="str">
        <x:v>Embodied AI</x:v>
      </x:c>
      <x:c r="J453" s="23" t="str">
        <x:v>Course / Tutorial</x:v>
      </x:c>
      <x:c r="K453" s="24" t="n">
        <x:v>706</x:v>
      </x:c>
      <x:c r="L453" s="16" t="str">
        <x:v>https://www.youtube.com/watch?v=fz40rCEuM8I</x:v>
      </x:c>
      <x:c r="M453" s="22" t="str">
        <x:v>YouTube</x:v>
      </x:c>
      <x:c r="N453" s="25" t="n">
        <x:v>2557</x:v>
      </x:c>
      <x:c r="O453" s="23" t="str">
        <x:v>B | University / Conference / Institution</x:v>
      </x:c>
      <x:c r="P453" s="23" t="str">
        <x:v>Recommended</x:v>
      </x:c>
      <x:c r="Q453" s="23" t="str">
        <x:v>Verified</x:v>
      </x:c>
      <x:c r="R453" s="26" t="n">
        <x:v>46246</x:v>
      </x:c>
      <x:c r="S453" s="17" t="str">
        <x:v>Curated in the targeted ScholarTube expansion; public metadata accessible and editorially reviewed.</x:v>
      </x:c>
      <x:c r="T453" s="16" t="str">
        <x:v>fz40rCEuM8I</x:v>
      </x:c>
      <x:c r="U453" s="17" t="str"/>
      <x:c r="V453" s="151"/>
      <x:c r="W453" s="17" t="str"/>
    </x:row>
    <x:row r="454" ht="42" customHeight="1">
      <x:c r="A454" s="22" t="str">
        <x:v>ST-453</x:v>
      </x:c>
      <x:c r="B454" s="22" t="str">
        <x:v>Course</x:v>
      </x:c>
      <x:c r="C454" s="22" t="str">
        <x:v>Vision</x:v>
      </x:c>
      <x:c r="D454" s="17" t="str">
        <x:v>Computer Vision / 3D Vision</x:v>
      </x:c>
      <x:c r="E454" s="17" t="str">
        <x:v>Computer Vision / 3D Vision / Representation Learning</x:v>
      </x:c>
      <x:c r="F454" s="23" t="str">
        <x:v>English</x:v>
      </x:c>
      <x:c r="G454" s="17" t="str">
        <x:v>CVPR18: Tutorial: Part 2: Interpretable Machine Learning for Computer Vision</x:v>
      </x:c>
      <x:c r="H454" s="17" t="str">
        <x:v>To be added</x:v>
      </x:c>
      <x:c r="I454" s="17" t="str">
        <x:v>ComputerVisionFoundation Videos</x:v>
      </x:c>
      <x:c r="J454" s="23" t="str">
        <x:v>Course / Tutorial</x:v>
      </x:c>
      <x:c r="K454" s="24" t="n">
        <x:v>103</x:v>
      </x:c>
      <x:c r="L454" s="16" t="str">
        <x:v>https://www.youtube.com/watch?v=1aSS5GEH58U</x:v>
      </x:c>
      <x:c r="M454" s="22" t="str">
        <x:v>YouTube</x:v>
      </x:c>
      <x:c r="N454" s="25" t="n">
        <x:v>5335</x:v>
      </x:c>
      <x:c r="O454" s="23" t="str">
        <x:v>A | Official / Original Creator / Organizer</x:v>
      </x:c>
      <x:c r="P454" s="23" t="str">
        <x:v>Core</x:v>
      </x:c>
      <x:c r="Q454" s="23" t="str">
        <x:v>Verified</x:v>
      </x:c>
      <x:c r="R454" s="26" t="n">
        <x:v>46246</x:v>
      </x:c>
      <x:c r="S454" s="17" t="str">
        <x:v>Curated in the targeted ScholarTube expansion; official institution, conference, lab, course, or creator source.</x:v>
      </x:c>
      <x:c r="T454" s="16" t="str">
        <x:v>1aSS5GEH58U</x:v>
      </x:c>
      <x:c r="U454" s="17" t="str">
        <x:v>CVPR 2018 Tutorial: Interpretable Machine Learning for Computer Vision</x:v>
      </x:c>
      <x:c r="V454" s="151" t="n">
        <x:v>20180701</x:v>
      </x:c>
      <x:c r="W454" s="17" t="str">
        <x:v>cvpr-2018-interpretable-ml-tutorial</x:v>
      </x:c>
    </x:row>
    <x:row r="455" ht="42" customHeight="1">
      <x:c r="A455" s="22" t="str">
        <x:v>ST-454</x:v>
      </x:c>
      <x:c r="B455" s="22" t="str">
        <x:v>Course</x:v>
      </x:c>
      <x:c r="C455" s="22" t="str">
        <x:v>World Model</x:v>
      </x:c>
      <x:c r="D455" s="17" t="str">
        <x:v>World Models / Predictive Intelligence</x:v>
      </x:c>
      <x:c r="E455" s="17" t="str">
        <x:v>World Models / Spatial Intelligence</x:v>
      </x:c>
      <x:c r="F455" s="23" t="str">
        <x:v>English</x:v>
      </x:c>
      <x:c r="G455" s="17" t="str">
        <x:v>CS885 Lecture 9: Model-based RL</x:v>
      </x:c>
      <x:c r="H455" s="17" t="str">
        <x:v>To be added</x:v>
      </x:c>
      <x:c r="I455" s="17" t="str">
        <x:v>Pascal Poupart</x:v>
      </x:c>
      <x:c r="J455" s="23" t="str">
        <x:v>Course / Tutorial</x:v>
      </x:c>
      <x:c r="K455" s="24" t="n">
        <x:v>85</x:v>
      </x:c>
      <x:c r="L455" s="16" t="str">
        <x:v>https://www.youtube.com/watch?v=p8V2IFLLxxA</x:v>
      </x:c>
      <x:c r="M455" s="22" t="str">
        <x:v>YouTube</x:v>
      </x:c>
      <x:c r="N455" s="25" t="n">
        <x:v>9251</x:v>
      </x:c>
      <x:c r="O455" s="23" t="str">
        <x:v>B | University / Conference / Institution</x:v>
      </x:c>
      <x:c r="P455" s="23" t="str">
        <x:v>Recommended</x:v>
      </x:c>
      <x:c r="Q455" s="23" t="str">
        <x:v>Verified</x:v>
      </x:c>
      <x:c r="R455" s="26" t="n">
        <x:v>46246</x:v>
      </x:c>
      <x:c r="S455" s="17" t="str">
        <x:v>Curated in the targeted ScholarTube expansion; public metadata accessible and editorially reviewed.</x:v>
      </x:c>
      <x:c r="T455" s="16" t="str">
        <x:v>p8V2IFLLxxA</x:v>
      </x:c>
      <x:c r="U455" s="17" t="str"/>
      <x:c r="V455" s="151"/>
      <x:c r="W455" s="17" t="str"/>
    </x:row>
    <x:row r="456" ht="42" customHeight="1">
      <x:c r="A456" s="22" t="str">
        <x:v>ST-455</x:v>
      </x:c>
      <x:c r="B456" s="22" t="str">
        <x:v>Course</x:v>
      </x:c>
      <x:c r="C456" s="22" t="str">
        <x:v>Robotics</x:v>
      </x:c>
      <x:c r="D456" s="17" t="str">
        <x:v>Robotics / Embodied AI</x:v>
      </x:c>
      <x:c r="E456" s="17" t="str">
        <x:v>Robot Learning / Embodied AI / Control</x:v>
      </x:c>
      <x:c r="F456" s="23" t="str">
        <x:v>English</x:v>
      </x:c>
      <x:c r="G456" s="17" t="str">
        <x:v>Lecture 17 | MIT 6.881 (Robotic Manipulation), Fall 2020 | Reinforcement Learning (Part 1)</x:v>
      </x:c>
      <x:c r="H456" s="17" t="str">
        <x:v>To be added</x:v>
      </x:c>
      <x:c r="I456" s="17" t="str">
        <x:v>underactuated</x:v>
      </x:c>
      <x:c r="J456" s="23" t="str">
        <x:v>Course / Tutorial</x:v>
      </x:c>
      <x:c r="K456" s="24" t="n">
        <x:v>87</x:v>
      </x:c>
      <x:c r="L456" s="16" t="str">
        <x:v>https://www.youtube.com/watch?v=kQfagO8mBiU</x:v>
      </x:c>
      <x:c r="M456" s="22" t="str">
        <x:v>YouTube</x:v>
      </x:c>
      <x:c r="N456" s="25" t="n">
        <x:v>1917</x:v>
      </x:c>
      <x:c r="O456" s="23" t="str">
        <x:v>A | Official / Original Creator / Organizer</x:v>
      </x:c>
      <x:c r="P456" s="23" t="str">
        <x:v>Core</x:v>
      </x:c>
      <x:c r="Q456" s="23" t="str">
        <x:v>Verified</x:v>
      </x:c>
      <x:c r="R456" s="26" t="n">
        <x:v>46246</x:v>
      </x:c>
      <x:c r="S456" s="17" t="str">
        <x:v>Curated in the targeted ScholarTube expansion; official institution, conference, lab, course, or creator source.</x:v>
      </x:c>
      <x:c r="T456" s="16" t="str">
        <x:v>kQfagO8mBiU</x:v>
      </x:c>
      <x:c r="U456" s="17" t="str"/>
      <x:c r="V456" s="151"/>
      <x:c r="W456" s="17" t="str"/>
    </x:row>
    <x:row r="457" ht="42" customHeight="1">
      <x:c r="A457" s="22" t="str">
        <x:v>ST-456</x:v>
      </x:c>
      <x:c r="B457" s="22" t="str">
        <x:v>Course</x:v>
      </x:c>
      <x:c r="C457" s="22" t="str">
        <x:v>Agent</x:v>
      </x:c>
      <x:c r="D457" s="17" t="str">
        <x:v>Agents / Tool Use / Reasoning</x:v>
      </x:c>
      <x:c r="E457" s="17" t="str">
        <x:v>Post-Training; RLHF; Preference Optimization; Reasoning; Tool Use; Agents</x:v>
      </x:c>
      <x:c r="F457" s="23" t="str">
        <x:v>English</x:v>
      </x:c>
      <x:c r="G457" s="17" t="str">
        <x:v>How Language Models Use Tools and the Path to Agents | Post-Training Course, Lecture 11</x:v>
      </x:c>
      <x:c r="H457" s="17" t="str">
        <x:v>Nathan Lambert</x:v>
      </x:c>
      <x:c r="I457" s="17" t="str">
        <x:v>Nathan Lambert</x:v>
      </x:c>
      <x:c r="J457" s="23" t="str">
        <x:v>Course Lecture</x:v>
      </x:c>
      <x:c r="K457" s="24" t="n">
        <x:v>38</x:v>
      </x:c>
      <x:c r="L457" s="16" t="str">
        <x:v>https://www.youtube.com/watch?v=GMry2DzC304</x:v>
      </x:c>
      <x:c r="M457" s="22" t="str">
        <x:v>YouTube</x:v>
      </x:c>
      <x:c r="N457" s="25" t="n">
        <x:v>3659</x:v>
      </x:c>
      <x:c r="O457" s="23" t="str">
        <x:v>A | Official / Original Creator / Organizer</x:v>
      </x:c>
      <x:c r="P457" s="23" t="str">
        <x:v>Recommended</x:v>
      </x:c>
      <x:c r="Q457" s="23" t="str">
        <x:v>Verified</x:v>
      </x:c>
      <x:c r="R457" s="26" t="n">
        <x:v>46246</x:v>
      </x:c>
      <x:c r="S457" s="17" t="str">
        <x:v>Curated in the targeted ScholarTube expansion; public metadata accessible and editorially reviewed. Metadata and series placement refined in the 2026-08-15 latest-gap audit.</x:v>
      </x:c>
      <x:c r="T457" s="16" t="str">
        <x:v>GMry2DzC304</x:v>
      </x:c>
      <x:c r="U457" s="17" t="str">
        <x:v>Post-Training Course for The RLHF Book — 2026</x:v>
      </x:c>
      <x:c r="V457" s="151" t="n">
        <x:v>11</x:v>
      </x:c>
      <x:c r="W457" s="17" t="str">
        <x:v>nathan-lambert-post-training-course-2026</x:v>
      </x:c>
    </x:row>
    <x:row r="458" ht="42" customHeight="1">
      <x:c r="A458" s="22" t="str">
        <x:v>ST-457</x:v>
      </x:c>
      <x:c r="B458" s="22" t="str">
        <x:v>Course</x:v>
      </x:c>
      <x:c r="C458" s="22" t="str">
        <x:v>Vision</x:v>
      </x:c>
      <x:c r="D458" s="17" t="str">
        <x:v>Computer Vision / 3D Vision</x:v>
      </x:c>
      <x:c r="E458" s="17" t="str">
        <x:v>Computer Vision / 3D Vision / Representation Learning</x:v>
      </x:c>
      <x:c r="F458" s="23" t="str">
        <x:v>English</x:v>
      </x:c>
      <x:c r="G458" s="17" t="str">
        <x:v>Introduction to Vision Language Models (VLM)</x:v>
      </x:c>
      <x:c r="H458" s="17" t="str">
        <x:v>To be added</x:v>
      </x:c>
      <x:c r="I458" s="17" t="str">
        <x:v>Vizuara</x:v>
      </x:c>
      <x:c r="J458" s="23" t="str">
        <x:v>Course / Tutorial</x:v>
      </x:c>
      <x:c r="K458" s="24" t="n">
        <x:v>37</x:v>
      </x:c>
      <x:c r="L458" s="16" t="str">
        <x:v>https://www.youtube.com/watch?v=2JairFgKPb4</x:v>
      </x:c>
      <x:c r="M458" s="22" t="str">
        <x:v>YouTube</x:v>
      </x:c>
      <x:c r="N458" s="25" t="n">
        <x:v>20940</x:v>
      </x:c>
      <x:c r="O458" s="23" t="str">
        <x:v>B | University / Conference / Institution</x:v>
      </x:c>
      <x:c r="P458" s="23" t="str">
        <x:v>Recommended</x:v>
      </x:c>
      <x:c r="Q458" s="23" t="str">
        <x:v>Verified</x:v>
      </x:c>
      <x:c r="R458" s="26" t="n">
        <x:v>46246</x:v>
      </x:c>
      <x:c r="S458" s="17" t="str">
        <x:v>Curated in the targeted ScholarTube expansion; public metadata accessible and editorially reviewed.</x:v>
      </x:c>
      <x:c r="T458" s="16" t="str">
        <x:v>2JairFgKPb4</x:v>
      </x:c>
      <x:c r="U458" s="17" t="str"/>
      <x:c r="V458" s="151"/>
      <x:c r="W458" s="17" t="str"/>
    </x:row>
    <x:row r="459" ht="42" customHeight="1">
      <x:c r="A459" s="22" t="str">
        <x:v>ST-458</x:v>
      </x:c>
      <x:c r="B459" s="22" t="str">
        <x:v>Course</x:v>
      </x:c>
      <x:c r="C459" s="22" t="str">
        <x:v>Robotics</x:v>
      </x:c>
      <x:c r="D459" s="17" t="str">
        <x:v>Robotics / Embodied AI</x:v>
      </x:c>
      <x:c r="E459" s="17" t="str">
        <x:v>Robot Learning / Embodied AI / Control</x:v>
      </x:c>
      <x:c r="F459" s="23" t="str">
        <x:v>English</x:v>
      </x:c>
      <x:c r="G459" s="17" t="str">
        <x:v>Introduction to Robot Learning (ML and AI) [Part 1] (Dr. Ben Amor, Tech Talk @ CodeDay Labs 2021)</x:v>
      </x:c>
      <x:c r="H459" s="17" t="str">
        <x:v>To be added</x:v>
      </x:c>
      <x:c r="I459" s="17" t="str">
        <x:v>CodeDay</x:v>
      </x:c>
      <x:c r="J459" s="23" t="str">
        <x:v>Course / Tutorial</x:v>
      </x:c>
      <x:c r="K459" s="24" t="n">
        <x:v>72</x:v>
      </x:c>
      <x:c r="L459" s="16" t="str">
        <x:v>https://www.youtube.com/watch?v=O9Zsb1mnOzY</x:v>
      </x:c>
      <x:c r="M459" s="22" t="str">
        <x:v>YouTube</x:v>
      </x:c>
      <x:c r="N459" s="25" t="n">
        <x:v>429</x:v>
      </x:c>
      <x:c r="O459" s="23" t="str">
        <x:v>B | University / Conference / Institution</x:v>
      </x:c>
      <x:c r="P459" s="23" t="str">
        <x:v>Recommended</x:v>
      </x:c>
      <x:c r="Q459" s="23" t="str">
        <x:v>Verified</x:v>
      </x:c>
      <x:c r="R459" s="26" t="n">
        <x:v>46246</x:v>
      </x:c>
      <x:c r="S459" s="17" t="str">
        <x:v>Curated in the targeted ScholarTube expansion; public metadata accessible and editorially reviewed.</x:v>
      </x:c>
      <x:c r="T459" s="16" t="str">
        <x:v>O9Zsb1mnOzY</x:v>
      </x:c>
      <x:c r="U459" s="17" t="str"/>
      <x:c r="V459" s="151"/>
      <x:c r="W459" s="17" t="str"/>
    </x:row>
    <x:row r="460" ht="42" customHeight="1">
      <x:c r="A460" s="22" t="str">
        <x:v>ST-459</x:v>
      </x:c>
      <x:c r="B460" s="22" t="str">
        <x:v>Course</x:v>
      </x:c>
      <x:c r="C460" s="22" t="str">
        <x:v>World Model</x:v>
      </x:c>
      <x:c r="D460" s="17" t="str">
        <x:v>World Models / Predictive Intelligence</x:v>
      </x:c>
      <x:c r="E460" s="17" t="str">
        <x:v>World Models / Spatial Intelligence</x:v>
      </x:c>
      <x:c r="F460" s="23" t="str">
        <x:v>English</x:v>
      </x:c>
      <x:c r="G460" s="17" t="str">
        <x:v>World Models explained in 10min..</x:v>
      </x:c>
      <x:c r="H460" s="17" t="str">
        <x:v>To be added</x:v>
      </x:c>
      <x:c r="I460" s="17" t="str">
        <x:v>Caleb Writes Code</x:v>
      </x:c>
      <x:c r="J460" s="23" t="str">
        <x:v>Course / Tutorial</x:v>
      </x:c>
      <x:c r="K460" s="24" t="n">
        <x:v>10</x:v>
      </x:c>
      <x:c r="L460" s="16" t="str">
        <x:v>https://www.youtube.com/watch?v=ECWC-YlAk1o</x:v>
      </x:c>
      <x:c r="M460" s="22" t="str">
        <x:v>YouTube</x:v>
      </x:c>
      <x:c r="N460" s="25" t="n">
        <x:v>82190</x:v>
      </x:c>
      <x:c r="O460" s="23" t="str">
        <x:v>B | University / Conference / Institution</x:v>
      </x:c>
      <x:c r="P460" s="23" t="str">
        <x:v>Recommended</x:v>
      </x:c>
      <x:c r="Q460" s="23" t="str">
        <x:v>Verified</x:v>
      </x:c>
      <x:c r="R460" s="26" t="n">
        <x:v>46246</x:v>
      </x:c>
      <x:c r="S460" s="17" t="str">
        <x:v>Curated in the targeted ScholarTube expansion; public metadata accessible and editorially reviewed.</x:v>
      </x:c>
      <x:c r="T460" s="16" t="str">
        <x:v>ECWC-YlAk1o</x:v>
      </x:c>
      <x:c r="U460" s="17" t="str"/>
      <x:c r="V460" s="151"/>
      <x:c r="W460" s="17" t="str"/>
    </x:row>
    <x:row r="461" ht="42" customHeight="1">
      <x:c r="A461" s="22" t="str">
        <x:v>ST-460</x:v>
      </x:c>
      <x:c r="B461" s="22" t="str">
        <x:v>Course</x:v>
      </x:c>
      <x:c r="C461" s="22" t="str">
        <x:v>Robotics</x:v>
      </x:c>
      <x:c r="D461" s="17" t="str">
        <x:v>Robotics / Embodied AI</x:v>
      </x:c>
      <x:c r="E461" s="17" t="str">
        <x:v>Robot Learning / Embodied AI / Control</x:v>
      </x:c>
      <x:c r="F461" s="23" t="str">
        <x:v>English</x:v>
      </x:c>
      <x:c r="G461" s="17" t="str">
        <x:v>Speaker Panel | CVPR 2021 Embodied AI Workshop</x:v>
      </x:c>
      <x:c r="H461" s="17" t="str">
        <x:v>To be added</x:v>
      </x:c>
      <x:c r="I461" s="17" t="str">
        <x:v>Embodied AI</x:v>
      </x:c>
      <x:c r="J461" s="23" t="str">
        <x:v>Course / Tutorial</x:v>
      </x:c>
      <x:c r="K461" s="24" t="n">
        <x:v>61</x:v>
      </x:c>
      <x:c r="L461" s="16" t="str">
        <x:v>https://www.youtube.com/watch?v=-UcfQnTk8dU</x:v>
      </x:c>
      <x:c r="M461" s="22" t="str">
        <x:v>YouTube</x:v>
      </x:c>
      <x:c r="N461" s="25" t="n">
        <x:v>735</x:v>
      </x:c>
      <x:c r="O461" s="23" t="str">
        <x:v>B | University / Conference / Institution</x:v>
      </x:c>
      <x:c r="P461" s="23" t="str">
        <x:v>Recommended</x:v>
      </x:c>
      <x:c r="Q461" s="23" t="str">
        <x:v>Verified</x:v>
      </x:c>
      <x:c r="R461" s="26" t="n">
        <x:v>46246</x:v>
      </x:c>
      <x:c r="S461" s="17" t="str">
        <x:v>Curated in the targeted ScholarTube expansion; public metadata accessible and editorially reviewed.</x:v>
      </x:c>
      <x:c r="T461" s="16" t="str">
        <x:v>-UcfQnTk8dU</x:v>
      </x:c>
      <x:c r="U461" s="17" t="str"/>
      <x:c r="V461" s="151"/>
      <x:c r="W461" s="17" t="str"/>
    </x:row>
    <x:row r="462" ht="42" customHeight="1">
      <x:c r="A462" s="22" t="str">
        <x:v>ST-461</x:v>
      </x:c>
      <x:c r="B462" s="22" t="str">
        <x:v>Course</x:v>
      </x:c>
      <x:c r="C462" s="22" t="str">
        <x:v>Vision</x:v>
      </x:c>
      <x:c r="D462" s="17" t="str">
        <x:v>Computer Vision / 3D Vision</x:v>
      </x:c>
      <x:c r="E462" s="17" t="str">
        <x:v>Computer Vision / 3D Vision / Representation Learning</x:v>
      </x:c>
      <x:c r="F462" s="23" t="str">
        <x:v>English</x:v>
      </x:c>
      <x:c r="G462" s="17" t="str">
        <x:v>【2021-CVPR】 | OpenMMLab Tutorial Speaker：Jifeng Dai（SenseTime Research）</x:v>
      </x:c>
      <x:c r="H462" s="17" t="str">
        <x:v>To be added</x:v>
      </x:c>
      <x:c r="I462" s="17" t="str">
        <x:v>OpenMMLab</x:v>
      </x:c>
      <x:c r="J462" s="23" t="str">
        <x:v>Course / Tutorial</x:v>
      </x:c>
      <x:c r="K462" s="24" t="n">
        <x:v>35</x:v>
      </x:c>
      <x:c r="L462" s="16" t="str">
        <x:v>https://www.youtube.com/watch?v=LSJh2vryMUI</x:v>
      </x:c>
      <x:c r="M462" s="22" t="str">
        <x:v>YouTube</x:v>
      </x:c>
      <x:c r="N462" s="25" t="n">
        <x:v>496</x:v>
      </x:c>
      <x:c r="O462" s="23" t="str">
        <x:v>A | Official / Original Creator / Organizer</x:v>
      </x:c>
      <x:c r="P462" s="23" t="str">
        <x:v>Core</x:v>
      </x:c>
      <x:c r="Q462" s="23" t="str">
        <x:v>Verified</x:v>
      </x:c>
      <x:c r="R462" s="26" t="n">
        <x:v>46246</x:v>
      </x:c>
      <x:c r="S462" s="17" t="str">
        <x:v>Curated in the targeted ScholarTube expansion; official institution, conference, lab, course, or creator source.</x:v>
      </x:c>
      <x:c r="T462" s="16" t="str">
        <x:v>LSJh2vryMUI</x:v>
      </x:c>
      <x:c r="U462" s="17" t="str">
        <x:v>OpenMMLab Tutorial at CVPR 2021</x:v>
      </x:c>
      <x:c r="V462" s="151" t="n">
        <x:v>20210705</x:v>
      </x:c>
      <x:c r="W462" s="17" t="str">
        <x:v>openmmlab-cvpr-2021-tutorial</x:v>
      </x:c>
    </x:row>
    <x:row r="463" ht="42" customHeight="1">
      <x:c r="A463" s="22" t="str">
        <x:v>ST-462</x:v>
      </x:c>
      <x:c r="B463" s="22" t="str">
        <x:v>Course</x:v>
      </x:c>
      <x:c r="C463" s="22" t="str">
        <x:v>Vision</x:v>
      </x:c>
      <x:c r="D463" s="17" t="str">
        <x:v>Computer Vision / 3D Vision</x:v>
      </x:c>
      <x:c r="E463" s="17" t="str">
        <x:v>Computer Vision / 3D Vision / Representation Learning</x:v>
      </x:c>
      <x:c r="F463" s="23" t="str">
        <x:v>English</x:v>
      </x:c>
      <x:c r="G463" s="17" t="str">
        <x:v>Lecture 3: Single and Multi-View Geometry</x:v>
      </x:c>
      <x:c r="H463" s="17" t="str">
        <x:v>To be added</x:v>
      </x:c>
      <x:c r="I463" s="17" t="str">
        <x:v>Nirma CV-ML-Robotics</x:v>
      </x:c>
      <x:c r="J463" s="23" t="str">
        <x:v>Course / Tutorial</x:v>
      </x:c>
      <x:c r="K463" s="24" t="n">
        <x:v>74</x:v>
      </x:c>
      <x:c r="L463" s="16" t="str">
        <x:v>https://www.youtube.com/watch?v=QIuxi8IgrR0</x:v>
      </x:c>
      <x:c r="M463" s="22" t="str">
        <x:v>YouTube</x:v>
      </x:c>
      <x:c r="N463" s="25" t="n">
        <x:v>321</x:v>
      </x:c>
      <x:c r="O463" s="23" t="str">
        <x:v>A | Official / Original Creator / Organizer</x:v>
      </x:c>
      <x:c r="P463" s="23" t="str">
        <x:v>Core</x:v>
      </x:c>
      <x:c r="Q463" s="23" t="str">
        <x:v>Verified</x:v>
      </x:c>
      <x:c r="R463" s="26" t="n">
        <x:v>46246</x:v>
      </x:c>
      <x:c r="S463" s="17" t="str">
        <x:v>Curated in the targeted ScholarTube expansion; official institution, conference, lab, course, or creator source.</x:v>
      </x:c>
      <x:c r="T463" s="16" t="str">
        <x:v>QIuxi8IgrR0</x:v>
      </x:c>
      <x:c r="U463" s="17" t="str"/>
      <x:c r="V463" s="151"/>
      <x:c r="W463" s="17" t="str"/>
    </x:row>
    <x:row r="464" ht="42" customHeight="1">
      <x:c r="A464" s="22" t="str">
        <x:v>ST-463</x:v>
      </x:c>
      <x:c r="B464" s="22" t="str">
        <x:v>Course</x:v>
      </x:c>
      <x:c r="C464" s="22" t="str">
        <x:v>Vision</x:v>
      </x:c>
      <x:c r="D464" s="17" t="str">
        <x:v>Computer Vision / 3D Vision</x:v>
      </x:c>
      <x:c r="E464" s="17" t="str">
        <x:v>Computer Vision / 3D Vision / Representation Learning</x:v>
      </x:c>
      <x:c r="F464" s="23" t="str">
        <x:v>English</x:v>
      </x:c>
      <x:c r="G464" s="17" t="str">
        <x:v>OpenMMLab: A Foundational Platform for Computer Vision Research and Production | CVPR'22 Tutorial</x:v>
      </x:c>
      <x:c r="H464" s="17" t="str">
        <x:v>To be added</x:v>
      </x:c>
      <x:c r="I464" s="17" t="str">
        <x:v>Artificial Intelligence </x:v>
      </x:c>
      <x:c r="J464" s="23" t="str">
        <x:v>Course / Tutorial</x:v>
      </x:c>
      <x:c r="K464" s="24" t="n">
        <x:v>164</x:v>
      </x:c>
      <x:c r="L464" s="16" t="str">
        <x:v>https://www.youtube.com/watch?v=dc_BOBtLwHY</x:v>
      </x:c>
      <x:c r="M464" s="22" t="str">
        <x:v>YouTube</x:v>
      </x:c>
      <x:c r="N464" s="25" t="n">
        <x:v>2121</x:v>
      </x:c>
      <x:c r="O464" s="23" t="str">
        <x:v>B | University / Conference / Institution</x:v>
      </x:c>
      <x:c r="P464" s="23" t="str">
        <x:v>Recommended</x:v>
      </x:c>
      <x:c r="Q464" s="23" t="str">
        <x:v>Verified</x:v>
      </x:c>
      <x:c r="R464" s="26" t="n">
        <x:v>46246</x:v>
      </x:c>
      <x:c r="S464" s="17" t="str">
        <x:v>Curated in the targeted ScholarTube expansion; public metadata accessible and editorially reviewed.</x:v>
      </x:c>
      <x:c r="T464" s="16" t="str">
        <x:v>dc_BOBtLwHY</x:v>
      </x:c>
      <x:c r="U464" s="17" t="str"/>
      <x:c r="V464" s="151"/>
      <x:c r="W464" s="17" t="str"/>
    </x:row>
    <x:row r="465" ht="42" customHeight="1">
      <x:c r="A465" s="22" t="str">
        <x:v>ST-464</x:v>
      </x:c>
      <x:c r="B465" s="22" t="str">
        <x:v>Course</x:v>
      </x:c>
      <x:c r="C465" s="22" t="str">
        <x:v>World Model</x:v>
      </x:c>
      <x:c r="D465" s="17" t="str">
        <x:v>World Models / Predictive Intelligence</x:v>
      </x:c>
      <x:c r="E465" s="17" t="str">
        <x:v>World Models / Spatial Intelligence</x:v>
      </x:c>
      <x:c r="F465" s="23" t="str">
        <x:v>English</x:v>
      </x:c>
      <x:c r="G465" s="17" t="str">
        <x:v>MIT MAS.s60 - Fall 2025 | Spatial Intelligence | Guest Lecture by Neil Leach</x:v>
      </x:c>
      <x:c r="H465" s="17" t="str">
        <x:v>To be added</x:v>
      </x:c>
      <x:c r="I465" s="17" t="str">
        <x:v>Critical Matter Group</x:v>
      </x:c>
      <x:c r="J465" s="23" t="str">
        <x:v>Course / Tutorial</x:v>
      </x:c>
      <x:c r="K465" s="24" t="n">
        <x:v>90</x:v>
      </x:c>
      <x:c r="L465" s="16" t="str">
        <x:v>https://www.youtube.com/watch?v=bw38RuqG_38</x:v>
      </x:c>
      <x:c r="M465" s="22" t="str">
        <x:v>YouTube</x:v>
      </x:c>
      <x:c r="N465" s="25" t="n">
        <x:v>298</x:v>
      </x:c>
      <x:c r="O465" s="23" t="str">
        <x:v>B | University / Conference / Institution</x:v>
      </x:c>
      <x:c r="P465" s="23" t="str">
        <x:v>Recommended</x:v>
      </x:c>
      <x:c r="Q465" s="23" t="str">
        <x:v>Verified</x:v>
      </x:c>
      <x:c r="R465" s="26" t="n">
        <x:v>46246</x:v>
      </x:c>
      <x:c r="S465" s="17" t="str">
        <x:v>Curated in the targeted ScholarTube expansion; public metadata accessible and editorially reviewed.</x:v>
      </x:c>
      <x:c r="T465" s="16" t="str">
        <x:v>bw38RuqG_38</x:v>
      </x:c>
      <x:c r="U465" s="17" t="str"/>
      <x:c r="V465" s="151"/>
      <x:c r="W465" s="17" t="str"/>
    </x:row>
    <x:row r="466" ht="42" customHeight="1">
      <x:c r="A466" s="22" t="str">
        <x:v>ST-465</x:v>
      </x:c>
      <x:c r="B466" s="22" t="str">
        <x:v>Course</x:v>
      </x:c>
      <x:c r="C466" s="22" t="str">
        <x:v>World Model</x:v>
      </x:c>
      <x:c r="D466" s="17" t="str">
        <x:v>World Models / Predictive Intelligence</x:v>
      </x:c>
      <x:c r="E466" s="17" t="str">
        <x:v>World Models / Spatial Intelligence</x:v>
      </x:c>
      <x:c r="F466" s="23" t="str">
        <x:v>English</x:v>
      </x:c>
      <x:c r="G466" s="17" t="str">
        <x:v>Lecture 11.3: World Models</x:v>
      </x:c>
      <x:c r="H466" s="17" t="str">
        <x:v>To be added</x:v>
      </x:c>
      <x:c r="I466" s="17" t="str">
        <x:v>DLVU</x:v>
      </x:c>
      <x:c r="J466" s="23" t="str">
        <x:v>Course / Tutorial</x:v>
      </x:c>
      <x:c r="K466" s="24" t="n">
        <x:v>24</x:v>
      </x:c>
      <x:c r="L466" s="16" t="str">
        <x:v>https://www.youtube.com/watch?v=zNCq1r4qI4Q</x:v>
      </x:c>
      <x:c r="M466" s="22" t="str">
        <x:v>YouTube</x:v>
      </x:c>
      <x:c r="N466" s="25" t="n">
        <x:v>2198</x:v>
      </x:c>
      <x:c r="O466" s="23" t="str">
        <x:v>B | University / Conference / Institution</x:v>
      </x:c>
      <x:c r="P466" s="23" t="str">
        <x:v>Recommended</x:v>
      </x:c>
      <x:c r="Q466" s="23" t="str">
        <x:v>Verified</x:v>
      </x:c>
      <x:c r="R466" s="26" t="n">
        <x:v>46246</x:v>
      </x:c>
      <x:c r="S466" s="17" t="str">
        <x:v>Curated in the targeted ScholarTube expansion; public metadata accessible and editorially reviewed.</x:v>
      </x:c>
      <x:c r="T466" s="16" t="str">
        <x:v>zNCq1r4qI4Q</x:v>
      </x:c>
      <x:c r="U466" s="17" t="str"/>
      <x:c r="V466" s="151"/>
      <x:c r="W466" s="17" t="str"/>
    </x:row>
    <x:row r="467" ht="42" customHeight="1">
      <x:c r="A467" s="22" t="str">
        <x:v>ST-466</x:v>
      </x:c>
      <x:c r="B467" s="22" t="str">
        <x:v>Course</x:v>
      </x:c>
      <x:c r="C467" s="22" t="str">
        <x:v>Robotics</x:v>
      </x:c>
      <x:c r="D467" s="17" t="str">
        <x:v>Robotics / Embodied AI</x:v>
      </x:c>
      <x:c r="E467" s="17" t="str">
        <x:v>Robot Learning / Embodied AI / Control</x:v>
      </x:c>
      <x:c r="F467" s="23" t="str">
        <x:v>English</x:v>
      </x:c>
      <x:c r="G467" s="17" t="str">
        <x:v>Import ANY Robot (URDF): From CAD to Isaac Sim | NVIDIA Omniverse Tutorial</x:v>
      </x:c>
      <x:c r="H467" s="17" t="str">
        <x:v>To be added</x:v>
      </x:c>
      <x:c r="I467" s="17" t="str">
        <x:v>LycheeAI and krubots</x:v>
      </x:c>
      <x:c r="J467" s="23" t="str">
        <x:v>Course / Tutorial</x:v>
      </x:c>
      <x:c r="K467" s="24" t="n">
        <x:v>14</x:v>
      </x:c>
      <x:c r="L467" s="16" t="str">
        <x:v>https://www.youtube.com/watch?v=KCHmYvYF_6c</x:v>
      </x:c>
      <x:c r="M467" s="22" t="str">
        <x:v>YouTube</x:v>
      </x:c>
      <x:c r="N467" s="25" t="n">
        <x:v>10435</x:v>
      </x:c>
      <x:c r="O467" s="23" t="str">
        <x:v>B | University / Conference / Institution</x:v>
      </x:c>
      <x:c r="P467" s="23" t="str">
        <x:v>Recommended</x:v>
      </x:c>
      <x:c r="Q467" s="23" t="str">
        <x:v>Verified</x:v>
      </x:c>
      <x:c r="R467" s="26" t="n">
        <x:v>46246</x:v>
      </x:c>
      <x:c r="S467" s="17" t="str">
        <x:v>Curated in the targeted ScholarTube expansion; public metadata accessible and editorially reviewed.</x:v>
      </x:c>
      <x:c r="T467" s="16" t="str">
        <x:v>KCHmYvYF_6c</x:v>
      </x:c>
      <x:c r="U467" s="17" t="str"/>
      <x:c r="V467" s="151"/>
      <x:c r="W467" s="17" t="str"/>
    </x:row>
    <x:row r="468" ht="42" customHeight="1">
      <x:c r="A468" s="22" t="str">
        <x:v>ST-467</x:v>
      </x:c>
      <x:c r="B468" s="22" t="str">
        <x:v>Course</x:v>
      </x:c>
      <x:c r="C468" s="22" t="str">
        <x:v>Robotics</x:v>
      </x:c>
      <x:c r="D468" s="17" t="str">
        <x:v>Robotics / Embodied AI</x:v>
      </x:c>
      <x:c r="E468" s="17" t="str">
        <x:v>Robot Learning / Embodied AI / Control</x:v>
      </x:c>
      <x:c r="F468" s="23" t="str">
        <x:v>English</x:v>
      </x:c>
      <x:c r="G468" s="17" t="str">
        <x:v>[Tutorial w/ Code] How I Use IsaacSim with Docker, ROS2, &amp; Octomap for Robotics PhD Research</x:v>
      </x:c>
      <x:c r="H468" s="17" t="str">
        <x:v>To be added</x:v>
      </x:c>
      <x:c r="I468" s="17" t="str">
        <x:v>Code Mechanics: My PhD Life in AI &amp; Robotics</x:v>
      </x:c>
      <x:c r="J468" s="23" t="str">
        <x:v>Course / Tutorial</x:v>
      </x:c>
      <x:c r="K468" s="24" t="n">
        <x:v>19</x:v>
      </x:c>
      <x:c r="L468" s="16" t="str">
        <x:v>https://www.youtube.com/watch?v=9EkkdjW4N54</x:v>
      </x:c>
      <x:c r="M468" s="22" t="str">
        <x:v>YouTube</x:v>
      </x:c>
      <x:c r="N468" s="25" t="n">
        <x:v>6367</x:v>
      </x:c>
      <x:c r="O468" s="23" t="str">
        <x:v>A | Official / Original Creator / Organizer</x:v>
      </x:c>
      <x:c r="P468" s="23" t="str">
        <x:v>Core</x:v>
      </x:c>
      <x:c r="Q468" s="23" t="str">
        <x:v>Verified</x:v>
      </x:c>
      <x:c r="R468" s="26" t="n">
        <x:v>46246</x:v>
      </x:c>
      <x:c r="S468" s="17" t="str">
        <x:v>Curated in the targeted ScholarTube expansion; official institution, conference, lab, course, or creator source.</x:v>
      </x:c>
      <x:c r="T468" s="16" t="str">
        <x:v>9EkkdjW4N54</x:v>
      </x:c>
      <x:c r="U468" s="17" t="str"/>
      <x:c r="V468" s="151"/>
      <x:c r="W468" s="17" t="str"/>
    </x:row>
    <x:row r="469" ht="42" customHeight="1">
      <x:c r="A469" s="22" t="str">
        <x:v>ST-468</x:v>
      </x:c>
      <x:c r="B469" s="22" t="str">
        <x:v>Course</x:v>
      </x:c>
      <x:c r="C469" s="22" t="str">
        <x:v>Robotics</x:v>
      </x:c>
      <x:c r="D469" s="17" t="str">
        <x:v>Robotics / Embodied AI</x:v>
      </x:c>
      <x:c r="E469" s="17" t="str">
        <x:v>Robot Learning / Embodied AI / Control</x:v>
      </x:c>
      <x:c r="F469" s="23" t="str">
        <x:v>English</x:v>
      </x:c>
      <x:c r="G469" s="17" t="str">
        <x:v>NVIDIA Cosmos World Foundation Model Explained: Physical AI Robotics Development</x:v>
      </x:c>
      <x:c r="H469" s="17" t="str">
        <x:v>To be added</x:v>
      </x:c>
      <x:c r="I469" s="17" t="str">
        <x:v>Kevin Wood | Robotics &amp; AI</x:v>
      </x:c>
      <x:c r="J469" s="23" t="str">
        <x:v>Course / Tutorial</x:v>
      </x:c>
      <x:c r="K469" s="24" t="n">
        <x:v>10</x:v>
      </x:c>
      <x:c r="L469" s="16" t="str">
        <x:v>https://www.youtube.com/watch?v=ykjQdbtDJoM</x:v>
      </x:c>
      <x:c r="M469" s="22" t="str">
        <x:v>YouTube</x:v>
      </x:c>
      <x:c r="N469" s="25" t="n">
        <x:v>3877</x:v>
      </x:c>
      <x:c r="O469" s="23" t="str">
        <x:v>A | Official / Original Creator / Organizer</x:v>
      </x:c>
      <x:c r="P469" s="23" t="str">
        <x:v>Core</x:v>
      </x:c>
      <x:c r="Q469" s="23" t="str">
        <x:v>Verified</x:v>
      </x:c>
      <x:c r="R469" s="26" t="n">
        <x:v>46246</x:v>
      </x:c>
      <x:c r="S469" s="17" t="str">
        <x:v>Curated in the targeted ScholarTube expansion; official institution, conference, lab, course, or creator source.</x:v>
      </x:c>
      <x:c r="T469" s="16" t="str">
        <x:v>ykjQdbtDJoM</x:v>
      </x:c>
      <x:c r="U469" s="17" t="str"/>
      <x:c r="V469" s="151"/>
      <x:c r="W469" s="17" t="str"/>
    </x:row>
    <x:row r="470" ht="42" customHeight="1">
      <x:c r="A470" s="22" t="str">
        <x:v>ST-469</x:v>
      </x:c>
      <x:c r="B470" s="22" t="str">
        <x:v>Interview</x:v>
      </x:c>
      <x:c r="C470" s="22" t="str">
        <x:v>Vision</x:v>
      </x:c>
      <x:c r="D470" s="17" t="str">
        <x:v>Computer Vision / 3D Vision</x:v>
      </x:c>
      <x:c r="E470" s="17" t="str">
        <x:v>Computer Vision / 3D Vision / Representation Learning</x:v>
      </x:c>
      <x:c r="F470" s="23" t="str">
        <x:v>English</x:v>
      </x:c>
      <x:c r="G470" s="17" t="str">
        <x:v>Ep#8: VGGT: Visual Geometry Grounded Transformer</x:v>
      </x:c>
      <x:c r="H470" s="17" t="str">
        <x:v>Jianyuan Wang</x:v>
      </x:c>
      <x:c r="I470" s="17" t="str">
        <x:v>Chris Paxton</x:v>
      </x:c>
      <x:c r="J470" s="23" t="str">
        <x:v>Research Interview</x:v>
      </x:c>
      <x:c r="K470" s="24" t="n">
        <x:v>59</x:v>
      </x:c>
      <x:c r="L470" s="16" t="str">
        <x:v>https://www.youtube.com/watch?v=Cwue59SAF5Q</x:v>
      </x:c>
      <x:c r="M470" s="22" t="str">
        <x:v>YouTube</x:v>
      </x:c>
      <x:c r="N470" s="25" t="n">
        <x:v>1513</x:v>
      </x:c>
      <x:c r="O470" s="23" t="str">
        <x:v>B | University / Conference / Institution</x:v>
      </x:c>
      <x:c r="P470" s="23" t="str">
        <x:v>Recommended</x:v>
      </x:c>
      <x:c r="Q470" s="23" t="str">
        <x:v>Verified</x:v>
      </x:c>
      <x:c r="R470" s="26" t="n">
        <x:v>46246</x:v>
      </x:c>
      <x:c r="S470" s="17" t="str">
        <x:v>Curated in the targeted ScholarTube expansion; public metadata accessible and editorially reviewed.</x:v>
      </x:c>
      <x:c r="T470" s="16" t="str">
        <x:v>Cwue59SAF5Q</x:v>
      </x:c>
      <x:c r="U470" s="17" t="str"/>
      <x:c r="V470" s="151"/>
      <x:c r="W470" s="17" t="str"/>
    </x:row>
    <x:row r="471" ht="42" customHeight="1">
      <x:c r="A471" s="22" t="str">
        <x:v>ST-470</x:v>
      </x:c>
      <x:c r="B471" s="22" t="str">
        <x:v>Talk</x:v>
      </x:c>
      <x:c r="C471" s="22" t="str">
        <x:v>Vision</x:v>
      </x:c>
      <x:c r="D471" s="17" t="str">
        <x:v>Computer Vision / 3D Vision</x:v>
      </x:c>
      <x:c r="E471" s="17" t="str">
        <x:v>Computer Vision / 3D Vision / Representation Learning</x:v>
      </x:c>
      <x:c r="F471" s="23" t="str">
        <x:v>English</x:v>
      </x:c>
      <x:c r="G471" s="17" t="str">
        <x:v>VGGT: Visual Geometry Grounded Transformer</x:v>
      </x:c>
      <x:c r="H471" s="17" t="str">
        <x:v>Jianyuan Wang</x:v>
      </x:c>
      <x:c r="I471" s="17" t="str">
        <x:v>Jianyuan Wang</x:v>
      </x:c>
      <x:c r="J471" s="23" t="str">
        <x:v>Academic Talk / Research Seminar</x:v>
      </x:c>
      <x:c r="K471" s="24" t="n">
        <x:v>12</x:v>
      </x:c>
      <x:c r="L471" s="16" t="str">
        <x:v>https://www.youtube.com/watch?v=7ZYwJEpCUUA</x:v>
      </x:c>
      <x:c r="M471" s="22" t="str">
        <x:v>YouTube</x:v>
      </x:c>
      <x:c r="N471" s="25" t="n">
        <x:v>5600</x:v>
      </x:c>
      <x:c r="O471" s="23" t="str">
        <x:v>A | Official / Original Creator / Organizer</x:v>
      </x:c>
      <x:c r="P471" s="23" t="str">
        <x:v>Core</x:v>
      </x:c>
      <x:c r="Q471" s="23" t="str">
        <x:v>Verified</x:v>
      </x:c>
      <x:c r="R471" s="26" t="n">
        <x:v>46246</x:v>
      </x:c>
      <x:c r="S471" s="17" t="str">
        <x:v>Curated in the targeted ScholarTube expansion; official institution, conference, lab, course, or creator source.</x:v>
      </x:c>
      <x:c r="T471" s="16" t="str">
        <x:v>7ZYwJEpCUUA</x:v>
      </x:c>
      <x:c r="U471" s="17" t="str"/>
      <x:c r="V471" s="151"/>
      <x:c r="W471" s="17" t="str"/>
    </x:row>
    <x:row r="472" ht="42" customHeight="1">
      <x:c r="A472" s="22" t="str">
        <x:v>ST-471</x:v>
      </x:c>
      <x:c r="B472" s="22" t="str">
        <x:v>Course</x:v>
      </x:c>
      <x:c r="C472" s="22" t="str">
        <x:v>Agent</x:v>
      </x:c>
      <x:c r="D472" s="17" t="str">
        <x:v>Agents / Tool Use / Reasoning</x:v>
      </x:c>
      <x:c r="E472" s="17" t="str">
        <x:v>Agents / Reasoning / Tool Use</x:v>
      </x:c>
      <x:c r="F472" s="23" t="str">
        <x:v>English</x:v>
      </x:c>
      <x:c r="G472" s="17" t="str">
        <x:v>LLM Agents MOOC | UC Berkeley Fa24 | Neural &amp; Symbolic Decision Making Framework by Yuandong Tian</x:v>
      </x:c>
      <x:c r="H472" s="17" t="str">
        <x:v>Yuandong Tian</x:v>
      </x:c>
      <x:c r="I472" s="17" t="str">
        <x:v>Berkeley RDI</x:v>
      </x:c>
      <x:c r="J472" s="23" t="str">
        <x:v>Course / Tutorial</x:v>
      </x:c>
      <x:c r="K472" s="24" t="n">
        <x:v>70</x:v>
      </x:c>
      <x:c r="L472" s="16" t="str">
        <x:v>https://www.youtube.com/watch?v=wm9-7VBpdEo</x:v>
      </x:c>
      <x:c r="M472" s="22" t="str">
        <x:v>YouTube</x:v>
      </x:c>
      <x:c r="N472" s="25" t="n">
        <x:v>11514</x:v>
      </x:c>
      <x:c r="O472" s="23" t="str">
        <x:v>A | Official / Original Creator / Organizer</x:v>
      </x:c>
      <x:c r="P472" s="23" t="str">
        <x:v>Core</x:v>
      </x:c>
      <x:c r="Q472" s="23" t="str">
        <x:v>Verified</x:v>
      </x:c>
      <x:c r="R472" s="26" t="n">
        <x:v>46246</x:v>
      </x:c>
      <x:c r="S472" s="17" t="str">
        <x:v>Curated in the targeted ScholarTube expansion; official institution, conference, lab, course, or creator source.</x:v>
      </x:c>
      <x:c r="T472" s="16" t="str">
        <x:v>wm9-7VBpdEo</x:v>
      </x:c>
      <x:c r="U472" s="17" t="str">
        <x:v>UC Berkeley LLM Agents MOOC — Fall 2024</x:v>
      </x:c>
      <x:c r="V472" s="151" t="n">
        <x:v>20241029</x:v>
      </x:c>
      <x:c r="W472" s="17" t="str">
        <x:v>berkeley-llm-agents-mooc-fall-2024</x:v>
      </x:c>
    </x:row>
    <x:row r="473" ht="42" customHeight="1">
      <x:c r="A473" s="22" t="str">
        <x:v>ST-472</x:v>
      </x:c>
      <x:c r="B473" s="22" t="str">
        <x:v>Talk</x:v>
      </x:c>
      <x:c r="C473" s="22" t="str">
        <x:v>Agent</x:v>
      </x:c>
      <x:c r="D473" s="17" t="str">
        <x:v>Agents / Tool Use / Reasoning</x:v>
      </x:c>
      <x:c r="E473" s="17" t="str">
        <x:v>Agents / Reasoning / Tool Use</x:v>
      </x:c>
      <x:c r="F473" s="23" t="str">
        <x:v>English</x:v>
      </x:c>
      <x:c r="G473" s="17" t="str">
        <x:v>Yuandong Tian: Inside-out interpretability: training dynamics in multi-layer transformer</x:v>
      </x:c>
      <x:c r="H473" s="17" t="str">
        <x:v>Yuandong Tian</x:v>
      </x:c>
      <x:c r="I473" s="17" t="str">
        <x:v>Berkeley RDI</x:v>
      </x:c>
      <x:c r="J473" s="23" t="str">
        <x:v>Academic Talk / Research Seminar</x:v>
      </x:c>
      <x:c r="K473" s="24" t="n">
        <x:v>67</x:v>
      </x:c>
      <x:c r="L473" s="16" t="str">
        <x:v>https://www.youtube.com/watch?v=zceRqUGyLh4</x:v>
      </x:c>
      <x:c r="M473" s="22" t="str">
        <x:v>YouTube</x:v>
      </x:c>
      <x:c r="N473" s="25" t="n">
        <x:v>514</x:v>
      </x:c>
      <x:c r="O473" s="23" t="str">
        <x:v>A | Official / Original Creator / Organizer</x:v>
      </x:c>
      <x:c r="P473" s="23" t="str">
        <x:v>Core</x:v>
      </x:c>
      <x:c r="Q473" s="23" t="str">
        <x:v>Verified</x:v>
      </x:c>
      <x:c r="R473" s="26" t="n">
        <x:v>46246</x:v>
      </x:c>
      <x:c r="S473" s="17" t="str">
        <x:v>Curated in the targeted ScholarTube expansion; official institution, conference, lab, course, or creator source.</x:v>
      </x:c>
      <x:c r="T473" s="16" t="str">
        <x:v>zceRqUGyLh4</x:v>
      </x:c>
      <x:c r="U473" s="17" t="str"/>
      <x:c r="V473" s="151"/>
      <x:c r="W473" s="17" t="str"/>
    </x:row>
    <x:row r="474" ht="42" customHeight="1">
      <x:c r="A474" s="22" t="str">
        <x:v>ST-473</x:v>
      </x:c>
      <x:c r="B474" s="22" t="str">
        <x:v>Talk</x:v>
      </x:c>
      <x:c r="C474" s="22" t="str">
        <x:v>World Model</x:v>
      </x:c>
      <x:c r="D474" s="17" t="str">
        <x:v>World Models / Predictive Intelligence</x:v>
      </x:c>
      <x:c r="E474" s="17" t="str">
        <x:v>World Models / Spatial Intelligence</x:v>
      </x:c>
      <x:c r="F474" s="23" t="str">
        <x:v>English</x:v>
      </x:c>
      <x:c r="G474" s="17" t="str">
        <x:v>Yuandong Tian - Finding Good Representation for Search and Exploration in RL @ UCL DARK</x:v>
      </x:c>
      <x:c r="H474" s="17" t="str">
        <x:v>Yuandong Tian</x:v>
      </x:c>
      <x:c r="I474" s="17" t="str">
        <x:v>UCL DARK</x:v>
      </x:c>
      <x:c r="J474" s="23" t="str">
        <x:v>Academic Talk / Research Seminar</x:v>
      </x:c>
      <x:c r="K474" s="24" t="n">
        <x:v>48</x:v>
      </x:c>
      <x:c r="L474" s="16" t="str">
        <x:v>https://www.youtube.com/watch?v=sH4a2a0ntUA</x:v>
      </x:c>
      <x:c r="M474" s="22" t="str">
        <x:v>YouTube</x:v>
      </x:c>
      <x:c r="N474" s="25" t="n">
        <x:v>997</x:v>
      </x:c>
      <x:c r="O474" s="23" t="str">
        <x:v>A | Official / Original Creator / Organizer</x:v>
      </x:c>
      <x:c r="P474" s="23" t="str">
        <x:v>Core</x:v>
      </x:c>
      <x:c r="Q474" s="23" t="str">
        <x:v>Verified</x:v>
      </x:c>
      <x:c r="R474" s="26" t="n">
        <x:v>46246</x:v>
      </x:c>
      <x:c r="S474" s="17" t="str">
        <x:v>Curated in the targeted ScholarTube expansion; official institution, conference, lab, course, or creator source.</x:v>
      </x:c>
      <x:c r="T474" s="16" t="str">
        <x:v>sH4a2a0ntUA</x:v>
      </x:c>
      <x:c r="U474" s="17" t="str"/>
      <x:c r="V474" s="151"/>
      <x:c r="W474" s="17" t="str"/>
    </x:row>
    <x:row r="475" ht="42" customHeight="1">
      <x:c r="A475" s="22" t="str">
        <x:v>ST-474</x:v>
      </x:c>
      <x:c r="B475" s="22" t="str">
        <x:v>Talk</x:v>
      </x:c>
      <x:c r="C475" s="22" t="str">
        <x:v>Agent</x:v>
      </x:c>
      <x:c r="D475" s="17" t="str">
        <x:v>Agents / Tool Use / Reasoning</x:v>
      </x:c>
      <x:c r="E475" s="17" t="str">
        <x:v>Agents / Reasoning / Tool Use</x:v>
      </x:c>
      <x:c r="F475" s="23" t="str">
        <x:v>English</x:v>
      </x:c>
      <x:c r="G475" s="17" t="str">
        <x:v>[Tensor Learning Team Seminar] Talk by Dr. Yuandong Tian, Meta AI Research (FAIR)</x:v>
      </x:c>
      <x:c r="H475" s="17" t="str">
        <x:v>Yuandong Tian</x:v>
      </x:c>
      <x:c r="I475" s="17" t="str">
        <x:v>RIKEN AIP</x:v>
      </x:c>
      <x:c r="J475" s="23" t="str">
        <x:v>Academic Talk / Research Seminar</x:v>
      </x:c>
      <x:c r="K475" s="24" t="n">
        <x:v>71</x:v>
      </x:c>
      <x:c r="L475" s="16" t="str">
        <x:v>https://www.youtube.com/watch?v=u05Z74dF0Gg</x:v>
      </x:c>
      <x:c r="M475" s="22" t="str">
        <x:v>YouTube</x:v>
      </x:c>
      <x:c r="N475" s="25" t="n">
        <x:v>464</x:v>
      </x:c>
      <x:c r="O475" s="23" t="str">
        <x:v>A | Official / Original Creator / Organizer</x:v>
      </x:c>
      <x:c r="P475" s="23" t="str">
        <x:v>Core</x:v>
      </x:c>
      <x:c r="Q475" s="23" t="str">
        <x:v>Verified</x:v>
      </x:c>
      <x:c r="R475" s="26" t="n">
        <x:v>46246</x:v>
      </x:c>
      <x:c r="S475" s="17" t="str">
        <x:v>Curated in the targeted ScholarTube expansion; official institution, conference, lab, course, or creator source.</x:v>
      </x:c>
      <x:c r="T475" s="16" t="str">
        <x:v>u05Z74dF0Gg</x:v>
      </x:c>
      <x:c r="U475" s="17" t="str"/>
      <x:c r="V475" s="151"/>
      <x:c r="W475" s="17" t="str"/>
    </x:row>
    <x:row r="476" ht="42" customHeight="1">
      <x:c r="A476" s="22" t="str">
        <x:v>ST-475</x:v>
      </x:c>
      <x:c r="B476" s="22" t="str">
        <x:v>Talk</x:v>
      </x:c>
      <x:c r="C476" s="22" t="str">
        <x:v>Agent</x:v>
      </x:c>
      <x:c r="D476" s="17" t="str">
        <x:v>Agents / Tool Use / Reasoning</x:v>
      </x:c>
      <x:c r="E476" s="17" t="str">
        <x:v>Agents / Reasoning / Tool Use</x:v>
      </x:c>
      <x:c r="F476" s="23" t="str">
        <x:v>English</x:v>
      </x:c>
      <x:c r="G476" s="17" t="str">
        <x:v>Yuandong Tian - AI-guided nonlinear optimization for real-world problems - IPAM at UCLA</x:v>
      </x:c>
      <x:c r="H476" s="17" t="str">
        <x:v>Yuandong Tian</x:v>
      </x:c>
      <x:c r="I476" s="17" t="str">
        <x:v>Institute for Pure &amp; Applied Mathematics (IPAM)</x:v>
      </x:c>
      <x:c r="J476" s="23" t="str">
        <x:v>Academic Talk / Research Seminar</x:v>
      </x:c>
      <x:c r="K476" s="24" t="n">
        <x:v>54</x:v>
      </x:c>
      <x:c r="L476" s="16" t="str">
        <x:v>https://www.youtube.com/watch?v=REF8aS2u74k</x:v>
      </x:c>
      <x:c r="M476" s="22" t="str">
        <x:v>YouTube</x:v>
      </x:c>
      <x:c r="N476" s="25" t="n">
        <x:v>1732</x:v>
      </x:c>
      <x:c r="O476" s="23" t="str">
        <x:v>A | Official / Original Creator / Organizer</x:v>
      </x:c>
      <x:c r="P476" s="23" t="str">
        <x:v>Core</x:v>
      </x:c>
      <x:c r="Q476" s="23" t="str">
        <x:v>Verified</x:v>
      </x:c>
      <x:c r="R476" s="26" t="n">
        <x:v>46246</x:v>
      </x:c>
      <x:c r="S476" s="17" t="str">
        <x:v>Curated in the targeted ScholarTube expansion; official institution, conference, lab, course, or creator source.</x:v>
      </x:c>
      <x:c r="T476" s="16" t="str">
        <x:v>REF8aS2u74k</x:v>
      </x:c>
      <x:c r="U476" s="17" t="str"/>
      <x:c r="V476" s="151"/>
      <x:c r="W476" s="17" t="str"/>
    </x:row>
    <x:row r="477" ht="42" customHeight="1">
      <x:c r="A477" s="22" t="str">
        <x:v>ST-476</x:v>
      </x:c>
      <x:c r="B477" s="22" t="str">
        <x:v>Talk</x:v>
      </x:c>
      <x:c r="C477" s="22" t="str">
        <x:v>Agent</x:v>
      </x:c>
      <x:c r="D477" s="17" t="str">
        <x:v>Agents / Tool Use / Reasoning</x:v>
      </x:c>
      <x:c r="E477" s="17" t="str">
        <x:v>Agents / Reasoning / Tool Use</x:v>
      </x:c>
      <x:c r="F477" s="23" t="str">
        <x:v>English</x:v>
      </x:c>
      <x:c r="G477" s="17" t="str">
        <x:v>Understanding deep networks and its role played in prioritized search - Yuandong Tian</x:v>
      </x:c>
      <x:c r="H477" s="17" t="str">
        <x:v>Yuandong Tian</x:v>
      </x:c>
      <x:c r="I477" s="17" t="str">
        <x:v>Institute for Advanced Study</x:v>
      </x:c>
      <x:c r="J477" s="23" t="str">
        <x:v>Academic Talk / Research Seminar</x:v>
      </x:c>
      <x:c r="K477" s="24" t="n">
        <x:v>41</x:v>
      </x:c>
      <x:c r="L477" s="16" t="str">
        <x:v>https://www.youtube.com/watch?v=Iw34FubV8wg</x:v>
      </x:c>
      <x:c r="M477" s="22" t="str">
        <x:v>YouTube</x:v>
      </x:c>
      <x:c r="N477" s="25" t="n">
        <x:v>636</x:v>
      </x:c>
      <x:c r="O477" s="23" t="str">
        <x:v>A | Official / Original Creator / Organizer</x:v>
      </x:c>
      <x:c r="P477" s="23" t="str">
        <x:v>Core</x:v>
      </x:c>
      <x:c r="Q477" s="23" t="str">
        <x:v>Verified</x:v>
      </x:c>
      <x:c r="R477" s="26" t="n">
        <x:v>46246</x:v>
      </x:c>
      <x:c r="S477" s="17" t="str">
        <x:v>Curated in the targeted ScholarTube expansion; official institution, conference, lab, course, or creator source.</x:v>
      </x:c>
      <x:c r="T477" s="16" t="str">
        <x:v>Iw34FubV8wg</x:v>
      </x:c>
      <x:c r="U477" s="17" t="str"/>
      <x:c r="V477" s="151"/>
      <x:c r="W477" s="17" t="str"/>
    </x:row>
    <x:row r="478" ht="42" customHeight="1">
      <x:c r="A478" s="22" t="str">
        <x:v>ST-477</x:v>
      </x:c>
      <x:c r="B478" s="22" t="str">
        <x:v>Talk</x:v>
      </x:c>
      <x:c r="C478" s="22" t="str">
        <x:v>Agent</x:v>
      </x:c>
      <x:c r="D478" s="17" t="str">
        <x:v>Agents / Tool Use / Reasoning</x:v>
      </x:c>
      <x:c r="E478" s="17" t="str">
        <x:v>Agents / Reasoning / Tool Use</x:v>
      </x:c>
      <x:c r="F478" s="23" t="str">
        <x:v>English</x:v>
      </x:c>
      <x:c r="G478" s="17" t="str">
        <x:v>Stronger Together: Marrying Deep Models with Traditional Symbolic Decision-Making (Yuandong Tian)</x:v>
      </x:c>
      <x:c r="H478" s="17" t="str">
        <x:v>Yuandong Tian</x:v>
      </x:c>
      <x:c r="I478" s="17" t="str">
        <x:v>Yisong Yue</x:v>
      </x:c>
      <x:c r="J478" s="23" t="str">
        <x:v>Academic Talk / Research Seminar</x:v>
      </x:c>
      <x:c r="K478" s="24" t="n">
        <x:v>74</x:v>
      </x:c>
      <x:c r="L478" s="16" t="str">
        <x:v>https://www.youtube.com/watch?v=uxHkNeCs2PI</x:v>
      </x:c>
      <x:c r="M478" s="22" t="str">
        <x:v>YouTube</x:v>
      </x:c>
      <x:c r="N478" s="25" t="n">
        <x:v>841</x:v>
      </x:c>
      <x:c r="O478" s="23" t="str">
        <x:v>B | University / Conference / Institution</x:v>
      </x:c>
      <x:c r="P478" s="23" t="str">
        <x:v>Recommended</x:v>
      </x:c>
      <x:c r="Q478" s="23" t="str">
        <x:v>Verified</x:v>
      </x:c>
      <x:c r="R478" s="26" t="n">
        <x:v>46246</x:v>
      </x:c>
      <x:c r="S478" s="17" t="str">
        <x:v>Curated in the targeted ScholarTube expansion; public metadata accessible and editorially reviewed.</x:v>
      </x:c>
      <x:c r="T478" s="16" t="str">
        <x:v>uxHkNeCs2PI</x:v>
      </x:c>
      <x:c r="U478" s="17" t="str"/>
      <x:c r="V478" s="151"/>
      <x:c r="W478" s="17" t="str"/>
    </x:row>
    <x:row r="479" ht="42" customHeight="1">
      <x:c r="A479" s="22" t="str">
        <x:v>ST-478</x:v>
      </x:c>
      <x:c r="B479" s="22" t="str">
        <x:v>Talk</x:v>
      </x:c>
      <x:c r="C479" s="22" t="str">
        <x:v>Agent</x:v>
      </x:c>
      <x:c r="D479" s="17" t="str">
        <x:v>Agents / Tool Use / Reasoning</x:v>
      </x:c>
      <x:c r="E479" s="17" t="str">
        <x:v>Agents / Reasoning / Tool Use</x:v>
      </x:c>
      <x:c r="F479" s="23" t="str">
        <x:v>English</x:v>
      </x:c>
      <x:c r="G479" s="17" t="str">
        <x:v>Learning Multi-Agent Collaborations With Decomposition</x:v>
      </x:c>
      <x:c r="H479" s="17" t="str">
        <x:v>Yuandong Tian</x:v>
      </x:c>
      <x:c r="I479" s="17" t="str">
        <x:v>Simons Institute for the Theory of Computing</x:v>
      </x:c>
      <x:c r="J479" s="23" t="str">
        <x:v>Academic Talk / Research Seminar</x:v>
      </x:c>
      <x:c r="K479" s="24" t="n">
        <x:v>30</x:v>
      </x:c>
      <x:c r="L479" s="16" t="str">
        <x:v>https://www.youtube.com/watch?v=iP_VRlFgNYA</x:v>
      </x:c>
      <x:c r="M479" s="22" t="str">
        <x:v>YouTube</x:v>
      </x:c>
      <x:c r="N479" s="25" t="n">
        <x:v>1043</x:v>
      </x:c>
      <x:c r="O479" s="23" t="str">
        <x:v>A | Official / Original Creator / Organizer</x:v>
      </x:c>
      <x:c r="P479" s="23" t="str">
        <x:v>Core</x:v>
      </x:c>
      <x:c r="Q479" s="23" t="str">
        <x:v>Verified</x:v>
      </x:c>
      <x:c r="R479" s="26" t="n">
        <x:v>46246</x:v>
      </x:c>
      <x:c r="S479" s="17" t="str">
        <x:v>Curated in the targeted ScholarTube expansion; official institution, conference, lab, course, or creator source.</x:v>
      </x:c>
      <x:c r="T479" s="16" t="str">
        <x:v>iP_VRlFgNYA</x:v>
      </x:c>
      <x:c r="U479" s="17" t="str"/>
      <x:c r="V479" s="151"/>
      <x:c r="W479" s="17" t="str"/>
    </x:row>
    <x:row r="480" ht="42" customHeight="1">
      <x:c r="A480" s="22" t="str">
        <x:v>ST-479</x:v>
      </x:c>
      <x:c r="B480" s="22" t="str">
        <x:v>Talk</x:v>
      </x:c>
      <x:c r="C480" s="22" t="str">
        <x:v>Agent</x:v>
      </x:c>
      <x:c r="D480" s="17" t="str">
        <x:v>Agents / Tool Use / Reasoning</x:v>
      </x:c>
      <x:c r="E480" s="17" t="str">
        <x:v>Agents / Reasoning / Tool Use</x:v>
      </x:c>
      <x:c r="F480" s="23" t="str">
        <x:v>English</x:v>
      </x:c>
      <x:c r="G480" s="17" t="str">
        <x:v>Yuandong Tian | Efficient Inference of LLMs with Long Context Support</x:v>
      </x:c>
      <x:c r="H480" s="17" t="str">
        <x:v>Yuandong Tian</x:v>
      </x:c>
      <x:c r="I480" s="17" t="str">
        <x:v>London Machine Learning Meetup</x:v>
      </x:c>
      <x:c r="J480" s="23" t="str">
        <x:v>Academic Talk / Research Seminar</x:v>
      </x:c>
      <x:c r="K480" s="24" t="n">
        <x:v>54</x:v>
      </x:c>
      <x:c r="L480" s="16" t="str">
        <x:v>https://www.youtube.com/watch?v=eXPhvQgAT_I</x:v>
      </x:c>
      <x:c r="M480" s="22" t="str">
        <x:v>YouTube</x:v>
      </x:c>
      <x:c r="N480" s="25" t="n">
        <x:v>1292</x:v>
      </x:c>
      <x:c r="O480" s="23" t="str">
        <x:v>B | University / Conference / Institution</x:v>
      </x:c>
      <x:c r="P480" s="23" t="str">
        <x:v>Recommended</x:v>
      </x:c>
      <x:c r="Q480" s="23" t="str">
        <x:v>Verified</x:v>
      </x:c>
      <x:c r="R480" s="26" t="n">
        <x:v>46246</x:v>
      </x:c>
      <x:c r="S480" s="17" t="str">
        <x:v>Curated in the targeted ScholarTube expansion; public metadata accessible and editorially reviewed.</x:v>
      </x:c>
      <x:c r="T480" s="16" t="str">
        <x:v>eXPhvQgAT_I</x:v>
      </x:c>
      <x:c r="U480" s="17" t="str"/>
      <x:c r="V480" s="151"/>
      <x:c r="W480" s="17" t="str"/>
    </x:row>
    <x:row r="481" ht="42" customHeight="1">
      <x:c r="A481" s="22" t="str">
        <x:v>ST-480</x:v>
      </x:c>
      <x:c r="B481" s="22" t="str">
        <x:v>Talk</x:v>
      </x:c>
      <x:c r="C481" s="22" t="str">
        <x:v>World Model</x:v>
      </x:c>
      <x:c r="D481" s="17" t="str">
        <x:v>World Models / Predictive Intelligence</x:v>
      </x:c>
      <x:c r="E481" s="17" t="str">
        <x:v>World Models / Spatial Intelligence</x:v>
      </x:c>
      <x:c r="F481" s="23" t="str">
        <x:v>English</x:v>
      </x:c>
      <x:c r="G481" s="17" t="str">
        <x:v>Yann LeCun: World Models: Enabling the next AI revolution</x:v>
      </x:c>
      <x:c r="H481" s="17" t="str">
        <x:v>Yann LeCun</x:v>
      </x:c>
      <x:c r="I481" s="17" t="str">
        <x:v>Computer Vision and Geometry Group, ETH Zurich</x:v>
      </x:c>
      <x:c r="J481" s="23" t="str">
        <x:v>Academic Talk / Research Seminar</x:v>
      </x:c>
      <x:c r="K481" s="24" t="n">
        <x:v>59</x:v>
      </x:c>
      <x:c r="L481" s="16" t="str">
        <x:v>https://www.youtube.com/watch?v=72Xj8k5WQX4</x:v>
      </x:c>
      <x:c r="M481" s="22" t="str">
        <x:v>YouTube</x:v>
      </x:c>
      <x:c r="N481" s="25" t="n">
        <x:v>211965</x:v>
      </x:c>
      <x:c r="O481" s="23" t="str">
        <x:v>B | University / Conference / Institution</x:v>
      </x:c>
      <x:c r="P481" s="23" t="str">
        <x:v>Recommended</x:v>
      </x:c>
      <x:c r="Q481" s="23" t="str">
        <x:v>Verified</x:v>
      </x:c>
      <x:c r="R481" s="26" t="n">
        <x:v>46246</x:v>
      </x:c>
      <x:c r="S481" s="17" t="str">
        <x:v>Curated in the targeted ScholarTube expansion; public metadata accessible and editorially reviewed.</x:v>
      </x:c>
      <x:c r="T481" s="16" t="str">
        <x:v>72Xj8k5WQX4</x:v>
      </x:c>
      <x:c r="U481" s="17" t="str"/>
      <x:c r="V481" s="151"/>
      <x:c r="W481" s="17" t="str"/>
    </x:row>
    <x:row r="482" ht="42" customHeight="1">
      <x:c r="A482" s="22" t="str">
        <x:v>ST-481</x:v>
      </x:c>
      <x:c r="B482" s="22" t="str">
        <x:v>Talk</x:v>
      </x:c>
      <x:c r="C482" s="22" t="str">
        <x:v>World Model</x:v>
      </x:c>
      <x:c r="D482" s="17" t="str">
        <x:v>World Models / Predictive Intelligence</x:v>
      </x:c>
      <x:c r="E482" s="17" t="str">
        <x:v>World Models / Spatial Intelligence</x:v>
      </x:c>
      <x:c r="F482" s="23" t="str">
        <x:v>English</x:v>
      </x:c>
      <x:c r="G482" s="17" t="str">
        <x:v>Learning Compositional Models of the World with Yilun Du</x:v>
      </x:c>
      <x:c r="H482" s="17" t="str">
        <x:v>Yilun Du</x:v>
      </x:c>
      <x:c r="I482" s="17" t="str">
        <x:v>Kempner Institute at Harvard University</x:v>
      </x:c>
      <x:c r="J482" s="23" t="str">
        <x:v>Academic Talk / Research Seminar</x:v>
      </x:c>
      <x:c r="K482" s="24" t="n">
        <x:v>39</x:v>
      </x:c>
      <x:c r="L482" s="16" t="str">
        <x:v>https://www.youtube.com/watch?v=UKbLBOuHQ-0</x:v>
      </x:c>
      <x:c r="M482" s="22" t="str">
        <x:v>YouTube</x:v>
      </x:c>
      <x:c r="N482" s="25" t="n">
        <x:v>3323</x:v>
      </x:c>
      <x:c r="O482" s="23" t="str">
        <x:v>A | Official / Original Creator / Organizer</x:v>
      </x:c>
      <x:c r="P482" s="23" t="str">
        <x:v>Core</x:v>
      </x:c>
      <x:c r="Q482" s="23" t="str">
        <x:v>Verified</x:v>
      </x:c>
      <x:c r="R482" s="26" t="n">
        <x:v>46246</x:v>
      </x:c>
      <x:c r="S482" s="17" t="str">
        <x:v>Curated in the targeted ScholarTube expansion; official institution, conference, lab, course, or creator source.</x:v>
      </x:c>
      <x:c r="T482" s="16" t="str">
        <x:v>UKbLBOuHQ-0</x:v>
      </x:c>
      <x:c r="U482" s="17" t="str"/>
      <x:c r="V482" s="151"/>
      <x:c r="W482" s="17" t="str"/>
    </x:row>
    <x:row r="483" ht="42" customHeight="1">
      <x:c r="A483" s="22" t="str">
        <x:v>ST-482</x:v>
      </x:c>
      <x:c r="B483" s="22" t="str">
        <x:v>Talk</x:v>
      </x:c>
      <x:c r="C483" s="22" t="str">
        <x:v>World Model</x:v>
      </x:c>
      <x:c r="D483" s="17" t="str">
        <x:v>World Models / Predictive Intelligence</x:v>
      </x:c>
      <x:c r="E483" s="17" t="str">
        <x:v>World Models / Spatial Intelligence</x:v>
      </x:c>
      <x:c r="F483" s="23" t="str">
        <x:v>English</x:v>
      </x:c>
      <x:c r="G483" s="17" t="str">
        <x:v>Yilun Du: Embodied Decision Making with Compositional World Models | CVPR25 Robotics 101</x:v>
      </x:c>
      <x:c r="H483" s="17" t="str">
        <x:v>Yilun Du</x:v>
      </x:c>
      <x:c r="I483" s="17" t="str">
        <x:v>OpenDriveLab</x:v>
      </x:c>
      <x:c r="J483" s="23" t="str">
        <x:v>Academic Talk / Research Seminar</x:v>
      </x:c>
      <x:c r="K483" s="24" t="n">
        <x:v>57</x:v>
      </x:c>
      <x:c r="L483" s="16" t="str">
        <x:v>https://www.youtube.com/watch?v=UNnbkyt8vLA</x:v>
      </x:c>
      <x:c r="M483" s="22" t="str">
        <x:v>YouTube</x:v>
      </x:c>
      <x:c r="N483" s="25" t="n">
        <x:v>803</x:v>
      </x:c>
      <x:c r="O483" s="23" t="str">
        <x:v>B | University / Conference / Institution</x:v>
      </x:c>
      <x:c r="P483" s="23" t="str">
        <x:v>Recommended</x:v>
      </x:c>
      <x:c r="Q483" s="23" t="str">
        <x:v>Verified</x:v>
      </x:c>
      <x:c r="R483" s="26" t="n">
        <x:v>46246</x:v>
      </x:c>
      <x:c r="S483" s="17" t="str">
        <x:v>Curated in the targeted ScholarTube expansion; public metadata accessible and editorially reviewed.</x:v>
      </x:c>
      <x:c r="T483" s="16" t="str">
        <x:v>UNnbkyt8vLA</x:v>
      </x:c>
      <x:c r="U483" s="17" t="str"/>
      <x:c r="V483" s="151"/>
      <x:c r="W483" s="17" t="str"/>
    </x:row>
    <x:row r="484" ht="42" customHeight="1">
      <x:c r="A484" s="22" t="str">
        <x:v>ST-483</x:v>
      </x:c>
      <x:c r="B484" s="22" t="str">
        <x:v>Talk</x:v>
      </x:c>
      <x:c r="C484" s="22" t="str">
        <x:v>World Model</x:v>
      </x:c>
      <x:c r="D484" s="17" t="str">
        <x:v>World Models / Predictive Intelligence</x:v>
      </x:c>
      <x:c r="E484" s="17" t="str">
        <x:v>World Models / Spatial Intelligence</x:v>
      </x:c>
      <x:c r="F484" s="23" t="str">
        <x:v>English</x:v>
      </x:c>
      <x:c r="G484" s="17" t="str">
        <x:v>Unsupervised Intelligent Agents</x:v>
      </x:c>
      <x:c r="H484" s="17" t="str">
        <x:v>Danijar Hafner</x:v>
      </x:c>
      <x:c r="I484" s="17" t="str">
        <x:v>Danijar Hafner</x:v>
      </x:c>
      <x:c r="J484" s="23" t="str">
        <x:v>Academic Talk / Research Seminar</x:v>
      </x:c>
      <x:c r="K484" s="24" t="n">
        <x:v>20</x:v>
      </x:c>
      <x:c r="L484" s="16" t="str">
        <x:v>https://www.youtube.com/watch?v=Amow6WIacKY</x:v>
      </x:c>
      <x:c r="M484" s="22" t="str">
        <x:v>YouTube</x:v>
      </x:c>
      <x:c r="N484" s="25" t="n">
        <x:v>3312</x:v>
      </x:c>
      <x:c r="O484" s="23" t="str">
        <x:v>B | University / Conference / Institution</x:v>
      </x:c>
      <x:c r="P484" s="23" t="str">
        <x:v>Recommended</x:v>
      </x:c>
      <x:c r="Q484" s="23" t="str">
        <x:v>Verified</x:v>
      </x:c>
      <x:c r="R484" s="26" t="n">
        <x:v>46246</x:v>
      </x:c>
      <x:c r="S484" s="17" t="str">
        <x:v>Curated in the targeted ScholarTube expansion; public metadata accessible and editorially reviewed.</x:v>
      </x:c>
      <x:c r="T484" s="16" t="str">
        <x:v>Amow6WIacKY</x:v>
      </x:c>
      <x:c r="U484" s="17" t="str"/>
      <x:c r="V484" s="151"/>
      <x:c r="W484" s="17" t="str"/>
    </x:row>
    <x:row r="485" ht="42" customHeight="1">
      <x:c r="A485" s="22" t="str">
        <x:v>ST-484</x:v>
      </x:c>
      <x:c r="B485" s="22" t="str">
        <x:v>Talk</x:v>
      </x:c>
      <x:c r="C485" s="22" t="str">
        <x:v>World Model</x:v>
      </x:c>
      <x:c r="D485" s="17" t="str">
        <x:v>World Models / Predictive Intelligence</x:v>
      </x:c>
      <x:c r="E485" s="17" t="str">
        <x:v>World Models / Spatial Intelligence</x:v>
      </x:c>
      <x:c r="F485" s="23" t="str">
        <x:v>English</x:v>
      </x:c>
      <x:c r="G485" s="17" t="str">
        <x:v>Danijar Hafner – General Infomax Agents through World Models – PRL 2021</x:v>
      </x:c>
      <x:c r="H485" s="17" t="str">
        <x:v>Danijar Hafner</x:v>
      </x:c>
      <x:c r="I485" s="17" t="str">
        <x:v>PRL Workshop – Planning and Reinforcement Learning</x:v>
      </x:c>
      <x:c r="J485" s="23" t="str">
        <x:v>Academic Talk / Research Seminar</x:v>
      </x:c>
      <x:c r="K485" s="24" t="n">
        <x:v>31</x:v>
      </x:c>
      <x:c r="L485" s="16" t="str">
        <x:v>https://www.youtube.com/watch?v=mrcGNhXGxgc</x:v>
      </x:c>
      <x:c r="M485" s="22" t="str">
        <x:v>YouTube</x:v>
      </x:c>
      <x:c r="N485" s="25" t="n">
        <x:v>597</x:v>
      </x:c>
      <x:c r="O485" s="23" t="str">
        <x:v>A | Official / Original Creator / Organizer</x:v>
      </x:c>
      <x:c r="P485" s="23" t="str">
        <x:v>Core</x:v>
      </x:c>
      <x:c r="Q485" s="23" t="str">
        <x:v>Verified</x:v>
      </x:c>
      <x:c r="R485" s="26" t="n">
        <x:v>46246</x:v>
      </x:c>
      <x:c r="S485" s="17" t="str">
        <x:v>Curated in the targeted ScholarTube expansion; official institution, conference, lab, course, or creator source.</x:v>
      </x:c>
      <x:c r="T485" s="16" t="str">
        <x:v>mrcGNhXGxgc</x:v>
      </x:c>
      <x:c r="U485" s="17" t="str"/>
      <x:c r="V485" s="151"/>
      <x:c r="W485" s="17" t="str"/>
    </x:row>
    <x:row r="486" ht="42" customHeight="1">
      <x:c r="A486" s="22" t="str">
        <x:v>ST-485</x:v>
      </x:c>
      <x:c r="B486" s="22" t="str">
        <x:v>Talk</x:v>
      </x:c>
      <x:c r="C486" s="22" t="str">
        <x:v>World Model</x:v>
      </x:c>
      <x:c r="D486" s="17" t="str">
        <x:v>World Models / Predictive Intelligence</x:v>
      </x:c>
      <x:c r="E486" s="17" t="str">
        <x:v>World Models / Spatial Intelligence</x:v>
      </x:c>
      <x:c r="F486" s="23" t="str">
        <x:v>English</x:v>
      </x:c>
      <x:c r="G486" s="17" t="str">
        <x:v>Fei-Fei Li: Spatial Intelligence is the Next Frontier in AI</x:v>
      </x:c>
      <x:c r="H486" s="17" t="str">
        <x:v>Fei-Fei Li</x:v>
      </x:c>
      <x:c r="I486" s="17" t="str">
        <x:v>Y Combinator</x:v>
      </x:c>
      <x:c r="J486" s="23" t="str">
        <x:v>Academic Talk / Research Seminar</x:v>
      </x:c>
      <x:c r="K486" s="24" t="n">
        <x:v>44</x:v>
      </x:c>
      <x:c r="L486" s="16" t="str">
        <x:v>https://www.youtube.com/watch?v=_PioN-CpOP0</x:v>
      </x:c>
      <x:c r="M486" s="22" t="str">
        <x:v>YouTube</x:v>
      </x:c>
      <x:c r="N486" s="25" t="n">
        <x:v>202539</x:v>
      </x:c>
      <x:c r="O486" s="23" t="str">
        <x:v>B | University / Conference / Institution</x:v>
      </x:c>
      <x:c r="P486" s="23" t="str">
        <x:v>Recommended</x:v>
      </x:c>
      <x:c r="Q486" s="23" t="str">
        <x:v>Verified</x:v>
      </x:c>
      <x:c r="R486" s="26" t="n">
        <x:v>46246</x:v>
      </x:c>
      <x:c r="S486" s="17" t="str">
        <x:v>Curated in the targeted ScholarTube expansion; public metadata accessible and editorially reviewed.</x:v>
      </x:c>
      <x:c r="T486" s="16" t="str">
        <x:v>_PioN-CpOP0</x:v>
      </x:c>
      <x:c r="U486" s="17" t="str"/>
      <x:c r="V486" s="151"/>
      <x:c r="W486" s="17" t="str"/>
    </x:row>
    <x:row r="487" ht="42" customHeight="1">
      <x:c r="A487" s="22" t="str">
        <x:v>ST-486</x:v>
      </x:c>
      <x:c r="B487" s="22" t="str">
        <x:v>Interview</x:v>
      </x:c>
      <x:c r="C487" s="22" t="str">
        <x:v>World Model</x:v>
      </x:c>
      <x:c r="D487" s="17" t="str">
        <x:v>World Models / Predictive Intelligence</x:v>
      </x:c>
      <x:c r="E487" s="17" t="str">
        <x:v>World Models / Spatial Intelligence</x:v>
      </x:c>
      <x:c r="F487" s="23" t="str">
        <x:v>English</x:v>
      </x:c>
      <x:c r="G487" s="17" t="str">
        <x:v>The Godmother of AI on jobs, robots &amp; why world models are next | Dr. Fei-Fei Li</x:v>
      </x:c>
      <x:c r="H487" s="17" t="str">
        <x:v>Fei-Fei Li</x:v>
      </x:c>
      <x:c r="I487" s="17" t="str">
        <x:v>Lenny's Podcast</x:v>
      </x:c>
      <x:c r="J487" s="23" t="str">
        <x:v>Research Interview</x:v>
      </x:c>
      <x:c r="K487" s="24" t="n">
        <x:v>80</x:v>
      </x:c>
      <x:c r="L487" s="16" t="str">
        <x:v>https://www.youtube.com/watch?v=Ctjiatnd6Xk</x:v>
      </x:c>
      <x:c r="M487" s="22" t="str">
        <x:v>YouTube</x:v>
      </x:c>
      <x:c r="N487" s="25" t="n">
        <x:v>161762</x:v>
      </x:c>
      <x:c r="O487" s="23" t="str">
        <x:v>B | University / Conference / Institution</x:v>
      </x:c>
      <x:c r="P487" s="23" t="str">
        <x:v>Recommended</x:v>
      </x:c>
      <x:c r="Q487" s="23" t="str">
        <x:v>Verified</x:v>
      </x:c>
      <x:c r="R487" s="26" t="n">
        <x:v>46246</x:v>
      </x:c>
      <x:c r="S487" s="17" t="str">
        <x:v>Curated in the targeted ScholarTube expansion; public metadata accessible and editorially reviewed.</x:v>
      </x:c>
      <x:c r="T487" s="16" t="str">
        <x:v>Ctjiatnd6Xk</x:v>
      </x:c>
      <x:c r="U487" s="17" t="str"/>
      <x:c r="V487" s="151"/>
      <x:c r="W487" s="17" t="str"/>
    </x:row>
    <x:row r="488" ht="42" customHeight="1">
      <x:c r="A488" s="22" t="str">
        <x:v>ST-487</x:v>
      </x:c>
      <x:c r="B488" s="22" t="str">
        <x:v>Interview</x:v>
      </x:c>
      <x:c r="C488" s="22" t="str">
        <x:v>World Model</x:v>
      </x:c>
      <x:c r="D488" s="17" t="str">
        <x:v>World Models / Predictive Intelligence</x:v>
      </x:c>
      <x:c r="E488" s="17" t="str">
        <x:v>World Models / Spatial Intelligence</x:v>
      </x:c>
      <x:c r="F488" s="23" t="str">
        <x:v>English</x:v>
      </x:c>
      <x:c r="G488" s="17" t="str">
        <x:v>Research Retrospectives: An interview with David Ha, Co-founder and CEO of Sakana AI</x:v>
      </x:c>
      <x:c r="H488" s="17" t="str">
        <x:v>David Ha</x:v>
      </x:c>
      <x:c r="I488" s="17" t="str">
        <x:v>Google Research</x:v>
      </x:c>
      <x:c r="J488" s="23" t="str">
        <x:v>Research Interview</x:v>
      </x:c>
      <x:c r="K488" s="24" t="n">
        <x:v>56</x:v>
      </x:c>
      <x:c r="L488" s="16" t="str">
        <x:v>https://www.youtube.com/watch?v=3wH8SH5BxjY</x:v>
      </x:c>
      <x:c r="M488" s="22" t="str">
        <x:v>YouTube</x:v>
      </x:c>
      <x:c r="N488" s="25" t="n">
        <x:v>2875</x:v>
      </x:c>
      <x:c r="O488" s="23" t="str">
        <x:v>A | Official / Original Creator / Organizer</x:v>
      </x:c>
      <x:c r="P488" s="23" t="str">
        <x:v>Core</x:v>
      </x:c>
      <x:c r="Q488" s="23" t="str">
        <x:v>Verified</x:v>
      </x:c>
      <x:c r="R488" s="26" t="n">
        <x:v>46246</x:v>
      </x:c>
      <x:c r="S488" s="17" t="str">
        <x:v>Curated in the targeted ScholarTube expansion; official institution, conference, lab, course, or creator source.</x:v>
      </x:c>
      <x:c r="T488" s="16" t="str">
        <x:v>3wH8SH5BxjY</x:v>
      </x:c>
      <x:c r="U488" s="17" t="str"/>
      <x:c r="V488" s="151"/>
      <x:c r="W488" s="17" t="str"/>
    </x:row>
    <x:row r="489" ht="42" customHeight="1">
      <x:c r="A489" s="22" t="str">
        <x:v>ST-488</x:v>
      </x:c>
      <x:c r="B489" s="22" t="str">
        <x:v>Course</x:v>
      </x:c>
      <x:c r="C489" s="22" t="str">
        <x:v>Robotics</x:v>
      </x:c>
      <x:c r="D489" s="17" t="str">
        <x:v>Robotics / Embodied AI</x:v>
      </x:c>
      <x:c r="E489" s="17" t="str">
        <x:v>Robot Learning / Embodied AI / Control</x:v>
      </x:c>
      <x:c r="F489" s="23" t="str">
        <x:v>English</x:v>
      </x:c>
      <x:c r="G489" s="17" t="str">
        <x:v>LLM Agents MOOC | UC Berkeley Fall 2024 | Project GR00T Generalist Robotics Blueprint by Jim Fan</x:v>
      </x:c>
      <x:c r="H489" s="17" t="str">
        <x:v>Jim Fan</x:v>
      </x:c>
      <x:c r="I489" s="17" t="str">
        <x:v>Berkeley RDI</x:v>
      </x:c>
      <x:c r="J489" s="23" t="str">
        <x:v>Course / Tutorial</x:v>
      </x:c>
      <x:c r="K489" s="24" t="n">
        <x:v>56</x:v>
      </x:c>
      <x:c r="L489" s="16" t="str">
        <x:v>https://www.youtube.com/watch?v=Qhxr0uVT2zs</x:v>
      </x:c>
      <x:c r="M489" s="22" t="str">
        <x:v>YouTube</x:v>
      </x:c>
      <x:c r="N489" s="25" t="n">
        <x:v>11707</x:v>
      </x:c>
      <x:c r="O489" s="23" t="str">
        <x:v>A | Official / Original Creator / Organizer</x:v>
      </x:c>
      <x:c r="P489" s="23" t="str">
        <x:v>Core</x:v>
      </x:c>
      <x:c r="Q489" s="23" t="str">
        <x:v>Verified</x:v>
      </x:c>
      <x:c r="R489" s="26" t="n">
        <x:v>46246</x:v>
      </x:c>
      <x:c r="S489" s="17" t="str">
        <x:v>Curated in the targeted ScholarTube expansion; official institution, conference, lab, course, or creator source.</x:v>
      </x:c>
      <x:c r="T489" s="16" t="str">
        <x:v>Qhxr0uVT2zs</x:v>
      </x:c>
      <x:c r="U489" s="17" t="str">
        <x:v>UC Berkeley LLM Agents MOOC — Fall 2024</x:v>
      </x:c>
      <x:c r="V489" s="151" t="n">
        <x:v>20241105</x:v>
      </x:c>
      <x:c r="W489" s="17" t="str">
        <x:v>berkeley-llm-agents-mooc-fall-2024</x:v>
      </x:c>
    </x:row>
    <x:row r="490" ht="42" customHeight="1">
      <x:c r="A490" s="22" t="str">
        <x:v>ST-489</x:v>
      </x:c>
      <x:c r="B490" s="22" t="str">
        <x:v>Course</x:v>
      </x:c>
      <x:c r="C490" s="22" t="str">
        <x:v>Agent</x:v>
      </x:c>
      <x:c r="D490" s="17" t="str">
        <x:v>Agents / Tool Use / Reasoning</x:v>
      </x:c>
      <x:c r="E490" s="17" t="str">
        <x:v>Agents / Reasoning / Tool Use</x:v>
      </x:c>
      <x:c r="F490" s="23" t="str">
        <x:v>English</x:v>
      </x:c>
      <x:c r="G490" s="17" t="str">
        <x:v>LLM Agents MOOC | UC Berkeley CS294-196 Fall 2024 | LLM Agents: History &amp; Overview by Shunyu Yao</x:v>
      </x:c>
      <x:c r="H490" s="17" t="str">
        <x:v>Shunyu Yao</x:v>
      </x:c>
      <x:c r="I490" s="17" t="str">
        <x:v>Berkeley RDI</x:v>
      </x:c>
      <x:c r="J490" s="23" t="str">
        <x:v>Course / Tutorial</x:v>
      </x:c>
      <x:c r="K490" s="24" t="n">
        <x:v>69</x:v>
      </x:c>
      <x:c r="L490" s="16" t="str">
        <x:v>https://www.youtube.com/watch?v=RM6ZArd2nVc</x:v>
      </x:c>
      <x:c r="M490" s="22" t="str">
        <x:v>YouTube</x:v>
      </x:c>
      <x:c r="N490" s="25" t="n">
        <x:v>55331</x:v>
      </x:c>
      <x:c r="O490" s="23" t="str">
        <x:v>A | Official / Original Creator / Organizer</x:v>
      </x:c>
      <x:c r="P490" s="23" t="str">
        <x:v>Core</x:v>
      </x:c>
      <x:c r="Q490" s="23" t="str">
        <x:v>Verified</x:v>
      </x:c>
      <x:c r="R490" s="26" t="n">
        <x:v>46246</x:v>
      </x:c>
      <x:c r="S490" s="17" t="str">
        <x:v>Curated in the targeted ScholarTube expansion; official institution, conference, lab, course, or creator source.</x:v>
      </x:c>
      <x:c r="T490" s="16" t="str">
        <x:v>RM6ZArd2nVc</x:v>
      </x:c>
      <x:c r="U490" s="17" t="str">
        <x:v>UC Berkeley LLM Agents MOOC — Fall 2024</x:v>
      </x:c>
      <x:c r="V490" s="151" t="n">
        <x:v>20240918</x:v>
      </x:c>
      <x:c r="W490" s="17" t="str">
        <x:v>berkeley-llm-agents-mooc-fall-2024</x:v>
      </x:c>
    </x:row>
    <x:row r="491" ht="42" customHeight="1">
      <x:c r="A491" s="22" t="str">
        <x:v>ST-490</x:v>
      </x:c>
      <x:c r="B491" s="22" t="str">
        <x:v>Talk</x:v>
      </x:c>
      <x:c r="C491" s="22" t="str">
        <x:v>Agent</x:v>
      </x:c>
      <x:c r="D491" s="17" t="str">
        <x:v>Agents / Tool Use / Reasoning</x:v>
      </x:c>
      <x:c r="E491" s="17" t="str">
        <x:v>Agents / Reasoning / Tool Use</x:v>
      </x:c>
      <x:c r="F491" s="23" t="str">
        <x:v>English</x:v>
      </x:c>
      <x:c r="G491" s="17" t="str">
        <x:v>Language Agents (Shunyu Yao PhD Defense)</x:v>
      </x:c>
      <x:c r="H491" s="17" t="str">
        <x:v>Shunyu Yao</x:v>
      </x:c>
      <x:c r="I491" s="17" t="str">
        <x:v>Shunyu Yao</x:v>
      </x:c>
      <x:c r="J491" s="23" t="str">
        <x:v>Academic Talk / Research Seminar</x:v>
      </x:c>
      <x:c r="K491" s="24" t="n">
        <x:v>85</x:v>
      </x:c>
      <x:c r="L491" s="16" t="str">
        <x:v>https://www.youtube.com/watch?v=zwfE6J2BIR4</x:v>
      </x:c>
      <x:c r="M491" s="22" t="str">
        <x:v>YouTube</x:v>
      </x:c>
      <x:c r="N491" s="25" t="n">
        <x:v>14100</x:v>
      </x:c>
      <x:c r="O491" s="23" t="str">
        <x:v>B | University / Conference / Institution</x:v>
      </x:c>
      <x:c r="P491" s="23" t="str">
        <x:v>Recommended</x:v>
      </x:c>
      <x:c r="Q491" s="23" t="str">
        <x:v>Verified</x:v>
      </x:c>
      <x:c r="R491" s="26" t="n">
        <x:v>46246</x:v>
      </x:c>
      <x:c r="S491" s="17" t="str">
        <x:v>Curated in the targeted ScholarTube expansion; public metadata accessible and editorially reviewed.</x:v>
      </x:c>
      <x:c r="T491" s="16" t="str">
        <x:v>zwfE6J2BIR4</x:v>
      </x:c>
      <x:c r="U491" s="17" t="str"/>
      <x:c r="V491" s="151"/>
      <x:c r="W491" s="17" t="str"/>
    </x:row>
    <x:row r="492" ht="42" customHeight="1">
      <x:c r="A492" s="22" t="str">
        <x:v>ST-491</x:v>
      </x:c>
      <x:c r="B492" s="22" t="str">
        <x:v>Course</x:v>
      </x:c>
      <x:c r="C492" s="22" t="str">
        <x:v>Agent</x:v>
      </x:c>
      <x:c r="D492" s="17" t="str">
        <x:v>Agents / Tool Use / Reasoning</x:v>
      </x:c>
      <x:c r="E492" s="17" t="str">
        <x:v>Agents / Reasoning / Tool Use</x:v>
      </x:c>
      <x:c r="F492" s="23" t="str">
        <x:v>English</x:v>
      </x:c>
      <x:c r="G492" s="17" t="str">
        <x:v>LLM Agents MOOC | UC Berkeley CS294-196 Fa24 | Agentic AI Frameworks/AutoGen &amp; Multimodal Assistant</x:v>
      </x:c>
      <x:c r="H492" s="17" t="str">
        <x:v>Chi Wang</x:v>
      </x:c>
      <x:c r="I492" s="17" t="str">
        <x:v>Berkeley RDI</x:v>
      </x:c>
      <x:c r="J492" s="23" t="str">
        <x:v>Course / Tutorial</x:v>
      </x:c>
      <x:c r="K492" s="24" t="n">
        <x:v>65</x:v>
      </x:c>
      <x:c r="L492" s="16" t="str">
        <x:v>https://www.youtube.com/watch?v=OOdtmCMSOo4</x:v>
      </x:c>
      <x:c r="M492" s="22" t="str">
        <x:v>YouTube</x:v>
      </x:c>
      <x:c r="N492" s="25" t="n">
        <x:v>33869</x:v>
      </x:c>
      <x:c r="O492" s="23" t="str">
        <x:v>A | Official / Original Creator / Organizer</x:v>
      </x:c>
      <x:c r="P492" s="23" t="str">
        <x:v>Core</x:v>
      </x:c>
      <x:c r="Q492" s="23" t="str">
        <x:v>Verified</x:v>
      </x:c>
      <x:c r="R492" s="26" t="n">
        <x:v>46246</x:v>
      </x:c>
      <x:c r="S492" s="17" t="str">
        <x:v>Curated in the targeted ScholarTube expansion; official institution, conference, lab, course, or creator source.</x:v>
      </x:c>
      <x:c r="T492" s="16" t="str">
        <x:v>OOdtmCMSOo4</x:v>
      </x:c>
      <x:c r="U492" s="17" t="str">
        <x:v>UC Berkeley LLM Agents MOOC — Fall 2024</x:v>
      </x:c>
      <x:c r="V492" s="151" t="n">
        <x:v>20240925</x:v>
      </x:c>
      <x:c r="W492" s="17" t="str">
        <x:v>berkeley-llm-agents-mooc-fall-2024</x:v>
      </x:c>
    </x:row>
    <x:row r="493" ht="42" customHeight="1">
      <x:c r="A493" s="22" t="str">
        <x:v>ST-492</x:v>
      </x:c>
      <x:c r="B493" s="22" t="str">
        <x:v>Course</x:v>
      </x:c>
      <x:c r="C493" s="22" t="str">
        <x:v>Agent</x:v>
      </x:c>
      <x:c r="D493" s="17" t="str">
        <x:v>Agents / Tool Use / Reasoning</x:v>
      </x:c>
      <x:c r="E493" s="17" t="str">
        <x:v>Agents / Reasoning / Tool Use</x:v>
      </x:c>
      <x:c r="F493" s="23" t="str">
        <x:v>English</x:v>
      </x:c>
      <x:c r="G493" s="17" t="str">
        <x:v>LLM Agents MOOC | UC Berkeley CS294-196 Fall 2024 | Agents for Software Development by Graham Neubig</x:v>
      </x:c>
      <x:c r="H493" s="17" t="str">
        <x:v>Graham Neubig</x:v>
      </x:c>
      <x:c r="I493" s="17" t="str">
        <x:v>Berkeley RDI</x:v>
      </x:c>
      <x:c r="J493" s="23" t="str">
        <x:v>Course / Tutorial</x:v>
      </x:c>
      <x:c r="K493" s="24" t="n">
        <x:v>61</x:v>
      </x:c>
      <x:c r="L493" s="16" t="str">
        <x:v>https://www.youtube.com/watch?v=f9L9Fkq-8K4</x:v>
      </x:c>
      <x:c r="M493" s="22" t="str">
        <x:v>YouTube</x:v>
      </x:c>
      <x:c r="N493" s="25" t="n">
        <x:v>17464</x:v>
      </x:c>
      <x:c r="O493" s="23" t="str">
        <x:v>A | Official / Original Creator / Organizer</x:v>
      </x:c>
      <x:c r="P493" s="23" t="str">
        <x:v>Core</x:v>
      </x:c>
      <x:c r="Q493" s="23" t="str">
        <x:v>Verified</x:v>
      </x:c>
      <x:c r="R493" s="26" t="n">
        <x:v>46246</x:v>
      </x:c>
      <x:c r="S493" s="17" t="str">
        <x:v>Curated in the targeted ScholarTube expansion; official institution, conference, lab, course, or creator source.</x:v>
      </x:c>
      <x:c r="T493" s="16" t="str">
        <x:v>f9L9Fkq-8K4</x:v>
      </x:c>
      <x:c r="U493" s="17" t="str">
        <x:v>UC Berkeley LLM Agents MOOC — Fall 2024</x:v>
      </x:c>
      <x:c r="V493" s="151" t="n">
        <x:v>20241015</x:v>
      </x:c>
      <x:c r="W493" s="17" t="str">
        <x:v>berkeley-llm-agents-mooc-fall-2024</x:v>
      </x:c>
    </x:row>
    <x:row r="494" ht="42" customHeight="1">
      <x:c r="A494" s="22" t="str">
        <x:v>ST-493</x:v>
      </x:c>
      <x:c r="B494" s="22" t="str">
        <x:v>Course</x:v>
      </x:c>
      <x:c r="C494" s="22" t="str">
        <x:v>Agent</x:v>
      </x:c>
      <x:c r="D494" s="17" t="str">
        <x:v>Agents / Tool Use / Reasoning</x:v>
      </x:c>
      <x:c r="E494" s="17" t="str">
        <x:v>Agents / Reasoning / Tool Use</x:v>
      </x:c>
      <x:c r="F494" s="23" t="str">
        <x:v>English</x:v>
      </x:c>
      <x:c r="G494" s="17" t="str">
        <x:v>CMU Advanced NLP Fall 2024 (15): Tool Use and LLM Agent Basics</x:v>
      </x:c>
      <x:c r="H494" s="17" t="str">
        <x:v>Graham Neubig</x:v>
      </x:c>
      <x:c r="I494" s="17" t="str">
        <x:v>Graham Neubig</x:v>
      </x:c>
      <x:c r="J494" s="23" t="str">
        <x:v>Course / Tutorial</x:v>
      </x:c>
      <x:c r="K494" s="24" t="n">
        <x:v>70</x:v>
      </x:c>
      <x:c r="L494" s="16" t="str">
        <x:v>https://www.youtube.com/watch?v=a3SjRsqV9ZA</x:v>
      </x:c>
      <x:c r="M494" s="22" t="str">
        <x:v>YouTube</x:v>
      </x:c>
      <x:c r="N494" s="25" t="n">
        <x:v>4126</x:v>
      </x:c>
      <x:c r="O494" s="23" t="str">
        <x:v>A | Official / Original Creator / Organizer</x:v>
      </x:c>
      <x:c r="P494" s="23" t="str">
        <x:v>Core</x:v>
      </x:c>
      <x:c r="Q494" s="23" t="str">
        <x:v>Verified</x:v>
      </x:c>
      <x:c r="R494" s="26" t="n">
        <x:v>46246</x:v>
      </x:c>
      <x:c r="S494" s="17" t="str">
        <x:v>Curated in the targeted ScholarTube expansion; official institution, conference, lab, course, or creator source.</x:v>
      </x:c>
      <x:c r="T494" s="16" t="str">
        <x:v>a3SjRsqV9ZA</x:v>
      </x:c>
      <x:c r="U494" s="17" t="str"/>
      <x:c r="V494" s="151"/>
      <x:c r="W494" s="17" t="str"/>
    </x:row>
    <x:row r="495" ht="42" customHeight="1">
      <x:c r="A495" s="22" t="str">
        <x:v>ST-494</x:v>
      </x:c>
      <x:c r="B495" s="22" t="str">
        <x:v>Course</x:v>
      </x:c>
      <x:c r="C495" s="22" t="str">
        <x:v>Agent</x:v>
      </x:c>
      <x:c r="D495" s="17" t="str">
        <x:v>Agents / Tool Use / Reasoning</x:v>
      </x:c>
      <x:c r="E495" s="17" t="str">
        <x:v>Agents / Reasoning / Tool Use</x:v>
      </x:c>
      <x:c r="F495" s="23" t="str">
        <x:v>English</x:v>
      </x:c>
      <x:c r="G495" s="17" t="str">
        <x:v>Harrison Chase - Agents Masterclass from LangChain Founder (LLM Bootcamp)</x:v>
      </x:c>
      <x:c r="H495" s="17" t="str">
        <x:v>Harrison Chase</x:v>
      </x:c>
      <x:c r="I495" s="17" t="str">
        <x:v>The Full Stack</x:v>
      </x:c>
      <x:c r="J495" s="23" t="str">
        <x:v>Course / Tutorial</x:v>
      </x:c>
      <x:c r="K495" s="24" t="n">
        <x:v>26</x:v>
      </x:c>
      <x:c r="L495" s="16" t="str">
        <x:v>https://www.youtube.com/watch?v=DWUdGhRrv2c</x:v>
      </x:c>
      <x:c r="M495" s="22" t="str">
        <x:v>YouTube</x:v>
      </x:c>
      <x:c r="N495" s="25" t="n">
        <x:v>48611</x:v>
      </x:c>
      <x:c r="O495" s="23" t="str">
        <x:v>B | University / Conference / Institution</x:v>
      </x:c>
      <x:c r="P495" s="23" t="str">
        <x:v>Recommended</x:v>
      </x:c>
      <x:c r="Q495" s="23" t="str">
        <x:v>Verified</x:v>
      </x:c>
      <x:c r="R495" s="26" t="n">
        <x:v>46246</x:v>
      </x:c>
      <x:c r="S495" s="17" t="str">
        <x:v>Curated in the targeted ScholarTube expansion; public metadata accessible and editorially reviewed.</x:v>
      </x:c>
      <x:c r="T495" s="16" t="str">
        <x:v>DWUdGhRrv2c</x:v>
      </x:c>
      <x:c r="U495" s="17" t="str"/>
      <x:c r="V495" s="151"/>
      <x:c r="W495" s="17" t="str"/>
    </x:row>
    <x:row r="496" ht="42" customHeight="1">
      <x:c r="A496" s="22" t="str">
        <x:v>ST-495</x:v>
      </x:c>
      <x:c r="B496" s="22" t="str">
        <x:v>Course</x:v>
      </x:c>
      <x:c r="C496" s="22" t="str">
        <x:v>Vision</x:v>
      </x:c>
      <x:c r="D496" s="17" t="str">
        <x:v>Computer Vision / 3D Vision</x:v>
      </x:c>
      <x:c r="E496" s="17" t="str">
        <x:v>Computer Vision / 3D Vision / Representation Learning</x:v>
      </x:c>
      <x:c r="F496" s="23" t="str">
        <x:v>English</x:v>
      </x:c>
      <x:c r="G496" s="17" t="str">
        <x:v>Deep Learning Bootcamp: Kaiming He</x:v>
      </x:c>
      <x:c r="H496" s="17" t="str">
        <x:v>Kaiming He</x:v>
      </x:c>
      <x:c r="I496" s="17" t="str">
        <x:v>MIT Schwarzman College of Computing</x:v>
      </x:c>
      <x:c r="J496" s="23" t="str">
        <x:v>Course / Tutorial</x:v>
      </x:c>
      <x:c r="K496" s="24" t="n">
        <x:v>76</x:v>
      </x:c>
      <x:c r="L496" s="16" t="str">
        <x:v>https://www.youtube.com/watch?v=D_jt-xO_RmI</x:v>
      </x:c>
      <x:c r="M496" s="22" t="str">
        <x:v>YouTube</x:v>
      </x:c>
      <x:c r="N496" s="25" t="n">
        <x:v>71166</x:v>
      </x:c>
      <x:c r="O496" s="23" t="str">
        <x:v>A | Official / Original Creator / Organizer</x:v>
      </x:c>
      <x:c r="P496" s="23" t="str">
        <x:v>Core</x:v>
      </x:c>
      <x:c r="Q496" s="23" t="str">
        <x:v>Verified</x:v>
      </x:c>
      <x:c r="R496" s="26" t="n">
        <x:v>46246</x:v>
      </x:c>
      <x:c r="S496" s="17" t="str">
        <x:v>Curated in the targeted ScholarTube expansion; official institution, conference, lab, course, or creator source.</x:v>
      </x:c>
      <x:c r="T496" s="16" t="str">
        <x:v>D_jt-xO_RmI</x:v>
      </x:c>
      <x:c r="U496" s="17" t="str"/>
      <x:c r="V496" s="151"/>
      <x:c r="W496" s="17" t="str"/>
    </x:row>
    <x:row r="497" ht="42" customHeight="1">
      <x:c r="A497" s="22" t="str">
        <x:v>ST-496</x:v>
      </x:c>
      <x:c r="B497" s="22" t="str">
        <x:v>Course</x:v>
      </x:c>
      <x:c r="C497" s="22" t="str">
        <x:v>Vision</x:v>
      </x:c>
      <x:c r="D497" s="17" t="str">
        <x:v>Computer Vision / 3D Vision</x:v>
      </x:c>
      <x:c r="E497" s="17" t="str">
        <x:v>Computer Vision / 3D Vision / Representation Learning</x:v>
      </x:c>
      <x:c r="F497" s="23" t="str">
        <x:v>English</x:v>
      </x:c>
      <x:c r="G497" s="17" t="str">
        <x:v>Tutorial: Deep Learning for Objects and Scenes - Part 1</x:v>
      </x:c>
      <x:c r="H497" s="17" t="str">
        <x:v>Kaiming He</x:v>
      </x:c>
      <x:c r="I497" s="17" t="str">
        <x:v>ComputerVisionFoundation Videos</x:v>
      </x:c>
      <x:c r="J497" s="23" t="str">
        <x:v>Course / Tutorial</x:v>
      </x:c>
      <x:c r="K497" s="24" t="n">
        <x:v>91</x:v>
      </x:c>
      <x:c r="L497" s="16" t="str">
        <x:v>https://www.youtube.com/watch?v=jHv37mKAhV4</x:v>
      </x:c>
      <x:c r="M497" s="22" t="str">
        <x:v>YouTube</x:v>
      </x:c>
      <x:c r="N497" s="25" t="n">
        <x:v>28472</x:v>
      </x:c>
      <x:c r="O497" s="23" t="str">
        <x:v>A | Official / Original Creator / Organizer</x:v>
      </x:c>
      <x:c r="P497" s="23" t="str">
        <x:v>Core</x:v>
      </x:c>
      <x:c r="Q497" s="23" t="str">
        <x:v>Verified</x:v>
      </x:c>
      <x:c r="R497" s="26" t="n">
        <x:v>46246</x:v>
      </x:c>
      <x:c r="S497" s="17" t="str">
        <x:v>Curated in the targeted ScholarTube expansion; official institution, conference, lab, course, or creator source.</x:v>
      </x:c>
      <x:c r="T497" s="16" t="str">
        <x:v>jHv37mKAhV4</x:v>
      </x:c>
      <x:c r="U497" s="17" t="str"/>
      <x:c r="V497" s="151"/>
      <x:c r="W497" s="17" t="str"/>
    </x:row>
    <x:row r="498" ht="42" customHeight="1">
      <x:c r="A498" s="22" t="str">
        <x:v>ST-497</x:v>
      </x:c>
      <x:c r="B498" s="22" t="str">
        <x:v>Talk</x:v>
      </x:c>
      <x:c r="C498" s="22" t="str">
        <x:v>Robotics</x:v>
      </x:c>
      <x:c r="D498" s="17" t="str">
        <x:v>Robotics / Embodied AI</x:v>
      </x:c>
      <x:c r="E498" s="17" t="str">
        <x:v>Robot Learning / Embodied AI / Control</x:v>
      </x:c>
      <x:c r="F498" s="23" t="str">
        <x:v>English</x:v>
      </x:c>
      <x:c r="G498" s="17" t="str">
        <x:v>Jitendra Malik: Vision and Robotics for Embodied AI</x:v>
      </x:c>
      <x:c r="H498" s="17" t="str">
        <x:v>Jitendra Malik</x:v>
      </x:c>
      <x:c r="I498" s="17" t="str">
        <x:v>Computer Vision and Geometry Group, ETH Zurich</x:v>
      </x:c>
      <x:c r="J498" s="23" t="str">
        <x:v>Academic Talk / Research Seminar</x:v>
      </x:c>
      <x:c r="K498" s="24" t="n">
        <x:v>51</x:v>
      </x:c>
      <x:c r="L498" s="16" t="str">
        <x:v>https://www.youtube.com/watch?v=HvDU7Vk4pbc</x:v>
      </x:c>
      <x:c r="M498" s="22" t="str">
        <x:v>YouTube</x:v>
      </x:c>
      <x:c r="N498" s="25" t="n">
        <x:v>8237</x:v>
      </x:c>
      <x:c r="O498" s="23" t="str">
        <x:v>B | University / Conference / Institution</x:v>
      </x:c>
      <x:c r="P498" s="23" t="str">
        <x:v>Recommended</x:v>
      </x:c>
      <x:c r="Q498" s="23" t="str">
        <x:v>Verified</x:v>
      </x:c>
      <x:c r="R498" s="26" t="n">
        <x:v>46246</x:v>
      </x:c>
      <x:c r="S498" s="17" t="str">
        <x:v>Curated in the targeted ScholarTube expansion; public metadata accessible and editorially reviewed.</x:v>
      </x:c>
      <x:c r="T498" s="16" t="str">
        <x:v>HvDU7Vk4pbc</x:v>
      </x:c>
      <x:c r="U498" s="17" t="str"/>
      <x:c r="V498" s="151"/>
      <x:c r="W498" s="17" t="str"/>
    </x:row>
    <x:row r="499" ht="42" customHeight="1">
      <x:c r="A499" s="22" t="str">
        <x:v>ST-498</x:v>
      </x:c>
      <x:c r="B499" s="22" t="str">
        <x:v>Course</x:v>
      </x:c>
      <x:c r="C499" s="22" t="str">
        <x:v>Vision</x:v>
      </x:c>
      <x:c r="D499" s="17" t="str">
        <x:v>Computer Vision / 3D Vision</x:v>
      </x:c>
      <x:c r="E499" s="17" t="str">
        <x:v>Computer Vision / 3D Vision / Representation Learning</x:v>
      </x:c>
      <x:c r="F499" s="23" t="str">
        <x:v>English</x:v>
      </x:c>
      <x:c r="G499" s="17" t="str">
        <x:v>PyTorch3D @ SIGGRAPH ASIA 2020 Course</x:v>
      </x:c>
      <x:c r="H499" s="17" t="str">
        <x:v>Georgia Gkioxari</x:v>
      </x:c>
      <x:c r="I499" s="17" t="str">
        <x:v>Georgia Gkioxari</x:v>
      </x:c>
      <x:c r="J499" s="23" t="str">
        <x:v>Course / Tutorial</x:v>
      </x:c>
      <x:c r="K499" s="24" t="n">
        <x:v>183</x:v>
      </x:c>
      <x:c r="L499" s="16" t="str">
        <x:v>https://www.youtube.com/watch?v=MOBAJb5nJRI</x:v>
      </x:c>
      <x:c r="M499" s="22" t="str">
        <x:v>YouTube</x:v>
      </x:c>
      <x:c r="N499" s="25" t="n">
        <x:v>23945</x:v>
      </x:c>
      <x:c r="O499" s="23" t="str">
        <x:v>B | University / Conference / Institution</x:v>
      </x:c>
      <x:c r="P499" s="23" t="str">
        <x:v>Recommended</x:v>
      </x:c>
      <x:c r="Q499" s="23" t="str">
        <x:v>Verified</x:v>
      </x:c>
      <x:c r="R499" s="26" t="n">
        <x:v>46246</x:v>
      </x:c>
      <x:c r="S499" s="17" t="str">
        <x:v>Curated in the targeted ScholarTube expansion; public metadata accessible and editorially reviewed.</x:v>
      </x:c>
      <x:c r="T499" s="16" t="str">
        <x:v>MOBAJb5nJRI</x:v>
      </x:c>
      <x:c r="U499" s="17" t="str"/>
      <x:c r="V499" s="151"/>
      <x:c r="W499" s="17" t="str"/>
    </x:row>
    <x:row r="500" ht="42" customHeight="1">
      <x:c r="A500" s="22" t="str">
        <x:v>ST-499</x:v>
      </x:c>
      <x:c r="B500" s="22" t="str">
        <x:v>Talk</x:v>
      </x:c>
      <x:c r="C500" s="22" t="str">
        <x:v>Vision</x:v>
      </x:c>
      <x:c r="D500" s="17" t="str">
        <x:v>Computer Vision / 3D Vision</x:v>
      </x:c>
      <x:c r="E500" s="17" t="str">
        <x:v>Computer Vision / 3D Vision / Representation Learning</x:v>
      </x:c>
      <x:c r="F500" s="23" t="str">
        <x:v>English</x:v>
      </x:c>
      <x:c r="G500" s="17" t="str">
        <x:v>MIT Robotics - Angjoo Kanazawa - Streaming Perception: Towards 4D Video Understanding for Robotics</x:v>
      </x:c>
      <x:c r="H500" s="17" t="str">
        <x:v>Angjoo Kanazawa</x:v>
      </x:c>
      <x:c r="I500" s="17" t="str">
        <x:v>MIT Robotics</x:v>
      </x:c>
      <x:c r="J500" s="23" t="str">
        <x:v>Academic Talk / Research Seminar</x:v>
      </x:c>
      <x:c r="K500" s="24" t="n">
        <x:v>57</x:v>
      </x:c>
      <x:c r="L500" s="16" t="str">
        <x:v>https://www.youtube.com/watch?v=Ap5jFj04p1g</x:v>
      </x:c>
      <x:c r="M500" s="22" t="str">
        <x:v>YouTube</x:v>
      </x:c>
      <x:c r="N500" s="25" t="n">
        <x:v>8125</x:v>
      </x:c>
      <x:c r="O500" s="23" t="str">
        <x:v>A | Official / Original Creator / Organizer</x:v>
      </x:c>
      <x:c r="P500" s="23" t="str">
        <x:v>Core</x:v>
      </x:c>
      <x:c r="Q500" s="23" t="str">
        <x:v>Verified</x:v>
      </x:c>
      <x:c r="R500" s="26" t="n">
        <x:v>46246</x:v>
      </x:c>
      <x:c r="S500" s="17" t="str">
        <x:v>Curated in the targeted ScholarTube expansion; official institution, conference, lab, course, or creator source.</x:v>
      </x:c>
      <x:c r="T500" s="16" t="str">
        <x:v>Ap5jFj04p1g</x:v>
      </x:c>
      <x:c r="U500" s="17" t="str"/>
      <x:c r="V500" s="151"/>
      <x:c r="W500" s="17" t="str"/>
    </x:row>
    <x:row r="501" ht="42" customHeight="1">
      <x:c r="A501" s="22" t="str">
        <x:v>ST-500</x:v>
      </x:c>
      <x:c r="B501" s="22" t="str">
        <x:v>Interview</x:v>
      </x:c>
      <x:c r="C501" s="22" t="str">
        <x:v>Robotics</x:v>
      </x:c>
      <x:c r="D501" s="17" t="str">
        <x:v>Robotics / Embodied AI</x:v>
      </x:c>
      <x:c r="E501" s="17" t="str">
        <x:v>Robot Learning / Embodied AI / Control</x:v>
      </x:c>
      <x:c r="F501" s="23" t="str">
        <x:v>English</x:v>
      </x:c>
      <x:c r="G501" s="17" t="str">
        <x:v>Fully autonomous robots are much closer than you think – Sergey Levine</x:v>
      </x:c>
      <x:c r="H501" s="17" t="str">
        <x:v>Sergey Levine</x:v>
      </x:c>
      <x:c r="I501" s="17" t="str">
        <x:v>Dwarkesh Patel</x:v>
      </x:c>
      <x:c r="J501" s="23" t="str">
        <x:v>Research Interview</x:v>
      </x:c>
      <x:c r="K501" s="24" t="n">
        <x:v>88</x:v>
      </x:c>
      <x:c r="L501" s="16" t="str">
        <x:v>https://www.youtube.com/watch?v=48pxVdmkMIE</x:v>
      </x:c>
      <x:c r="M501" s="22" t="str">
        <x:v>YouTube</x:v>
      </x:c>
      <x:c r="N501" s="25" t="n">
        <x:v>264366</x:v>
      </x:c>
      <x:c r="O501" s="23" t="str">
        <x:v>B | University / Conference / Institution</x:v>
      </x:c>
      <x:c r="P501" s="23" t="str">
        <x:v>Recommended</x:v>
      </x:c>
      <x:c r="Q501" s="23" t="str">
        <x:v>Verified</x:v>
      </x:c>
      <x:c r="R501" s="26" t="n">
        <x:v>46246</x:v>
      </x:c>
      <x:c r="S501" s="17" t="str">
        <x:v>Curated in the targeted ScholarTube expansion; public metadata accessible and editorially reviewed.</x:v>
      </x:c>
      <x:c r="T501" s="16" t="str">
        <x:v>48pxVdmkMIE</x:v>
      </x:c>
      <x:c r="U501" s="17" t="str">
        <x:v>Dwarkesh Patel Interviews</x:v>
      </x:c>
      <x:c r="V501" s="151" t="n">
        <x:v>20250912</x:v>
      </x:c>
      <x:c r="W501" s="17" t="str">
        <x:v>dwarkesh-patel-interviews</x:v>
      </x:c>
    </x:row>
    <x:row r="502" ht="42" customHeight="1">
      <x:c r="A502" s="22" t="str">
        <x:v>ST-501</x:v>
      </x:c>
      <x:c r="B502" s="22" t="str">
        <x:v>Talk</x:v>
      </x:c>
      <x:c r="C502" s="22" t="str">
        <x:v>Robotics</x:v>
      </x:c>
      <x:c r="D502" s="17" t="str">
        <x:v>Robotics / Embodied AI</x:v>
      </x:c>
      <x:c r="E502" s="17" t="str">
        <x:v>Robot Learning / Embodied AI / Control</x:v>
      </x:c>
      <x:c r="F502" s="23" t="str">
        <x:v>English</x:v>
      </x:c>
      <x:c r="G502" s="17" t="str">
        <x:v>RI Seminar: Yuke Zhu : Toward Generalist Humanoid Robots</x:v>
      </x:c>
      <x:c r="H502" s="17" t="str">
        <x:v>Yuke Zhu</x:v>
      </x:c>
      <x:c r="I502" s="17" t="str">
        <x:v>CMU Robotics Institute</x:v>
      </x:c>
      <x:c r="J502" s="23" t="str">
        <x:v>Academic Talk / Research Seminar</x:v>
      </x:c>
      <x:c r="K502" s="24" t="n">
        <x:v>78</x:v>
      </x:c>
      <x:c r="L502" s="16" t="str">
        <x:v>https://www.youtube.com/watch?v=49LnlfM9DBU</x:v>
      </x:c>
      <x:c r="M502" s="22" t="str">
        <x:v>YouTube</x:v>
      </x:c>
      <x:c r="N502" s="25" t="n">
        <x:v>35233</x:v>
      </x:c>
      <x:c r="O502" s="23" t="str">
        <x:v>A | Official / Original Creator / Organizer</x:v>
      </x:c>
      <x:c r="P502" s="23" t="str">
        <x:v>Core</x:v>
      </x:c>
      <x:c r="Q502" s="23" t="str">
        <x:v>Verified</x:v>
      </x:c>
      <x:c r="R502" s="26" t="n">
        <x:v>46246</x:v>
      </x:c>
      <x:c r="S502" s="17" t="str">
        <x:v>Curated in the targeted ScholarTube expansion; official institution, conference, lab, course, or creator source.</x:v>
      </x:c>
      <x:c r="T502" s="16" t="str">
        <x:v>49LnlfM9DBU</x:v>
      </x:c>
      <x:c r="U502" s="17" t="str"/>
      <x:c r="V502" s="151"/>
      <x:c r="W502" s="17" t="str"/>
    </x:row>
    <x:row r="503" ht="42" customHeight="1">
      <x:c r="A503" s="22" t="str">
        <x:v>ST-502</x:v>
      </x:c>
      <x:c r="B503" s="22" t="str">
        <x:v>Talk</x:v>
      </x:c>
      <x:c r="C503" s="22" t="str">
        <x:v>Robotics</x:v>
      </x:c>
      <x:c r="D503" s="17" t="str">
        <x:v>Robotics / Embodied AI</x:v>
      </x:c>
      <x:c r="E503" s="17" t="str">
        <x:v>Robot Learning / Embodied AI / Control</x:v>
      </x:c>
      <x:c r="F503" s="23" t="str">
        <x:v>English</x:v>
      </x:c>
      <x:c r="G503" s="17" t="str">
        <x:v>MIT Robotics - Marco Hutter - Robots in the wild</x:v>
      </x:c>
      <x:c r="H503" s="17" t="str">
        <x:v>Marco Hutter</x:v>
      </x:c>
      <x:c r="I503" s="17" t="str">
        <x:v>MIT Robotics</x:v>
      </x:c>
      <x:c r="J503" s="23" t="str">
        <x:v>Academic Talk / Research Seminar</x:v>
      </x:c>
      <x:c r="K503" s="24" t="n">
        <x:v>50</x:v>
      </x:c>
      <x:c r="L503" s="16" t="str">
        <x:v>https://www.youtube.com/watch?v=24uTRT32Cyw</x:v>
      </x:c>
      <x:c r="M503" s="22" t="str">
        <x:v>YouTube</x:v>
      </x:c>
      <x:c r="N503" s="25" t="n">
        <x:v>12875</x:v>
      </x:c>
      <x:c r="O503" s="23" t="str">
        <x:v>A | Official / Original Creator / Organizer</x:v>
      </x:c>
      <x:c r="P503" s="23" t="str">
        <x:v>Core</x:v>
      </x:c>
      <x:c r="Q503" s="23" t="str">
        <x:v>Verified</x:v>
      </x:c>
      <x:c r="R503" s="26" t="n">
        <x:v>46246</x:v>
      </x:c>
      <x:c r="S503" s="17" t="str">
        <x:v>Curated in the targeted ScholarTube expansion; official institution, conference, lab, course, or creator source.</x:v>
      </x:c>
      <x:c r="T503" s="16" t="str">
        <x:v>24uTRT32Cyw</x:v>
      </x:c>
      <x:c r="U503" s="17" t="str"/>
      <x:c r="V503" s="151"/>
      <x:c r="W503" s="17" t="str"/>
    </x:row>
    <x:row r="504" ht="42" customHeight="1">
      <x:c r="A504" s="22" t="str">
        <x:v>ST-503</x:v>
      </x:c>
      <x:c r="B504" s="22" t="str">
        <x:v>Talk</x:v>
      </x:c>
      <x:c r="C504" s="22" t="str">
        <x:v>Robotics</x:v>
      </x:c>
      <x:c r="D504" s="17" t="str">
        <x:v>Robotics / Embodied AI</x:v>
      </x:c>
      <x:c r="E504" s="17" t="str">
        <x:v>Robot Learning / Embodied AI / Control</x:v>
      </x:c>
      <x:c r="F504" s="23" t="str">
        <x:v>English</x:v>
      </x:c>
      <x:c r="G504" s="17" t="str">
        <x:v>RI Seminar: Chelsea Finn : Robots Should Reduce, Reuse, and Recycle</x:v>
      </x:c>
      <x:c r="H504" s="17" t="str">
        <x:v>Chelsea Finn</x:v>
      </x:c>
      <x:c r="I504" s="17" t="str">
        <x:v>CMU Robotics Institute</x:v>
      </x:c>
      <x:c r="J504" s="23" t="str">
        <x:v>Academic Talk / Research Seminar</x:v>
      </x:c>
      <x:c r="K504" s="24" t="n">
        <x:v>72</x:v>
      </x:c>
      <x:c r="L504" s="16" t="str">
        <x:v>https://www.youtube.com/watch?v=m8pQeXe7J0w</x:v>
      </x:c>
      <x:c r="M504" s="22" t="str">
        <x:v>YouTube</x:v>
      </x:c>
      <x:c r="N504" s="25" t="n">
        <x:v>10562</x:v>
      </x:c>
      <x:c r="O504" s="23" t="str">
        <x:v>A | Official / Original Creator / Organizer</x:v>
      </x:c>
      <x:c r="P504" s="23" t="str">
        <x:v>Core</x:v>
      </x:c>
      <x:c r="Q504" s="23" t="str">
        <x:v>Verified</x:v>
      </x:c>
      <x:c r="R504" s="26" t="n">
        <x:v>46246</x:v>
      </x:c>
      <x:c r="S504" s="17" t="str">
        <x:v>Curated in the targeted ScholarTube expansion; official institution, conference, lab, course, or creator source.</x:v>
      </x:c>
      <x:c r="T504" s="16" t="str">
        <x:v>m8pQeXe7J0w</x:v>
      </x:c>
      <x:c r="U504" s="17" t="str"/>
      <x:c r="V504" s="151"/>
      <x:c r="W504" s="17" t="str"/>
    </x:row>
    <x:row r="505" ht="42" customHeight="1">
      <x:c r="A505" s="22" t="str">
        <x:v>ST-504</x:v>
      </x:c>
      <x:c r="B505" s="22" t="str">
        <x:v>Talk</x:v>
      </x:c>
      <x:c r="C505" s="22" t="str">
        <x:v>Robotics</x:v>
      </x:c>
      <x:c r="D505" s="17" t="str">
        <x:v>Robotics / Embodied AI</x:v>
      </x:c>
      <x:c r="E505" s="17" t="str">
        <x:v>Robot Learning / Embodied AI / Control</x:v>
      </x:c>
      <x:c r="F505" s="23" t="str">
        <x:v>English</x:v>
      </x:c>
      <x:c r="G505" s="17" t="str">
        <x:v>Chelsea Finn: Building Robots That Can Do Anything</x:v>
      </x:c>
      <x:c r="H505" s="17" t="str">
        <x:v>Chelsea Finn</x:v>
      </x:c>
      <x:c r="I505" s="17" t="str">
        <x:v>Y Combinator</x:v>
      </x:c>
      <x:c r="J505" s="23" t="str">
        <x:v>Academic Talk / Research Seminar</x:v>
      </x:c>
      <x:c r="K505" s="24" t="n">
        <x:v>45</x:v>
      </x:c>
      <x:c r="L505" s="16" t="str">
        <x:v>https://www.youtube.com/watch?v=a8-QsBHoH94</x:v>
      </x:c>
      <x:c r="M505" s="22" t="str">
        <x:v>YouTube</x:v>
      </x:c>
      <x:c r="N505" s="25" t="n">
        <x:v>101354</x:v>
      </x:c>
      <x:c r="O505" s="23" t="str">
        <x:v>B | University / Conference / Institution</x:v>
      </x:c>
      <x:c r="P505" s="23" t="str">
        <x:v>Recommended</x:v>
      </x:c>
      <x:c r="Q505" s="23" t="str">
        <x:v>Verified</x:v>
      </x:c>
      <x:c r="R505" s="26" t="n">
        <x:v>46246</x:v>
      </x:c>
      <x:c r="S505" s="17" t="str">
        <x:v>Curated in the targeted ScholarTube expansion; public metadata accessible and editorially reviewed.</x:v>
      </x:c>
      <x:c r="T505" s="16" t="str">
        <x:v>a8-QsBHoH94</x:v>
      </x:c>
      <x:c r="U505" s="17" t="str"/>
      <x:c r="V505" s="151"/>
      <x:c r="W505" s="17" t="str"/>
    </x:row>
    <x:row r="506" ht="42" customHeight="1">
      <x:c r="A506" s="22" t="str">
        <x:v>ST-505</x:v>
      </x:c>
      <x:c r="B506" s="22" t="str">
        <x:v>Talk</x:v>
      </x:c>
      <x:c r="C506" s="22" t="str">
        <x:v>Robotics</x:v>
      </x:c>
      <x:c r="D506" s="17" t="str">
        <x:v>Robotics / Embodied AI</x:v>
      </x:c>
      <x:c r="E506" s="17" t="str">
        <x:v>Robot Learning / Embodied AI / Control</x:v>
      </x:c>
      <x:c r="F506" s="23" t="str">
        <x:v>English</x:v>
      </x:c>
      <x:c r="G506" s="17" t="str">
        <x:v>Shuran Song: Making Manipulation as Simple as Possible but Not Simpler</x:v>
      </x:c>
      <x:c r="H506" s="17" t="str">
        <x:v>Shuran Song</x:v>
      </x:c>
      <x:c r="I506" s="17" t="str">
        <x:v>Computer Vision and Geometry Group, ETH Zurich</x:v>
      </x:c>
      <x:c r="J506" s="23" t="str">
        <x:v>Academic Talk / Research Seminar</x:v>
      </x:c>
      <x:c r="K506" s="24" t="n">
        <x:v>42</x:v>
      </x:c>
      <x:c r="L506" s="16" t="str">
        <x:v>https://www.youtube.com/watch?v=yzcokjCa18s</x:v>
      </x:c>
      <x:c r="M506" s="22" t="str">
        <x:v>YouTube</x:v>
      </x:c>
      <x:c r="N506" s="25" t="n">
        <x:v>4136</x:v>
      </x:c>
      <x:c r="O506" s="23" t="str">
        <x:v>B | University / Conference / Institution</x:v>
      </x:c>
      <x:c r="P506" s="23" t="str">
        <x:v>Recommended</x:v>
      </x:c>
      <x:c r="Q506" s="23" t="str">
        <x:v>Verified</x:v>
      </x:c>
      <x:c r="R506" s="26" t="n">
        <x:v>46246</x:v>
      </x:c>
      <x:c r="S506" s="17" t="str">
        <x:v>Curated in the targeted ScholarTube expansion; public metadata accessible and editorially reviewed.</x:v>
      </x:c>
      <x:c r="T506" s="16" t="str">
        <x:v>yzcokjCa18s</x:v>
      </x:c>
      <x:c r="U506" s="17" t="str"/>
      <x:c r="V506" s="151"/>
      <x:c r="W506" s="17" t="str"/>
    </x:row>
    <x:row r="507" ht="42" customHeight="1">
      <x:c r="A507" s="22" t="str">
        <x:v>ST-506</x:v>
      </x:c>
      <x:c r="B507" s="22" t="str">
        <x:v>Talk</x:v>
      </x:c>
      <x:c r="C507" s="22" t="str">
        <x:v>Robotics</x:v>
      </x:c>
      <x:c r="D507" s="17" t="str">
        <x:v>Robotics / Embodied AI</x:v>
      </x:c>
      <x:c r="E507" s="17" t="str">
        <x:v>Robot Learning / Embodied AI / Control</x:v>
      </x:c>
      <x:c r="F507" s="23" t="str">
        <x:v>English</x:v>
      </x:c>
      <x:c r="G507" s="17" t="str">
        <x:v>MIT Robotics - Pulkit Agrawal - Coming of Age of Robot Learning</x:v>
      </x:c>
      <x:c r="H507" s="17" t="str">
        <x:v>Pulkit Agrawal</x:v>
      </x:c>
      <x:c r="I507" s="17" t="str">
        <x:v>MIT Robotics</x:v>
      </x:c>
      <x:c r="J507" s="23" t="str">
        <x:v>Academic Talk / Research Seminar</x:v>
      </x:c>
      <x:c r="K507" s="24" t="n">
        <x:v>65</x:v>
      </x:c>
      <x:c r="L507" s="16" t="str">
        <x:v>https://www.youtube.com/watch?v=TWx7LmiOyzA</x:v>
      </x:c>
      <x:c r="M507" s="22" t="str">
        <x:v>YouTube</x:v>
      </x:c>
      <x:c r="N507" s="25" t="n">
        <x:v>4249</x:v>
      </x:c>
      <x:c r="O507" s="23" t="str">
        <x:v>A | Official / Original Creator / Organizer</x:v>
      </x:c>
      <x:c r="P507" s="23" t="str">
        <x:v>Core</x:v>
      </x:c>
      <x:c r="Q507" s="23" t="str">
        <x:v>Verified</x:v>
      </x:c>
      <x:c r="R507" s="26" t="n">
        <x:v>46246</x:v>
      </x:c>
      <x:c r="S507" s="17" t="str">
        <x:v>Curated in the targeted ScholarTube expansion; official institution, conference, lab, course, or creator source.</x:v>
      </x:c>
      <x:c r="T507" s="16" t="str">
        <x:v>TWx7LmiOyzA</x:v>
      </x:c>
      <x:c r="U507" s="17" t="str"/>
      <x:c r="V507" s="151"/>
      <x:c r="W507" s="17" t="str"/>
    </x:row>
    <x:row r="508" ht="42" customHeight="1">
      <x:c r="A508" s="22" t="str">
        <x:v>ST-507</x:v>
      </x:c>
      <x:c r="B508" s="22" t="str">
        <x:v>Talk</x:v>
      </x:c>
      <x:c r="C508" s="22" t="str">
        <x:v>Robotics</x:v>
      </x:c>
      <x:c r="D508" s="17" t="str">
        <x:v>Robotics / Embodied AI</x:v>
      </x:c>
      <x:c r="E508" s="17" t="str">
        <x:v>Robot Learning / Embodied AI / Control</x:v>
      </x:c>
      <x:c r="F508" s="23" t="str">
        <x:v>English</x:v>
      </x:c>
      <x:c r="G508" s="17" t="str">
        <x:v>Russ Tedrake, MIT and Toyota Research Institute: "Large Behavior Models for Dexterous Manipulation"</x:v>
      </x:c>
      <x:c r="H508" s="17" t="str">
        <x:v>Russ Tedrake</x:v>
      </x:c>
      <x:c r="I508" s="17" t="str">
        <x:v>Northwestern Robotics</x:v>
      </x:c>
      <x:c r="J508" s="23" t="str">
        <x:v>Academic Talk / Research Seminar</x:v>
      </x:c>
      <x:c r="K508" s="24" t="n">
        <x:v>62</x:v>
      </x:c>
      <x:c r="L508" s="16" t="str">
        <x:v>https://www.youtube.com/watch?v=y05L6pYWBc0</x:v>
      </x:c>
      <x:c r="M508" s="22" t="str">
        <x:v>YouTube</x:v>
      </x:c>
      <x:c r="N508" s="25" t="n">
        <x:v>5818</x:v>
      </x:c>
      <x:c r="O508" s="23" t="str">
        <x:v>A | Official / Original Creator / Organizer</x:v>
      </x:c>
      <x:c r="P508" s="23" t="str">
        <x:v>Core</x:v>
      </x:c>
      <x:c r="Q508" s="23" t="str">
        <x:v>Verified</x:v>
      </x:c>
      <x:c r="R508" s="26" t="n">
        <x:v>46246</x:v>
      </x:c>
      <x:c r="S508" s="17" t="str">
        <x:v>Curated in the targeted ScholarTube expansion; official institution, conference, lab, course, or creator source.</x:v>
      </x:c>
      <x:c r="T508" s="16" t="str">
        <x:v>y05L6pYWBc0</x:v>
      </x:c>
      <x:c r="U508" s="17" t="str"/>
      <x:c r="V508" s="151"/>
      <x:c r="W508" s="17" t="str"/>
    </x:row>
    <x:row r="509" ht="42" customHeight="1">
      <x:c r="A509" s="22" t="str">
        <x:v>ST-508</x:v>
      </x:c>
      <x:c r="B509" s="22" t="str">
        <x:v>Talk</x:v>
      </x:c>
      <x:c r="C509" s="22" t="str">
        <x:v>Robotics</x:v>
      </x:c>
      <x:c r="D509" s="17" t="str">
        <x:v>Robotics / Embodied AI</x:v>
      </x:c>
      <x:c r="E509" s="17" t="str">
        <x:v>Robot Learning / Embodied AI / Control</x:v>
      </x:c>
      <x:c r="F509" s="23" t="str">
        <x:v>English</x:v>
      </x:c>
      <x:c r="G509" s="17" t="str">
        <x:v>Daniela Rus: Physical AI</x:v>
      </x:c>
      <x:c r="H509" s="17" t="str">
        <x:v>Daniela Rus</x:v>
      </x:c>
      <x:c r="I509" s="17" t="str">
        <x:v>Stanford Digital Economy Lab</x:v>
      </x:c>
      <x:c r="J509" s="23" t="str">
        <x:v>Academic Talk / Research Seminar</x:v>
      </x:c>
      <x:c r="K509" s="24" t="n">
        <x:v>61</x:v>
      </x:c>
      <x:c r="L509" s="16" t="str">
        <x:v>https://www.youtube.com/watch?v=cAdbblq5DI8</x:v>
      </x:c>
      <x:c r="M509" s="22" t="str">
        <x:v>YouTube</x:v>
      </x:c>
      <x:c r="N509" s="25" t="n">
        <x:v>4018</x:v>
      </x:c>
      <x:c r="O509" s="23" t="str">
        <x:v>A | Official / Original Creator / Organizer</x:v>
      </x:c>
      <x:c r="P509" s="23" t="str">
        <x:v>Core</x:v>
      </x:c>
      <x:c r="Q509" s="23" t="str">
        <x:v>Verified</x:v>
      </x:c>
      <x:c r="R509" s="26" t="n">
        <x:v>46246</x:v>
      </x:c>
      <x:c r="S509" s="17" t="str">
        <x:v>Curated in the targeted ScholarTube expansion; official institution, conference, lab, course, or creator source.</x:v>
      </x:c>
      <x:c r="T509" s="16" t="str">
        <x:v>cAdbblq5DI8</x:v>
      </x:c>
      <x:c r="U509" s="17" t="str"/>
      <x:c r="V509" s="151"/>
      <x:c r="W509" s="17" t="str"/>
    </x:row>
    <x:row r="510" ht="42" customHeight="1">
      <x:c r="A510" s="22" t="str">
        <x:v>ST-509</x:v>
      </x:c>
      <x:c r="B510" s="22" t="str">
        <x:v>Talk</x:v>
      </x:c>
      <x:c r="C510" s="22" t="str">
        <x:v>Agent</x:v>
      </x:c>
      <x:c r="D510" s="17" t="str">
        <x:v>Agents / Tool Use / Reasoning</x:v>
      </x:c>
      <x:c r="E510" s="17" t="str">
        <x:v>Agents / Reasoning / Tool Use</x:v>
      </x:c>
      <x:c r="F510" s="23" t="str">
        <x:v>Chinese</x:v>
      </x:c>
      <x:c r="G510" s="17" t="str">
        <x:v>田渊栋博士：传统符号推理和大模型推理的融合之路</x:v>
      </x:c>
      <x:c r="H510" s="17" t="str">
        <x:v>Yuandong Tian</x:v>
      </x:c>
      <x:c r="I510" s="17" t="str">
        <x:v>AITIME论道</x:v>
      </x:c>
      <x:c r="J510" s="23" t="str">
        <x:v>Academic Talk / Research Seminar</x:v>
      </x:c>
      <x:c r="K510" s="24" t="n">
        <x:v>55</x:v>
      </x:c>
      <x:c r="L510" s="16" t="str">
        <x:v>https://www.bilibili.com/video/BV1vGmRYgEod</x:v>
      </x:c>
      <x:c r="M510" s="22" t="str">
        <x:v>Bilibili</x:v>
      </x:c>
      <x:c r="N510" s="25" t="n">
        <x:v>9390</x:v>
      </x:c>
      <x:c r="O510" s="23" t="str">
        <x:v>A | Official / Original Creator / Organizer</x:v>
      </x:c>
      <x:c r="P510" s="23" t="str">
        <x:v>Core</x:v>
      </x:c>
      <x:c r="Q510" s="23" t="str">
        <x:v>Verified</x:v>
      </x:c>
      <x:c r="R510" s="26" t="n">
        <x:v>46246</x:v>
      </x:c>
      <x:c r="S510" s="17" t="str">
        <x:v>Curated in the targeted ScholarTube expansion; official institution, conference, lab, course, or creator source.</x:v>
      </x:c>
      <x:c r="T510" s="16" t="str">
        <x:v>BV1vGmRYgEod</x:v>
      </x:c>
      <x:c r="U510" s="17" t="str"/>
      <x:c r="V510" s="151"/>
      <x:c r="W510" s="17" t="str"/>
    </x:row>
    <x:row r="511" ht="42" customHeight="1">
      <x:c r="A511" s="22" t="str">
        <x:v>ST-510</x:v>
      </x:c>
      <x:c r="B511" s="22" t="str">
        <x:v>Talk</x:v>
      </x:c>
      <x:c r="C511" s="22" t="str">
        <x:v>World Model</x:v>
      </x:c>
      <x:c r="D511" s="17" t="str">
        <x:v>World Models / Predictive Intelligence</x:v>
      </x:c>
      <x:c r="E511" s="17" t="str">
        <x:v>World Models / Spatial Intelligence</x:v>
      </x:c>
      <x:c r="F511" s="23" t="str">
        <x:v>Chinese</x:v>
      </x:c>
      <x:c r="G511" s="17" t="str">
        <x:v>田渊栋：表征学习的利用与理解</x:v>
      </x:c>
      <x:c r="H511" s="17" t="str">
        <x:v>Yuandong Tian</x:v>
      </x:c>
      <x:c r="I511" s="17" t="str">
        <x:v>机器之心官方</x:v>
      </x:c>
      <x:c r="J511" s="23" t="str">
        <x:v>Academic Talk / Research Seminar</x:v>
      </x:c>
      <x:c r="K511" s="24" t="n">
        <x:v>32</x:v>
      </x:c>
      <x:c r="L511" s="16" t="str">
        <x:v>https://www.bilibili.com/video/BV1jg411Z7mW</x:v>
      </x:c>
      <x:c r="M511" s="22" t="str">
        <x:v>Bilibili</x:v>
      </x:c>
      <x:c r="N511" s="25" t="n">
        <x:v>6645</x:v>
      </x:c>
      <x:c r="O511" s="23" t="str">
        <x:v>A | Official / Original Creator / Organizer</x:v>
      </x:c>
      <x:c r="P511" s="23" t="str">
        <x:v>Core</x:v>
      </x:c>
      <x:c r="Q511" s="23" t="str">
        <x:v>Verified</x:v>
      </x:c>
      <x:c r="R511" s="26" t="n">
        <x:v>46246</x:v>
      </x:c>
      <x:c r="S511" s="17" t="str">
        <x:v>Curated in the targeted ScholarTube expansion; official institution, conference, lab, course, or creator source.</x:v>
      </x:c>
      <x:c r="T511" s="16" t="str">
        <x:v>BV1jg411Z7mW</x:v>
      </x:c>
      <x:c r="U511" s="17" t="str"/>
      <x:c r="V511" s="151"/>
      <x:c r="W511" s="17" t="str"/>
    </x:row>
    <x:row r="512" ht="42" customHeight="1">
      <x:c r="A512" s="22" t="str">
        <x:v>ST-511</x:v>
      </x:c>
      <x:c r="B512" s="22" t="str">
        <x:v>Talk</x:v>
      </x:c>
      <x:c r="C512" s="22" t="str">
        <x:v>Vision</x:v>
      </x:c>
      <x:c r="D512" s="17" t="str">
        <x:v>Computer Vision / 3D Vision</x:v>
      </x:c>
      <x:c r="E512" s="17" t="str">
        <x:v>Computer Vision / 3D Vision / Representation Learning</x:v>
      </x:c>
      <x:c r="F512" s="23" t="str">
        <x:v>Chinese</x:v>
      </x:c>
      <x:c r="G512" s="17" t="str">
        <x:v>20220608特邀报告【如何更好地理解对比学习】田渊栋 (Meta AI Research (FAIR))</x:v>
      </x:c>
      <x:c r="H512" s="17" t="str">
        <x:v>Yuandong Tian</x:v>
      </x:c>
      <x:c r="I512" s="17" t="str">
        <x:v>VALSE_Webinar</x:v>
      </x:c>
      <x:c r="J512" s="23" t="str">
        <x:v>Academic Talk / Research Seminar</x:v>
      </x:c>
      <x:c r="K512" s="24" t="n">
        <x:v>74</x:v>
      </x:c>
      <x:c r="L512" s="16" t="str">
        <x:v>https://www.bilibili.com/video/BV1CS4y1i7ct</x:v>
      </x:c>
      <x:c r="M512" s="22" t="str">
        <x:v>Bilibili</x:v>
      </x:c>
      <x:c r="N512" s="25" t="n">
        <x:v>5479</x:v>
      </x:c>
      <x:c r="O512" s="23" t="str">
        <x:v>A | Official / Original Creator / Organizer</x:v>
      </x:c>
      <x:c r="P512" s="23" t="str">
        <x:v>Core</x:v>
      </x:c>
      <x:c r="Q512" s="23" t="str">
        <x:v>Verified</x:v>
      </x:c>
      <x:c r="R512" s="26" t="n">
        <x:v>46246</x:v>
      </x:c>
      <x:c r="S512" s="17" t="str">
        <x:v>Curated in the targeted ScholarTube expansion; official institution, conference, lab, course, or creator source.</x:v>
      </x:c>
      <x:c r="T512" s="16" t="str">
        <x:v>BV1CS4y1i7ct</x:v>
      </x:c>
      <x:c r="U512" s="17" t="str"/>
      <x:c r="V512" s="151"/>
      <x:c r="W512" s="17" t="str"/>
    </x:row>
    <x:row r="513" ht="42" customHeight="1">
      <x:c r="A513" s="22" t="str">
        <x:v>ST-512</x:v>
      </x:c>
      <x:c r="B513" s="22" t="str">
        <x:v>Interview</x:v>
      </x:c>
      <x:c r="C513" s="22" t="str">
        <x:v>Agent</x:v>
      </x:c>
      <x:c r="D513" s="17" t="str">
        <x:v>Agents / Tool Use / Reasoning</x:v>
      </x:c>
      <x:c r="E513" s="17" t="str">
        <x:v>Agents / Reasoning / Tool Use</x:v>
      </x:c>
      <x:c r="F513" s="23" t="str">
        <x:v>Chinese</x:v>
      </x:c>
      <x:c r="G513" s="17" t="str">
        <x:v>专访前FAIR研究总监田渊栋：Meta裁员之后，对AI的一些遗憾与思考</x:v>
      </x:c>
      <x:c r="H513" s="17" t="str">
        <x:v>Yuandong Tian</x:v>
      </x:c>
      <x:c r="I513" s="17" t="str">
        <x:v>硅谷101</x:v>
      </x:c>
      <x:c r="J513" s="23" t="str">
        <x:v>Research Interview</x:v>
      </x:c>
      <x:c r="K513" s="24" t="n">
        <x:v>39</x:v>
      </x:c>
      <x:c r="L513" s="16" t="str">
        <x:v>https://www.bilibili.com/video/BV1KpCFBSEc6</x:v>
      </x:c>
      <x:c r="M513" s="22" t="str">
        <x:v>Bilibili</x:v>
      </x:c>
      <x:c r="N513" s="25" t="n">
        <x:v>166695</x:v>
      </x:c>
      <x:c r="O513" s="23" t="str">
        <x:v>A | Official / Original Creator / Organizer</x:v>
      </x:c>
      <x:c r="P513" s="23" t="str">
        <x:v>Core</x:v>
      </x:c>
      <x:c r="Q513" s="23" t="str">
        <x:v>Verified</x:v>
      </x:c>
      <x:c r="R513" s="26" t="n">
        <x:v>46246</x:v>
      </x:c>
      <x:c r="S513" s="17" t="str">
        <x:v>Curated in the targeted ScholarTube expansion; official institution, conference, lab, course, or creator source.</x:v>
      </x:c>
      <x:c r="T513" s="16" t="str">
        <x:v>BV1KpCFBSEc6</x:v>
      </x:c>
      <x:c r="U513" s="17" t="str">
        <x:v>硅谷101｜AI Conversations</x:v>
      </x:c>
      <x:c r="V513" s="151" t="n">
        <x:v>20251110</x:v>
      </x:c>
      <x:c r="W513" s="17" t="str">
        <x:v>silicon-valley-101-ai-conversations</x:v>
      </x:c>
    </x:row>
    <x:row r="514" ht="42" customHeight="1">
      <x:c r="A514" s="22" t="str">
        <x:v>ST-513</x:v>
      </x:c>
      <x:c r="B514" s="22" t="str">
        <x:v>Talk</x:v>
      </x:c>
      <x:c r="C514" s="22" t="str">
        <x:v>Agent</x:v>
      </x:c>
      <x:c r="D514" s="17" t="str">
        <x:v>Agents / Tool Use / Reasoning</x:v>
      </x:c>
      <x:c r="E514" s="17" t="str">
        <x:v>Agents / Reasoning / Tool Use</x:v>
      </x:c>
      <x:c r="F514" s="23" t="str">
        <x:v>Chinese</x:v>
      </x:c>
      <x:c r="G514" s="17" t="str">
        <x:v>将门创投 | Facebook人工智能研究院田渊栋：搭建强化学习的可扩展框架</x:v>
      </x:c>
      <x:c r="H514" s="17" t="str">
        <x:v>Yuandong Tian</x:v>
      </x:c>
      <x:c r="I514" s="17" t="str">
        <x:v>TechBeat人工智能社区</x:v>
      </x:c>
      <x:c r="J514" s="23" t="str">
        <x:v>Academic Talk / Research Seminar</x:v>
      </x:c>
      <x:c r="K514" s="24" t="n">
        <x:v>107</x:v>
      </x:c>
      <x:c r="L514" s="16" t="str">
        <x:v>https://www.bilibili.com/video/BV1fs411K7rq</x:v>
      </x:c>
      <x:c r="M514" s="22" t="str">
        <x:v>Bilibili</x:v>
      </x:c>
      <x:c r="N514" s="25" t="n">
        <x:v>2175</x:v>
      </x:c>
      <x:c r="O514" s="23" t="str">
        <x:v>B | University / Conference / Institution</x:v>
      </x:c>
      <x:c r="P514" s="23" t="str">
        <x:v>Recommended</x:v>
      </x:c>
      <x:c r="Q514" s="23" t="str">
        <x:v>Verified</x:v>
      </x:c>
      <x:c r="R514" s="26" t="n">
        <x:v>46246</x:v>
      </x:c>
      <x:c r="S514" s="17" t="str">
        <x:v>Curated in the targeted ScholarTube expansion; public metadata accessible and editorially reviewed.</x:v>
      </x:c>
      <x:c r="T514" s="16" t="str">
        <x:v>BV1fs411K7rq</x:v>
      </x:c>
      <x:c r="U514" s="17" t="str"/>
      <x:c r="V514" s="151"/>
      <x:c r="W514" s="17" t="str"/>
    </x:row>
    <x:row r="515" ht="42" customHeight="1">
      <x:c r="A515" s="22" t="str">
        <x:v>ST-514</x:v>
      </x:c>
      <x:c r="B515" s="22" t="str">
        <x:v>Interview</x:v>
      </x:c>
      <x:c r="C515" s="22" t="str">
        <x:v>Agent</x:v>
      </x:c>
      <x:c r="D515" s="17" t="str">
        <x:v>Agents / Tool Use / Reasoning</x:v>
      </x:c>
      <x:c r="E515" s="17" t="str">
        <x:v>Agents / Reasoning / Tool Use</x:v>
      </x:c>
      <x:c r="F515" s="23" t="str">
        <x:v>Chinese</x:v>
      </x:c>
      <x:c r="G515" s="17" t="str">
        <x:v>硅谷坐标 x 田渊栋: 解析大模型护城河、记忆存储瓶颈与Agent对社会冲击</x:v>
      </x:c>
      <x:c r="H515" s="17" t="str">
        <x:v>Yuandong Tian</x:v>
      </x:c>
      <x:c r="I515" s="17" t="str">
        <x:v>硅谷坐标SV-Vector</x:v>
      </x:c>
      <x:c r="J515" s="23" t="str">
        <x:v>Research Interview</x:v>
      </x:c>
      <x:c r="K515" s="24" t="n">
        <x:v>62</x:v>
      </x:c>
      <x:c r="L515" s="16" t="str">
        <x:v>https://www.bilibili.com/video/BV1FZPhzSEXt</x:v>
      </x:c>
      <x:c r="M515" s="22" t="str">
        <x:v>Bilibili</x:v>
      </x:c>
      <x:c r="N515" s="25" t="n">
        <x:v>16223</x:v>
      </x:c>
      <x:c r="O515" s="23" t="str">
        <x:v>B | University / Conference / Institution</x:v>
      </x:c>
      <x:c r="P515" s="23" t="str">
        <x:v>Recommended</x:v>
      </x:c>
      <x:c r="Q515" s="23" t="str">
        <x:v>Verified</x:v>
      </x:c>
      <x:c r="R515" s="26" t="n">
        <x:v>46246</x:v>
      </x:c>
      <x:c r="S515" s="17" t="str">
        <x:v>Curated in the targeted ScholarTube expansion; public metadata accessible and editorially reviewed.</x:v>
      </x:c>
      <x:c r="T515" s="16" t="str">
        <x:v>BV1FZPhzSEXt</x:v>
      </x:c>
      <x:c r="U515" s="17" t="str"/>
      <x:c r="V515" s="151"/>
      <x:c r="W515" s="17" t="str"/>
    </x:row>
    <x:row r="516" ht="42" customHeight="1">
      <x:c r="A516" s="22" t="str">
        <x:v>ST-515</x:v>
      </x:c>
      <x:c r="B516" s="22" t="str">
        <x:v>Interview</x:v>
      </x:c>
      <x:c r="C516" s="22" t="str">
        <x:v>Agent</x:v>
      </x:c>
      <x:c r="D516" s="17" t="str">
        <x:v>Agents / Tool Use / Reasoning</x:v>
      </x:c>
      <x:c r="E516" s="17" t="str">
        <x:v>Agents / Reasoning / Tool Use</x:v>
      </x:c>
      <x:c r="F516" s="23" t="str">
        <x:v>Chinese</x:v>
      </x:c>
      <x:c r="G516" s="17" t="str">
        <x:v>与田渊栋的访谈：大模型的真问题、变局、AI洪水与the path not taken</x:v>
      </x:c>
      <x:c r="H516" s="17" t="str">
        <x:v>Yuandong Tian</x:v>
      </x:c>
      <x:c r="I516" s="17" t="str">
        <x:v>卫诗婕_漫谈播客集</x:v>
      </x:c>
      <x:c r="J516" s="23" t="str">
        <x:v>Research Interview</x:v>
      </x:c>
      <x:c r="K516" s="24" t="n">
        <x:v>70</x:v>
      </x:c>
      <x:c r="L516" s="16" t="str">
        <x:v>https://www.bilibili.com/video/BV1ZGSoB5ETo</x:v>
      </x:c>
      <x:c r="M516" s="22" t="str">
        <x:v>Bilibili</x:v>
      </x:c>
      <x:c r="N516" s="25" t="n">
        <x:v>55758</x:v>
      </x:c>
      <x:c r="O516" s="23" t="str">
        <x:v>B | University / Conference / Institution</x:v>
      </x:c>
      <x:c r="P516" s="23" t="str">
        <x:v>Recommended</x:v>
      </x:c>
      <x:c r="Q516" s="23" t="str">
        <x:v>Verified</x:v>
      </x:c>
      <x:c r="R516" s="26" t="n">
        <x:v>46246</x:v>
      </x:c>
      <x:c r="S516" s="17" t="str">
        <x:v>Curated in the targeted ScholarTube expansion; public metadata accessible and editorially reviewed.</x:v>
      </x:c>
      <x:c r="T516" s="16" t="str">
        <x:v>BV1ZGSoB5ETo</x:v>
      </x:c>
      <x:c r="U516" s="17" t="str">
        <x:v>卫诗婕｜漫谈播客集</x:v>
      </x:c>
      <x:c r="V516" s="151" t="n">
        <x:v>20260406</x:v>
      </x:c>
      <x:c r="W516" s="17" t="str">
        <x:v>wei-shijie-mantan-podcast</x:v>
      </x:c>
    </x:row>
    <x:row r="517" ht="42" customHeight="1">
      <x:c r="A517" s="22" t="str">
        <x:v>ST-516</x:v>
      </x:c>
      <x:c r="B517" s="22" t="str">
        <x:v>Interview</x:v>
      </x:c>
      <x:c r="C517" s="22" t="str">
        <x:v>Agent</x:v>
      </x:c>
      <x:c r="D517" s="17" t="str">
        <x:v>Agents / Tool Use / Reasoning</x:v>
      </x:c>
      <x:c r="E517" s="17" t="str">
        <x:v>Agents / Reasoning / Tool Use</x:v>
      </x:c>
      <x:c r="F517" s="23" t="str">
        <x:v>Chinese</x:v>
      </x:c>
      <x:c r="G517" s="17" t="str">
        <x:v>「创见」田渊栋官宣创业前最后的访谈：当AI开始记住一切，遗忘反而成为通往更好模型的正确路径；关于AI记忆, 黑盒，涌现机制，scaling law以及人类的未来</x:v>
      </x:c>
      <x:c r="H517" s="17" t="str">
        <x:v>Yuandong Tian</x:v>
      </x:c>
      <x:c r="I517" s="17" t="str">
        <x:v>尚莞迪Lydia</x:v>
      </x:c>
      <x:c r="J517" s="23" t="str">
        <x:v>Research Interview</x:v>
      </x:c>
      <x:c r="K517" s="24" t="n">
        <x:v>97</x:v>
      </x:c>
      <x:c r="L517" s="16" t="str">
        <x:v>https://www.bilibili.com/video/BV1VtdpBZE9f</x:v>
      </x:c>
      <x:c r="M517" s="22" t="str">
        <x:v>Bilibili</x:v>
      </x:c>
      <x:c r="N517" s="25" t="n">
        <x:v>17071</x:v>
      </x:c>
      <x:c r="O517" s="23" t="str">
        <x:v>B | University / Conference / Institution</x:v>
      </x:c>
      <x:c r="P517" s="23" t="str">
        <x:v>Recommended</x:v>
      </x:c>
      <x:c r="Q517" s="23" t="str">
        <x:v>Verified</x:v>
      </x:c>
      <x:c r="R517" s="26" t="n">
        <x:v>46246</x:v>
      </x:c>
      <x:c r="S517" s="17" t="str">
        <x:v>Curated in the targeted ScholarTube expansion; public metadata accessible and editorially reviewed.</x:v>
      </x:c>
      <x:c r="T517" s="16" t="str">
        <x:v>BV1VtdpBZE9f</x:v>
      </x:c>
      <x:c r="U517" s="17" t="str"/>
      <x:c r="V517" s="151"/>
      <x:c r="W517" s="17" t="str"/>
    </x:row>
    <x:row r="518" ht="42" customHeight="1">
      <x:c r="A518" s="22" t="str">
        <x:v>ST-517</x:v>
      </x:c>
      <x:c r="B518" s="22" t="str">
        <x:v>Talk</x:v>
      </x:c>
      <x:c r="C518" s="22" t="str">
        <x:v>Agent</x:v>
      </x:c>
      <x:c r="D518" s="17" t="str">
        <x:v>Agents / Tool Use / Reasoning</x:v>
      </x:c>
      <x:c r="E518" s="17" t="str">
        <x:v>Agents / Reasoning / Tool Use</x:v>
      </x:c>
      <x:c r="F518" s="23" t="str">
        <x:v>Chinese</x:v>
      </x:c>
      <x:c r="G518" s="17" t="str">
        <x:v>田渊栋：我们正在打开推理的黑箱 | 田渊栋 | Yuandong Tian | NeurIPS Workshop | 251206 | 原创中英字幕</x:v>
      </x:c>
      <x:c r="H518" s="17" t="str">
        <x:v>Yuandong Tian</x:v>
      </x:c>
      <x:c r="I518" s="17" t="str">
        <x:v>京口先生</x:v>
      </x:c>
      <x:c r="J518" s="23" t="str">
        <x:v>Academic Talk / Research Seminar</x:v>
      </x:c>
      <x:c r="K518" s="24" t="n">
        <x:v>30</x:v>
      </x:c>
      <x:c r="L518" s="16" t="str">
        <x:v>https://www.bilibili.com/video/BV1sNSQByE5D</x:v>
      </x:c>
      <x:c r="M518" s="22" t="str">
        <x:v>Bilibili</x:v>
      </x:c>
      <x:c r="N518" s="25" t="n">
        <x:v>5019</x:v>
      </x:c>
      <x:c r="O518" s="23" t="str">
        <x:v>B | University / Conference / Institution</x:v>
      </x:c>
      <x:c r="P518" s="23" t="str">
        <x:v>Recommended</x:v>
      </x:c>
      <x:c r="Q518" s="23" t="str">
        <x:v>Verified</x:v>
      </x:c>
      <x:c r="R518" s="26" t="n">
        <x:v>46246</x:v>
      </x:c>
      <x:c r="S518" s="17" t="str">
        <x:v>Curated in the targeted ScholarTube expansion; public metadata accessible and editorially reviewed.</x:v>
      </x:c>
      <x:c r="T518" s="16" t="str">
        <x:v>BV1sNSQByE5D</x:v>
      </x:c>
      <x:c r="U518" s="17" t="str"/>
      <x:c r="V518" s="151"/>
      <x:c r="W518" s="17" t="str"/>
    </x:row>
    <x:row r="519" ht="42" customHeight="1">
      <x:c r="A519" s="22" t="str">
        <x:v>ST-518</x:v>
      </x:c>
      <x:c r="B519" s="22" t="str">
        <x:v>Talk</x:v>
      </x:c>
      <x:c r="C519" s="22" t="str">
        <x:v>Agent</x:v>
      </x:c>
      <x:c r="D519" s="17" t="str">
        <x:v>Agents / Tool Use / Reasoning</x:v>
      </x:c>
      <x:c r="E519" s="17" t="str">
        <x:v>Foundation Models / Agents / Reasoning / Tool Use / Moonshot AI / Kimi</x:v>
      </x:c>
      <x:c r="F519" s="23" t="str">
        <x:v>Chinese</x:v>
      </x:c>
      <x:c r="G519" s="17" t="str">
        <x:v>AGI Next 前沿峰会 | 月之暗面Kimi创始人杨植麟：Scaling Law、模型架构与Agent智能</x:v>
      </x:c>
      <x:c r="H519" s="17" t="str">
        <x:v>Zhilin Yang</x:v>
      </x:c>
      <x:c r="I519" s="17" t="str">
        <x:v>AITIME论道</x:v>
      </x:c>
      <x:c r="J519" s="23" t="str">
        <x:v>Technical Keynote</x:v>
      </x:c>
      <x:c r="K519" s="24" t="n">
        <x:v>26</x:v>
      </x:c>
      <x:c r="L519" s="16" t="str">
        <x:v>https://www.bilibili.com/video/BV1NxrHBgE6c</x:v>
      </x:c>
      <x:c r="M519" s="22" t="str">
        <x:v>Bilibili</x:v>
      </x:c>
      <x:c r="N519" s="25" t="n">
        <x:v>9207</x:v>
      </x:c>
      <x:c r="O519" s="23" t="str">
        <x:v>A | Official / Original Creator / Organizer</x:v>
      </x:c>
      <x:c r="P519" s="23" t="str">
        <x:v>Core</x:v>
      </x:c>
      <x:c r="Q519" s="23" t="str">
        <x:v>Verified</x:v>
      </x:c>
      <x:c r="R519" s="26" t="n">
        <x:v>46246</x:v>
      </x:c>
      <x:c r="S519" s="17" t="str">
        <x:v>Moonshot AI / Kimi. AGI Next keynote on scaling laws, model architecture, and agent intelligence.</x:v>
      </x:c>
      <x:c r="T519" s="16" t="str">
        <x:v>BV1NxrHBgE6c</x:v>
      </x:c>
      <x:c r="U519" s="17" t="str"/>
      <x:c r="V519" s="151"/>
      <x:c r="W519" s="17" t="str"/>
    </x:row>
    <x:row r="520" ht="42" customHeight="1">
      <x:c r="A520" s="22" t="str">
        <x:v>ST-519</x:v>
      </x:c>
      <x:c r="B520" s="22" t="str">
        <x:v>Talk</x:v>
      </x:c>
      <x:c r="C520" s="22" t="str">
        <x:v>Agent</x:v>
      </x:c>
      <x:c r="D520" s="17" t="str">
        <x:v>Agents / Tool Use / Reasoning</x:v>
      </x:c>
      <x:c r="E520" s="17" t="str">
        <x:v>Foundation Models / Agents / Reasoning / Tool Use / Moonshot AI / Kimi</x:v>
      </x:c>
      <x:c r="F520" s="23" t="str">
        <x:v>Chinese</x:v>
      </x:c>
      <x:c r="G520" s="17" t="str">
        <x:v>杨植麟GTC完整演讲：Kimi如何重写大模型三大件</x:v>
      </x:c>
      <x:c r="H520" s="17" t="str">
        <x:v>Zhilin Yang</x:v>
      </x:c>
      <x:c r="I520" s="17" t="str">
        <x:v>opus精译</x:v>
      </x:c>
      <x:c r="J520" s="23" t="str">
        <x:v>Conference Talk</x:v>
      </x:c>
      <x:c r="K520" s="24" t="n">
        <x:v>40</x:v>
      </x:c>
      <x:c r="L520" s="16" t="str">
        <x:v>https://www.bilibili.com/video/BV1RR3R6VEwy</x:v>
      </x:c>
      <x:c r="M520" s="22" t="str">
        <x:v>Bilibili</x:v>
      </x:c>
      <x:c r="N520" s="25" t="n">
        <x:v>5804</x:v>
      </x:c>
      <x:c r="O520" s="23" t="str">
        <x:v>B | University / Conference / Institution</x:v>
      </x:c>
      <x:c r="P520" s="23" t="str">
        <x:v>Recommended</x:v>
      </x:c>
      <x:c r="Q520" s="23" t="str">
        <x:v>Verified</x:v>
      </x:c>
      <x:c r="R520" s="26" t="n">
        <x:v>46246</x:v>
      </x:c>
      <x:c r="S520" s="17" t="str">
        <x:v>Moonshot AI / Kimi. Full GTC talk with Chinese translation; retained for its architecture and training-system detail.</x:v>
      </x:c>
      <x:c r="T520" s="16" t="str">
        <x:v>BV1RR3R6VEwy</x:v>
      </x:c>
      <x:c r="U520" s="17" t="str"/>
      <x:c r="V520" s="151"/>
      <x:c r="W520" s="17" t="str"/>
    </x:row>
    <x:row r="521" ht="42" customHeight="1">
      <x:c r="A521" s="22" t="str">
        <x:v>ST-520</x:v>
      </x:c>
      <x:c r="B521" s="22" t="str">
        <x:v>Interview</x:v>
      </x:c>
      <x:c r="C521" s="22" t="str">
        <x:v>Agent</x:v>
      </x:c>
      <x:c r="D521" s="17" t="str">
        <x:v>Agents / Tool Use / Reasoning</x:v>
      </x:c>
      <x:c r="E521" s="17" t="str">
        <x:v>Foundation Models / Agents / Reasoning / Tool Use / DeepSeek / High-Flyer</x:v>
      </x:c>
      <x:c r="F521" s="23" t="str">
        <x:v>Chinese</x:v>
      </x:c>
      <x:c r="G521" s="17" t="str">
        <x:v>DeepSeek（幻方）早期内部采访视频</x:v>
      </x:c>
      <x:c r="H521" s="17" t="str">
        <x:v>Wenfeng Liang and the High-Flyer team</x:v>
      </x:c>
      <x:c r="I521" s="17" t="str">
        <x:v>i陆三金</x:v>
      </x:c>
      <x:c r="J521" s="23" t="str">
        <x:v>Early Team Interview</x:v>
      </x:c>
      <x:c r="K521" s="24" t="n">
        <x:v>12</x:v>
      </x:c>
      <x:c r="L521" s="16" t="str">
        <x:v>https://www.bilibili.com/video/BV1fSNFeTEUz</x:v>
      </x:c>
      <x:c r="M521" s="22" t="str">
        <x:v>Bilibili</x:v>
      </x:c>
      <x:c r="N521" s="25" t="n">
        <x:v>83871</x:v>
      </x:c>
      <x:c r="O521" s="23" t="str">
        <x:v>B | University / Conference / Institution</x:v>
      </x:c>
      <x:c r="P521" s="23" t="str">
        <x:v>Recommended</x:v>
      </x:c>
      <x:c r="Q521" s="23" t="str">
        <x:v>Verified</x:v>
      </x:c>
      <x:c r="R521" s="26" t="n">
        <x:v>46246</x:v>
      </x:c>
      <x:c r="S521" s="17" t="str">
        <x:v>DeepSeek / High-Flyer. Rare early internal interview footage from the High-Flyer team that later created DeepSeek.</x:v>
      </x:c>
      <x:c r="T521" s="16" t="str">
        <x:v>BV1fSNFeTEUz</x:v>
      </x:c>
      <x:c r="U521" s="17" t="str"/>
      <x:c r="V521" s="151"/>
      <x:c r="W521" s="17" t="str"/>
    </x:row>
    <x:row r="522" ht="42" customHeight="1">
      <x:c r="A522" s="22" t="str">
        <x:v>ST-521</x:v>
      </x:c>
      <x:c r="B522" s="22" t="str">
        <x:v>Interview</x:v>
      </x:c>
      <x:c r="C522" s="22" t="str">
        <x:v>Agent</x:v>
      </x:c>
      <x:c r="D522" s="17" t="str">
        <x:v>Agents / Tool Use / Reasoning</x:v>
      </x:c>
      <x:c r="E522" s="17" t="str">
        <x:v>Foundation Models / Agents / Reasoning / Tool Use / DeepSeek</x:v>
      </x:c>
      <x:c r="F522" s="23" t="str">
        <x:v>Chinese</x:v>
      </x:c>
      <x:c r="G522" s="17" t="str">
        <x:v>【专访一】DeepSeek梁文锋：中国硬核创新会越来越多</x:v>
      </x:c>
      <x:c r="H522" s="17" t="str">
        <x:v>Wenfeng Liang</x:v>
      </x:c>
      <x:c r="I522" s="17" t="str">
        <x:v>爱莲说Allie</x:v>
      </x:c>
      <x:c r="J522" s="23" t="str">
        <x:v>Interview Adaptation</x:v>
      </x:c>
      <x:c r="K522" s="24" t="n">
        <x:v>18</x:v>
      </x:c>
      <x:c r="L522" s="16" t="str">
        <x:v>https://www.bilibili.com/video/BV1gxffYTEsJ</x:v>
      </x:c>
      <x:c r="M522" s="22" t="str">
        <x:v>Bilibili</x:v>
      </x:c>
      <x:c r="N522" s="25" t="n">
        <x:v>224858</x:v>
      </x:c>
      <x:c r="O522" s="23" t="str">
        <x:v>C | Community Selection</x:v>
      </x:c>
      <x:c r="P522" s="23" t="str">
        <x:v>Reserve</x:v>
      </x:c>
      <x:c r="Q522" s="23" t="str">
        <x:v>Verified</x:v>
      </x:c>
      <x:c r="R522" s="26" t="n">
        <x:v>46246</x:v>
      </x:c>
      <x:c r="S522" s="17" t="str">
        <x:v>DeepSeek. Video adaptation of Wenfeng Liang's authorized Waves interview; useful primary remarks, but not an original filmed interview.</x:v>
      </x:c>
      <x:c r="T522" s="16" t="str">
        <x:v>BV1gxffYTEsJ</x:v>
      </x:c>
      <x:c r="U522" s="17" t="str"/>
      <x:c r="V522" s="151"/>
      <x:c r="W522" s="17" t="str"/>
    </x:row>
    <x:row r="523" ht="42" customHeight="1">
      <x:c r="A523" s="22" t="str">
        <x:v>ST-522</x:v>
      </x:c>
      <x:c r="B523" s="22" t="str">
        <x:v>Talk</x:v>
      </x:c>
      <x:c r="C523" s="22" t="str">
        <x:v>Agent</x:v>
      </x:c>
      <x:c r="D523" s="17" t="str">
        <x:v>Agents / Tool Use / Reasoning</x:v>
      </x:c>
      <x:c r="E523" s="17" t="str">
        <x:v>Foundation Models / Agents / Reasoning / Tool Use / Alibaba Qwen</x:v>
      </x:c>
      <x:c r="F523" s="23" t="str">
        <x:v>Chinese</x:v>
      </x:c>
      <x:c r="G523" s="17" t="str">
        <x:v>AGI-Next 前沿峰会 | 阿里Qwen技术负责人林俊旸：Towards a Generalist Agent</x:v>
      </x:c>
      <x:c r="H523" s="17" t="str">
        <x:v>Junyang Lin</x:v>
      </x:c>
      <x:c r="I523" s="17" t="str">
        <x:v>AITIME论道</x:v>
      </x:c>
      <x:c r="J523" s="23" t="str">
        <x:v>Technical Keynote</x:v>
      </x:c>
      <x:c r="K523" s="24" t="n">
        <x:v>39</x:v>
      </x:c>
      <x:c r="L523" s="16" t="str">
        <x:v>https://www.bilibili.com/video/BV1R1rHBxE2V</x:v>
      </x:c>
      <x:c r="M523" s="22" t="str">
        <x:v>Bilibili</x:v>
      </x:c>
      <x:c r="N523" s="25" t="n">
        <x:v>24960</x:v>
      </x:c>
      <x:c r="O523" s="23" t="str">
        <x:v>A | Official / Original Creator / Organizer</x:v>
      </x:c>
      <x:c r="P523" s="23" t="str">
        <x:v>Core</x:v>
      </x:c>
      <x:c r="Q523" s="23" t="str">
        <x:v>Verified</x:v>
      </x:c>
      <x:c r="R523" s="26" t="n">
        <x:v>46246</x:v>
      </x:c>
      <x:c r="S523" s="17" t="str">
        <x:v>Alibaba Qwen. AGI Next keynote on Qwen's path toward generalist agents.</x:v>
      </x:c>
      <x:c r="T523" s="16" t="str">
        <x:v>BV1R1rHBxE2V</x:v>
      </x:c>
      <x:c r="U523" s="17" t="str"/>
      <x:c r="V523" s="151"/>
      <x:c r="W523" s="17" t="str"/>
    </x:row>
    <x:row r="524" ht="42" customHeight="1">
      <x:c r="A524" s="22" t="str">
        <x:v>ST-523</x:v>
      </x:c>
      <x:c r="B524" s="22" t="str">
        <x:v>Talk</x:v>
      </x:c>
      <x:c r="C524" s="22" t="str">
        <x:v>Agent</x:v>
      </x:c>
      <x:c r="D524" s="17" t="str">
        <x:v>Agents / Tool Use / Reasoning</x:v>
      </x:c>
      <x:c r="E524" s="17" t="str">
        <x:v>Foundation Models / Agents / Reasoning / Tool Use / Alibaba Qwen</x:v>
      </x:c>
      <x:c r="F524" s="23" t="str">
        <x:v>Chinese</x:v>
      </x:c>
      <x:c r="G524" s="17" t="str">
        <x:v>Qwen：通用模型之路-林俊旸</x:v>
      </x:c>
      <x:c r="H524" s="17" t="str">
        <x:v>Junyang Lin</x:v>
      </x:c>
      <x:c r="I524" s="17" t="str">
        <x:v>ModelScope官方账号</x:v>
      </x:c>
      <x:c r="J524" s="23" t="str">
        <x:v>Technical Talk</x:v>
      </x:c>
      <x:c r="K524" s="24" t="n">
        <x:v>21</x:v>
      </x:c>
      <x:c r="L524" s="16" t="str">
        <x:v>https://www.bilibili.com/video/BV1wh3TzvE4k</x:v>
      </x:c>
      <x:c r="M524" s="22" t="str">
        <x:v>Bilibili</x:v>
      </x:c>
      <x:c r="N524" s="25" t="n">
        <x:v>3651</x:v>
      </x:c>
      <x:c r="O524" s="23" t="str">
        <x:v>A | Official / Original Creator / Organizer</x:v>
      </x:c>
      <x:c r="P524" s="23" t="str">
        <x:v>Core</x:v>
      </x:c>
      <x:c r="Q524" s="23" t="str">
        <x:v>Verified</x:v>
      </x:c>
      <x:c r="R524" s="26" t="n">
        <x:v>46246</x:v>
      </x:c>
      <x:c r="S524" s="17" t="str">
        <x:v>Alibaba Qwen. ModelScope-hosted technical overview of Qwen as a general-purpose model family.</x:v>
      </x:c>
      <x:c r="T524" s="16" t="str">
        <x:v>BV1wh3TzvE4k</x:v>
      </x:c>
      <x:c r="U524" s="17" t="str"/>
      <x:c r="V524" s="151"/>
      <x:c r="W524" s="17" t="str"/>
    </x:row>
    <x:row r="525" ht="42" customHeight="1">
      <x:c r="A525" s="22" t="str">
        <x:v>ST-524</x:v>
      </x:c>
      <x:c r="B525" s="22" t="str">
        <x:v>Talk</x:v>
      </x:c>
      <x:c r="C525" s="22" t="str">
        <x:v>Agent</x:v>
      </x:c>
      <x:c r="D525" s="17" t="str">
        <x:v>Agents / Tool Use / Reasoning</x:v>
      </x:c>
      <x:c r="E525" s="17" t="str">
        <x:v>Foundation Models / Agents / Reasoning / Tool Use / Alibaba Qwen</x:v>
      </x:c>
      <x:c r="F525" s="23" t="str">
        <x:v>Chinese</x:v>
      </x:c>
      <x:c r="G525" s="17" t="str">
        <x:v>林俊旸详解Qwen模型设计中的每一次取舍 | 林俊旸 | Junyang Lin | 240703 | 原创中英字幕</x:v>
      </x:c>
      <x:c r="H525" s="17" t="str">
        <x:v>Junyang Lin</x:v>
      </x:c>
      <x:c r="I525" s="17" t="str">
        <x:v>京口先生</x:v>
      </x:c>
      <x:c r="J525" s="23" t="str">
        <x:v>Technical Talk</x:v>
      </x:c>
      <x:c r="K525" s="24" t="n">
        <x:v>61</x:v>
      </x:c>
      <x:c r="L525" s="16" t="str">
        <x:v>https://www.bilibili.com/video/BV1T3NuzvENT</x:v>
      </x:c>
      <x:c r="M525" s="22" t="str">
        <x:v>Bilibili</x:v>
      </x:c>
      <x:c r="N525" s="25" t="n">
        <x:v>32040</x:v>
      </x:c>
      <x:c r="O525" s="23" t="str">
        <x:v>B | University / Conference / Institution</x:v>
      </x:c>
      <x:c r="P525" s="23" t="str">
        <x:v>Recommended</x:v>
      </x:c>
      <x:c r="Q525" s="23" t="str">
        <x:v>Verified</x:v>
      </x:c>
      <x:c r="R525" s="26" t="n">
        <x:v>46246</x:v>
      </x:c>
      <x:c r="S525" s="17" t="str">
        <x:v>Alibaba Qwen. Long-form bilingual technical talk on the engineering choices behind Qwen.</x:v>
      </x:c>
      <x:c r="T525" s="16" t="str">
        <x:v>BV1T3NuzvENT</x:v>
      </x:c>
      <x:c r="U525" s="17" t="str"/>
      <x:c r="V525" s="151"/>
      <x:c r="W525" s="17" t="str"/>
    </x:row>
    <x:row r="526" ht="42" customHeight="1">
      <x:c r="A526" s="22" t="str">
        <x:v>ST-525</x:v>
      </x:c>
      <x:c r="B526" s="22" t="str">
        <x:v>Interview</x:v>
      </x:c>
      <x:c r="C526" s="22" t="str">
        <x:v>Agent</x:v>
      </x:c>
      <x:c r="D526" s="17" t="str">
        <x:v>Agents / Tool Use / Reasoning</x:v>
      </x:c>
      <x:c r="E526" s="17" t="str">
        <x:v>Foundation Models / Agents / Reasoning / Tool Use / Tencent Hunyuan</x:v>
      </x:c>
      <x:c r="F526" s="23" t="str">
        <x:v>Chinese</x:v>
      </x:c>
      <x:c r="G526" s="17" t="str">
        <x:v>腾讯混元大模型负责人王迪：揭秘万亿 MoE 系统工程之道｜智者访谈</x:v>
      </x:c>
      <x:c r="H526" s="17" t="str">
        <x:v>Di Wang</x:v>
      </x:c>
      <x:c r="I526" s="17" t="str">
        <x:v>机器之心官方</x:v>
      </x:c>
      <x:c r="J526" s="23" t="str">
        <x:v>Technical Interview</x:v>
      </x:c>
      <x:c r="K526" s="24" t="n">
        <x:v>59</x:v>
      </x:c>
      <x:c r="L526" s="16" t="str">
        <x:v>https://www.bilibili.com/video/BV1QuWae8Eoj</x:v>
      </x:c>
      <x:c r="M526" s="22" t="str">
        <x:v>Bilibili</x:v>
      </x:c>
      <x:c r="N526" s="25" t="n">
        <x:v>15271</x:v>
      </x:c>
      <x:c r="O526" s="23" t="str">
        <x:v>A | Official / Original Creator / Organizer</x:v>
      </x:c>
      <x:c r="P526" s="23" t="str">
        <x:v>Core</x:v>
      </x:c>
      <x:c r="Q526" s="23" t="str">
        <x:v>Verified</x:v>
      </x:c>
      <x:c r="R526" s="26" t="n">
        <x:v>46246</x:v>
      </x:c>
      <x:c r="S526" s="17" t="str">
        <x:v>Tencent Hunyuan. Machine Intelligence interview on the systems engineering of Hunyuan's trillion-parameter MoE model.</x:v>
      </x:c>
      <x:c r="T526" s="16" t="str">
        <x:v>BV1QuWae8Eoj</x:v>
      </x:c>
      <x:c r="U526" s="17" t="str"/>
      <x:c r="V526" s="151"/>
      <x:c r="W526" s="17" t="str"/>
    </x:row>
    <x:row r="527" ht="42" customHeight="1">
      <x:c r="A527" s="22" t="str">
        <x:v>ST-526</x:v>
      </x:c>
      <x:c r="B527" s="22" t="str">
        <x:v>Talk</x:v>
      </x:c>
      <x:c r="C527" s="22" t="str">
        <x:v>Agent</x:v>
      </x:c>
      <x:c r="D527" s="17" t="str">
        <x:v>Agents / Tool Use / Reasoning</x:v>
      </x:c>
      <x:c r="E527" s="17" t="str">
        <x:v>Foundation Models / Agents / Reasoning / Tool Use / Tencent Hunyuan</x:v>
      </x:c>
      <x:c r="F527" s="23" t="str">
        <x:v>Chinese</x:v>
      </x:c>
      <x:c r="G527" s="17" t="str">
        <x:v>腾讯混元大模型发布会：超千亿参数、超2万亿Token的全链路自研大语言模型，混元大模型综合性能国内第一、诸多特性超越GPT3.5</x:v>
      </x:c>
      <x:c r="H527" s="17" t="str">
        <x:v>Tencent Hunyuan team</x:v>
      </x:c>
      <x:c r="I527" s="17" t="str">
        <x:v>创新指南针</x:v>
      </x:c>
      <x:c r="J527" s="23" t="str">
        <x:v>Product and Technical Launch</x:v>
      </x:c>
      <x:c r="K527" s="24" t="n">
        <x:v>86</x:v>
      </x:c>
      <x:c r="L527" s="16" t="str">
        <x:v>https://www.bilibili.com/video/BV1rp4y1L7Hx</x:v>
      </x:c>
      <x:c r="M527" s="22" t="str">
        <x:v>Bilibili</x:v>
      </x:c>
      <x:c r="N527" s="25" t="n">
        <x:v>12547</x:v>
      </x:c>
      <x:c r="O527" s="23" t="str">
        <x:v>B | University / Conference / Institution</x:v>
      </x:c>
      <x:c r="P527" s="23" t="str">
        <x:v>Recommended</x:v>
      </x:c>
      <x:c r="Q527" s="23" t="str">
        <x:v>Verified</x:v>
      </x:c>
      <x:c r="R527" s="26" t="n">
        <x:v>46246</x:v>
      </x:c>
      <x:c r="S527" s="17" t="str">
        <x:v>Tencent Hunyuan. Full launch presentation covering Hunyuan's model, training stack, and deployment strategy.</x:v>
      </x:c>
      <x:c r="T527" s="16" t="str">
        <x:v>BV1rp4y1L7Hx</x:v>
      </x:c>
      <x:c r="U527" s="17" t="str"/>
      <x:c r="V527" s="151"/>
      <x:c r="W527" s="17" t="str"/>
    </x:row>
    <x:row r="528" ht="42" customHeight="1">
      <x:c r="A528" s="22" t="str">
        <x:v>ST-527</x:v>
      </x:c>
      <x:c r="B528" s="22" t="str">
        <x:v>Interview</x:v>
      </x:c>
      <x:c r="C528" s="22" t="str">
        <x:v>Agent</x:v>
      </x:c>
      <x:c r="D528" s="17" t="str">
        <x:v>Agents / Tool Use / Reasoning</x:v>
      </x:c>
      <x:c r="E528" s="17" t="str">
        <x:v>Foundation Models / Agents / Reasoning / Tool Use / MiniMax</x:v>
      </x:c>
      <x:c r="F528" s="23" t="str">
        <x:v>Chinese</x:v>
      </x:c>
      <x:c r="G528" s="17" t="str">
        <x:v>【正片】MiniMax 创始人闫俊杰×罗永浩！大山并非无法翻越</x:v>
      </x:c>
      <x:c r="H528" s="17" t="str">
        <x:v>Junjie Yan</x:v>
      </x:c>
      <x:c r="I528" s="17" t="str">
        <x:v>罗永浩的十字路口</x:v>
      </x:c>
      <x:c r="J528" s="23" t="str">
        <x:v>Long-form Video Interview</x:v>
      </x:c>
      <x:c r="K528" s="24" t="n">
        <x:v>232</x:v>
      </x:c>
      <x:c r="L528" s="16" t="str">
        <x:v>https://www.bilibili.com/video/BV11NmtBzE36</x:v>
      </x:c>
      <x:c r="M528" s="22" t="str">
        <x:v>Bilibili</x:v>
      </x:c>
      <x:c r="N528" s="25" t="n">
        <x:v>712316</x:v>
      </x:c>
      <x:c r="O528" s="23" t="str">
        <x:v>A | Official / Original Creator / Organizer</x:v>
      </x:c>
      <x:c r="P528" s="23" t="str">
        <x:v>Core</x:v>
      </x:c>
      <x:c r="Q528" s="23" t="str">
        <x:v>Verified</x:v>
      </x:c>
      <x:c r="R528" s="26" t="n">
        <x:v>46246</x:v>
      </x:c>
      <x:c r="S528" s="17" t="str">
        <x:v>MiniMax. Full long-form interview on MiniMax, model scaling, product strategy, and the path to advanced intelligence.</x:v>
      </x:c>
      <x:c r="T528" s="16" t="str">
        <x:v>BV11NmtBzE36</x:v>
      </x:c>
      <x:c r="U528" s="17" t="str"/>
      <x:c r="V528" s="151"/>
      <x:c r="W528" s="17" t="str"/>
    </x:row>
    <x:row r="529" ht="42" customHeight="1">
      <x:c r="A529" s="22" t="str">
        <x:v>ST-528</x:v>
      </x:c>
      <x:c r="B529" s="22" t="str">
        <x:v>Interview</x:v>
      </x:c>
      <x:c r="C529" s="22" t="str">
        <x:v>Agent</x:v>
      </x:c>
      <x:c r="D529" s="17" t="str">
        <x:v>Agents / Tool Use / Reasoning</x:v>
      </x:c>
      <x:c r="E529" s="17" t="str">
        <x:v>Foundation Models / Agents / Reasoning / Tool Use / Zhipu AI</x:v>
      </x:c>
      <x:c r="F529" s="23" t="str">
        <x:v>Chinese</x:v>
      </x:c>
      <x:c r="G529" s="17" t="str">
        <x:v>方略第十四期正片 | 方三文对话智谱CEO张鹏： 大模型不会只剩一家，多样性是技术革新的源动力</x:v>
      </x:c>
      <x:c r="H529" s="17" t="str">
        <x:v>Peng Zhang</x:v>
      </x:c>
      <x:c r="I529" s="17" t="str">
        <x:v>雪球官方账号</x:v>
      </x:c>
      <x:c r="J529" s="23" t="str">
        <x:v>Long-form Video Interview</x:v>
      </x:c>
      <x:c r="K529" s="24" t="n">
        <x:v>90</x:v>
      </x:c>
      <x:c r="L529" s="16" t="str">
        <x:v>https://www.bilibili.com/video/BV1zFPpzxECA</x:v>
      </x:c>
      <x:c r="M529" s="22" t="str">
        <x:v>Bilibili</x:v>
      </x:c>
      <x:c r="N529" s="25" t="n">
        <x:v>40534</x:v>
      </x:c>
      <x:c r="O529" s="23" t="str">
        <x:v>A | Official / Original Creator / Organizer</x:v>
      </x:c>
      <x:c r="P529" s="23" t="str">
        <x:v>Core</x:v>
      </x:c>
      <x:c r="Q529" s="23" t="str">
        <x:v>Verified</x:v>
      </x:c>
      <x:c r="R529" s="26" t="n">
        <x:v>46246</x:v>
      </x:c>
      <x:c r="S529" s="17" t="str">
        <x:v>Zhipu AI. Long-form conversation with Zhipu AI's CEO on model diversity and technology strategy.</x:v>
      </x:c>
      <x:c r="T529" s="16" t="str">
        <x:v>BV1zFPpzxECA</x:v>
      </x:c>
      <x:c r="U529" s="17" t="str"/>
      <x:c r="V529" s="151"/>
      <x:c r="W529" s="17" t="str"/>
    </x:row>
    <x:row r="530" ht="42" customHeight="1">
      <x:c r="A530" s="22" t="str">
        <x:v>ST-529</x:v>
      </x:c>
      <x:c r="B530" s="22" t="str">
        <x:v>Talk</x:v>
      </x:c>
      <x:c r="C530" s="22" t="str">
        <x:v>Agent</x:v>
      </x:c>
      <x:c r="D530" s="17" t="str">
        <x:v>Agents / Tool Use / Reasoning</x:v>
      </x:c>
      <x:c r="E530" s="17" t="str">
        <x:v>Foundation Models / Agents / Reasoning / Tool Use / Zhipu AI</x:v>
      </x:c>
      <x:c r="F530" s="23" t="str">
        <x:v>Chinese</x:v>
      </x:c>
      <x:c r="G530" s="17" t="str">
        <x:v>智谱唐杰：AGI 与 ChatGLM 之路</x:v>
      </x:c>
      <x:c r="H530" s="17" t="str">
        <x:v>Jie Tang</x:v>
      </x:c>
      <x:c r="I530" s="17" t="str">
        <x:v>西安数学张老师</x:v>
      </x:c>
      <x:c r="J530" s="23" t="str">
        <x:v>Technical Talk</x:v>
      </x:c>
      <x:c r="K530" s="24" t="n">
        <x:v>16</x:v>
      </x:c>
      <x:c r="L530" s="16" t="str">
        <x:v>https://www.bilibili.com/video/BV1KkPQznEVf</x:v>
      </x:c>
      <x:c r="M530" s="22" t="str">
        <x:v>Bilibili</x:v>
      </x:c>
      <x:c r="N530" s="25" t="n">
        <x:v>901</x:v>
      </x:c>
      <x:c r="O530" s="23" t="str">
        <x:v>B | University / Conference / Institution</x:v>
      </x:c>
      <x:c r="P530" s="23" t="str">
        <x:v>Recommended</x:v>
      </x:c>
      <x:c r="Q530" s="23" t="str">
        <x:v>Verified</x:v>
      </x:c>
      <x:c r="R530" s="26" t="n">
        <x:v>46246</x:v>
      </x:c>
      <x:c r="S530" s="17" t="str">
        <x:v>Zhipu AI. Technical and strategic talk on the road from ChatGLM toward AGI.</x:v>
      </x:c>
      <x:c r="T530" s="16" t="str">
        <x:v>BV1KkPQznEVf</x:v>
      </x:c>
      <x:c r="U530" s="17" t="str"/>
      <x:c r="V530" s="151"/>
      <x:c r="W530" s="17" t="str"/>
    </x:row>
    <x:row r="531" ht="42" customHeight="1">
      <x:c r="A531" s="22" t="str">
        <x:v>ST-530</x:v>
      </x:c>
      <x:c r="B531" s="22" t="str">
        <x:v>Talk</x:v>
      </x:c>
      <x:c r="C531" s="22" t="str">
        <x:v>Vision</x:v>
      </x:c>
      <x:c r="D531" s="17" t="str">
        <x:v>Computer Vision / 3D Vision</x:v>
      </x:c>
      <x:c r="E531" s="17" t="str">
        <x:v>Multimodal Models / Computer Vision / Representation Learning / StepFun</x:v>
      </x:c>
      <x:c r="F531" s="23" t="str">
        <x:v>Chinese</x:v>
      </x:c>
      <x:c r="G531" s="17" t="str">
        <x:v>攀登AGI的路径与实践万亿参数+多模融合- 姜大昕 阶跃星辰创始人CEO</x:v>
      </x:c>
      <x:c r="H531" s="17" t="str">
        <x:v>Daxin Jiang</x:v>
      </x:c>
      <x:c r="I531" s="17" t="str">
        <x:v>真豆组合包</x:v>
      </x:c>
      <x:c r="J531" s="23" t="str">
        <x:v>Technical Keynote</x:v>
      </x:c>
      <x:c r="K531" s="24" t="n">
        <x:v>21</x:v>
      </x:c>
      <x:c r="L531" s="16" t="str">
        <x:v>https://www.bilibili.com/video/BV1ueB2YDEQc</x:v>
      </x:c>
      <x:c r="M531" s="22" t="str">
        <x:v>Bilibili</x:v>
      </x:c>
      <x:c r="N531" s="25" t="n">
        <x:v>441</x:v>
      </x:c>
      <x:c r="O531" s="23" t="str">
        <x:v>B | University / Conference / Institution</x:v>
      </x:c>
      <x:c r="P531" s="23" t="str">
        <x:v>Recommended</x:v>
      </x:c>
      <x:c r="Q531" s="23" t="str">
        <x:v>Verified</x:v>
      </x:c>
      <x:c r="R531" s="26" t="n">
        <x:v>46246</x:v>
      </x:c>
      <x:c r="S531" s="17" t="str">
        <x:v>StepFun. Talk on trillion-parameter scaling and multimodal fusion at StepFun.</x:v>
      </x:c>
      <x:c r="T531" s="16" t="str">
        <x:v>BV1ueB2YDEQc</x:v>
      </x:c>
      <x:c r="U531" s="17" t="str"/>
      <x:c r="V531" s="151"/>
      <x:c r="W531" s="17" t="str"/>
    </x:row>
    <x:row r="532" ht="42" customHeight="1">
      <x:c r="A532" s="22" t="str">
        <x:v>ST-531</x:v>
      </x:c>
      <x:c r="B532" s="22" t="str">
        <x:v>Talk</x:v>
      </x:c>
      <x:c r="C532" s="22" t="str">
        <x:v>Agent</x:v>
      </x:c>
      <x:c r="D532" s="17" t="str">
        <x:v>Agents / Tool Use / Reasoning</x:v>
      </x:c>
      <x:c r="E532" s="17" t="str">
        <x:v>Foundation Models / Agents / Reasoning / Tool Use / StepFun</x:v>
      </x:c>
      <x:c r="F532" s="23" t="str">
        <x:v>Chinese</x:v>
      </x:c>
      <x:c r="G532" s="17" t="str">
        <x:v>【姜大昕博士 IEEE Fellow】大模型路径、实践与趋势</x:v>
      </x:c>
      <x:c r="H532" s="17" t="str">
        <x:v>Daxin Jiang</x:v>
      </x:c>
      <x:c r="I532" s="17" t="str">
        <x:v>AI开讲啦</x:v>
      </x:c>
      <x:c r="J532" s="23" t="str">
        <x:v>Technical Talk</x:v>
      </x:c>
      <x:c r="K532" s="24" t="n">
        <x:v>25</x:v>
      </x:c>
      <x:c r="L532" s="16" t="str">
        <x:v>https://www.bilibili.com/video/BV1vVr5BNEev</x:v>
      </x:c>
      <x:c r="M532" s="22" t="str">
        <x:v>Bilibili</x:v>
      </x:c>
      <x:c r="N532" s="25" t="n">
        <x:v>1064</x:v>
      </x:c>
      <x:c r="O532" s="23" t="str">
        <x:v>B | University / Conference / Institution</x:v>
      </x:c>
      <x:c r="P532" s="23" t="str">
        <x:v>Recommended</x:v>
      </x:c>
      <x:c r="Q532" s="23" t="str">
        <x:v>Verified</x:v>
      </x:c>
      <x:c r="R532" s="26" t="n">
        <x:v>46246</x:v>
      </x:c>
      <x:c r="S532" s="17" t="str">
        <x:v>StepFun. Focused technical overview of large-model paths, practice, and emerging trends.</x:v>
      </x:c>
      <x:c r="T532" s="16" t="str">
        <x:v>BV1vVr5BNEev</x:v>
      </x:c>
      <x:c r="U532" s="17" t="str"/>
      <x:c r="V532" s="151"/>
      <x:c r="W532" s="17" t="str"/>
    </x:row>
    <x:row r="533" ht="42" customHeight="1">
      <x:c r="A533" s="22" t="str">
        <x:v>ST-532</x:v>
      </x:c>
      <x:c r="B533" s="22" t="str">
        <x:v>Interview</x:v>
      </x:c>
      <x:c r="C533" s="22" t="str">
        <x:v>Agent</x:v>
      </x:c>
      <x:c r="D533" s="17" t="str">
        <x:v>Agents / Tool Use / Reasoning</x:v>
      </x:c>
      <x:c r="E533" s="17" t="str">
        <x:v>Foundation Models / Agents / Reasoning / Tool Use / Baichuan AI</x:v>
      </x:c>
      <x:c r="F533" s="23" t="str">
        <x:v>Chinese</x:v>
      </x:c>
      <x:c r="G533" s="17" t="str">
        <x:v>【正片】对话王小川：造医生，战豆包，与无尽的 AI 非共识。【视频播客】</x:v>
      </x:c>
      <x:c r="H533" s="17" t="str">
        <x:v>Xiaochuan Wang</x:v>
      </x:c>
      <x:c r="I533" s="17" t="str">
        <x:v>硅基立场Pro</x:v>
      </x:c>
      <x:c r="J533" s="23" t="str">
        <x:v>Long-form Video Interview</x:v>
      </x:c>
      <x:c r="K533" s="24" t="n">
        <x:v>93</x:v>
      </x:c>
      <x:c r="L533" s="16" t="str">
        <x:v>https://www.bilibili.com/video/BV19pLQ6VEBB</x:v>
      </x:c>
      <x:c r="M533" s="22" t="str">
        <x:v>Bilibili</x:v>
      </x:c>
      <x:c r="N533" s="25" t="n">
        <x:v>19226</x:v>
      </x:c>
      <x:c r="O533" s="23" t="str">
        <x:v>A | Official / Original Creator / Organizer</x:v>
      </x:c>
      <x:c r="P533" s="23" t="str">
        <x:v>Core</x:v>
      </x:c>
      <x:c r="Q533" s="23" t="str">
        <x:v>Verified</x:v>
      </x:c>
      <x:c r="R533" s="26" t="n">
        <x:v>46246</x:v>
      </x:c>
      <x:c r="S533" s="17" t="str">
        <x:v>Baichuan AI. Long-form interview on AI doctors, model competition, and Baichuan's non-consensus strategy.</x:v>
      </x:c>
      <x:c r="T533" s="16" t="str">
        <x:v>BV19pLQ6VEBB</x:v>
      </x:c>
      <x:c r="U533" s="17" t="str"/>
      <x:c r="V533" s="151"/>
      <x:c r="W533" s="17" t="str"/>
    </x:row>
    <x:row r="534" ht="42" customHeight="1">
      <x:c r="A534" s="22" t="str">
        <x:v>ST-533</x:v>
      </x:c>
      <x:c r="B534" s="22" t="str">
        <x:v>Talk</x:v>
      </x:c>
      <x:c r="C534" s="22" t="str">
        <x:v>Agent</x:v>
      </x:c>
      <x:c r="D534" s="17" t="str">
        <x:v>Agents / Tool Use / Reasoning</x:v>
      </x:c>
      <x:c r="E534" s="17" t="str">
        <x:v>Foundation Models / Agents / Reasoning / Tool Use / Baichuan AI</x:v>
      </x:c>
      <x:c r="F534" s="23" t="str">
        <x:v>Chinese</x:v>
      </x:c>
      <x:c r="G534" s="17" t="str">
        <x:v>【洪涛 百川联合创始人、总裁】百川智能：打造AGI时代的超级底座与应用</x:v>
      </x:c>
      <x:c r="H534" s="17" t="str">
        <x:v>Tao Hong</x:v>
      </x:c>
      <x:c r="I534" s="17" t="str">
        <x:v>AI开讲啦</x:v>
      </x:c>
      <x:c r="J534" s="23" t="str">
        <x:v>Technical and Strategy Talk</x:v>
      </x:c>
      <x:c r="K534" s="24" t="n">
        <x:v>19</x:v>
      </x:c>
      <x:c r="L534" s="16" t="str">
        <x:v>https://www.bilibili.com/video/BV1Yp4y1L7mp</x:v>
      </x:c>
      <x:c r="M534" s="22" t="str">
        <x:v>Bilibili</x:v>
      </x:c>
      <x:c r="N534" s="25" t="n">
        <x:v>1675</x:v>
      </x:c>
      <x:c r="O534" s="23" t="str">
        <x:v>B | University / Conference / Institution</x:v>
      </x:c>
      <x:c r="P534" s="23" t="str">
        <x:v>Recommended</x:v>
      </x:c>
      <x:c r="Q534" s="23" t="str">
        <x:v>Verified</x:v>
      </x:c>
      <x:c r="R534" s="26" t="n">
        <x:v>46246</x:v>
      </x:c>
      <x:c r="S534" s="17" t="str">
        <x:v>Baichuan AI. Talk by Baichuan's co-founder on foundation models and applications in the AGI era.</x:v>
      </x:c>
      <x:c r="T534" s="16" t="str">
        <x:v>BV1Yp4y1L7mp</x:v>
      </x:c>
      <x:c r="U534" s="17" t="str"/>
      <x:c r="V534" s="151"/>
      <x:c r="W534" s="17" t="str"/>
    </x:row>
    <x:row r="535" ht="42" customHeight="1">
      <x:c r="A535" s="22" t="str">
        <x:v>ST-534</x:v>
      </x:c>
      <x:c r="B535" s="22" t="str">
        <x:v>Interview</x:v>
      </x:c>
      <x:c r="C535" s="22" t="str">
        <x:v>Agent</x:v>
      </x:c>
      <x:c r="D535" s="17" t="str">
        <x:v>Agents / Tool Use / Reasoning</x:v>
      </x:c>
      <x:c r="E535" s="17" t="str">
        <x:v>Foundation Models / Agents / Reasoning / Tool Use / 01.AI</x:v>
      </x:c>
      <x:c r="F535" s="23" t="str">
        <x:v>Chinese</x:v>
      </x:c>
      <x:c r="G535" s="17" t="str">
        <x:v>对谈李开复：AI越聪明，我们越该重新定义“有用”</x:v>
      </x:c>
      <x:c r="H535" s="17" t="str">
        <x:v>Kai-Fu Lee</x:v>
      </x:c>
      <x:c r="I535" s="17" t="str">
        <x:v>央视网</x:v>
      </x:c>
      <x:c r="J535" s="23" t="str">
        <x:v>Broadcast Interview</x:v>
      </x:c>
      <x:c r="K535" s="24" t="n">
        <x:v>25</x:v>
      </x:c>
      <x:c r="L535" s="16" t="str">
        <x:v>https://www.bilibili.com/video/BV1fUKG6SE1k</x:v>
      </x:c>
      <x:c r="M535" s="22" t="str">
        <x:v>Bilibili</x:v>
      </x:c>
      <x:c r="N535" s="25" t="n">
        <x:v>8494</x:v>
      </x:c>
      <x:c r="O535" s="23" t="str">
        <x:v>A | Official / Original Creator / Organizer</x:v>
      </x:c>
      <x:c r="P535" s="23" t="str">
        <x:v>Core</x:v>
      </x:c>
      <x:c r="Q535" s="23" t="str">
        <x:v>Verified</x:v>
      </x:c>
      <x:c r="R535" s="26" t="n">
        <x:v>46246</x:v>
      </x:c>
      <x:c r="S535" s="17" t="str">
        <x:v>01.AI. CCTV interview on how increasingly capable AI changes work, education, and the meaning of human usefulness.</x:v>
      </x:c>
      <x:c r="T535" s="16" t="str">
        <x:v>BV1fUKG6SE1k</x:v>
      </x:c>
      <x:c r="U535" s="17" t="str"/>
      <x:c r="V535" s="151"/>
      <x:c r="W535" s="17" t="str"/>
    </x:row>
    <x:row r="536" ht="42" customHeight="1">
      <x:c r="A536" s="22" t="str">
        <x:v>ST-535</x:v>
      </x:c>
      <x:c r="B536" s="22" t="str">
        <x:v>Interview</x:v>
      </x:c>
      <x:c r="C536" s="22" t="str">
        <x:v>Agent</x:v>
      </x:c>
      <x:c r="D536" s="17" t="str">
        <x:v>Agents / Tool Use / Reasoning</x:v>
      </x:c>
      <x:c r="E536" s="17" t="str">
        <x:v>Foundation Models / Agents / Reasoning / Tool Use / 01.AI</x:v>
      </x:c>
      <x:c r="F536" s="23" t="str">
        <x:v>Chinese</x:v>
      </x:c>
      <x:c r="G536" s="17" t="str">
        <x:v>20260718 刘润进化者 对谈李开复</x:v>
      </x:c>
      <x:c r="H536" s="17" t="str">
        <x:v>Kai-Fu Lee</x:v>
      </x:c>
      <x:c r="I536" s="17" t="str">
        <x:v>章振洋</x:v>
      </x:c>
      <x:c r="J536" s="23" t="str">
        <x:v>Long-form Video Interview</x:v>
      </x:c>
      <x:c r="K536" s="24" t="n">
        <x:v>118</x:v>
      </x:c>
      <x:c r="L536" s="16" t="str">
        <x:v>https://www.bilibili.com/video/BV1nvK66AEfz</x:v>
      </x:c>
      <x:c r="M536" s="22" t="str">
        <x:v>Bilibili</x:v>
      </x:c>
      <x:c r="N536" s="25" t="n">
        <x:v>3658</x:v>
      </x:c>
      <x:c r="O536" s="23" t="str">
        <x:v>B | University / Conference / Institution</x:v>
      </x:c>
      <x:c r="P536" s="23" t="str">
        <x:v>Recommended</x:v>
      </x:c>
      <x:c r="Q536" s="23" t="str">
        <x:v>Verified</x:v>
      </x:c>
      <x:c r="R536" s="26" t="n">
        <x:v>46246</x:v>
      </x:c>
      <x:c r="S536" s="17" t="str">
        <x:v>01.AI. Long-form 2026 conversation on AI models, applications, organizations, and entrepreneurship.</x:v>
      </x:c>
      <x:c r="T536" s="16" t="str">
        <x:v>BV1nvK66AEfz</x:v>
      </x:c>
      <x:c r="U536" s="17" t="str"/>
      <x:c r="V536" s="151"/>
      <x:c r="W536" s="17" t="str"/>
    </x:row>
    <x:row r="537" ht="42" customHeight="1">
      <x:c r="A537" s="22" t="str">
        <x:v>ST-536</x:v>
      </x:c>
      <x:c r="B537" s="22" t="str">
        <x:v>Interview</x:v>
      </x:c>
      <x:c r="C537" s="22" t="str">
        <x:v>Agent</x:v>
      </x:c>
      <x:c r="D537" s="17" t="str">
        <x:v>Agents / Tool Use / Reasoning</x:v>
      </x:c>
      <x:c r="E537" s="17" t="str">
        <x:v>Foundation Models / Agents / Reasoning / Tool Use / 01.AI</x:v>
      </x:c>
      <x:c r="F537" s="23" t="str">
        <x:v>Chinese</x:v>
      </x:c>
      <x:c r="G537" s="17" t="str">
        <x:v>2024北京智源大会 | 李开复&amp;张亚勤：通用人工智能-Fireside Chat</x:v>
      </x:c>
      <x:c r="H537" s="17" t="str">
        <x:v>Kai-Fu Lee and Ya-Qin Zhang</x:v>
      </x:c>
      <x:c r="I537" s="17" t="str">
        <x:v>账号已注销</x:v>
      </x:c>
      <x:c r="J537" s="23" t="str">
        <x:v>Fireside Chat</x:v>
      </x:c>
      <x:c r="K537" s="24" t="n">
        <x:v>38</x:v>
      </x:c>
      <x:c r="L537" s="16" t="str">
        <x:v>https://www.bilibili.com/video/BV1figseQEht</x:v>
      </x:c>
      <x:c r="M537" s="22" t="str">
        <x:v>Bilibili</x:v>
      </x:c>
      <x:c r="N537" s="25" t="n">
        <x:v>172</x:v>
      </x:c>
      <x:c r="O537" s="23" t="str">
        <x:v>B | University / Conference / Institution</x:v>
      </x:c>
      <x:c r="P537" s="23" t="str">
        <x:v>Recommended</x:v>
      </x:c>
      <x:c r="Q537" s="23" t="str">
        <x:v>Verified</x:v>
      </x:c>
      <x:c r="R537" s="26" t="n">
        <x:v>46246</x:v>
      </x:c>
      <x:c r="S537" s="17" t="str">
        <x:v>01.AI. BAAI fireside chat on general artificial intelligence and China's model ecosystem.</x:v>
      </x:c>
      <x:c r="T537" s="16" t="str">
        <x:v>BV1figseQEht</x:v>
      </x:c>
      <x:c r="U537" s="17" t="str"/>
      <x:c r="V537" s="151"/>
      <x:c r="W537" s="17" t="str"/>
    </x:row>
    <x:row r="538" ht="42" customHeight="1">
      <x:c r="A538" s="22" t="str">
        <x:v>ST-537</x:v>
      </x:c>
      <x:c r="B538" s="22" t="str">
        <x:v>Talk</x:v>
      </x:c>
      <x:c r="C538" s="22" t="str">
        <x:v>Vision</x:v>
      </x:c>
      <x:c r="D538" s="17" t="str">
        <x:v>Computer Vision / 3D Vision</x:v>
      </x:c>
      <x:c r="E538" s="17" t="str">
        <x:v>Multimodal Models / Computer Vision / Representation Learning / ByteDance AI / Seed lineage</x:v>
      </x:c>
      <x:c r="F538" s="23" t="str">
        <x:v>Chinese</x:v>
      </x:c>
      <x:c r="G538" s="17" t="str">
        <x:v>字节跳动曾妍：多粒度视觉语言预训练模型X-VLM</x:v>
      </x:c>
      <x:c r="H538" s="17" t="str">
        <x:v>Yan Zeng</x:v>
      </x:c>
      <x:c r="I538" s="17" t="str">
        <x:v>机器之心官方</x:v>
      </x:c>
      <x:c r="J538" s="23" t="str">
        <x:v>Research Talk</x:v>
      </x:c>
      <x:c r="K538" s="24" t="n">
        <x:v>17</x:v>
      </x:c>
      <x:c r="L538" s="16" t="str">
        <x:v>https://www.bilibili.com/video/BV1Da411S7jf</x:v>
      </x:c>
      <x:c r="M538" s="22" t="str">
        <x:v>Bilibili</x:v>
      </x:c>
      <x:c r="N538" s="25" t="n">
        <x:v>5153</x:v>
      </x:c>
      <x:c r="O538" s="23" t="str">
        <x:v>A | Official / Original Creator / Organizer</x:v>
      </x:c>
      <x:c r="P538" s="23" t="str">
        <x:v>Core</x:v>
      </x:c>
      <x:c r="Q538" s="23" t="str">
        <x:v>Verified</x:v>
      </x:c>
      <x:c r="R538" s="26" t="n">
        <x:v>46246</x:v>
      </x:c>
      <x:c r="S538" s="17" t="str">
        <x:v>ByteDance AI / Seed lineage. ByteDance research talk on X-VLM, an important multimodal predecessor in the research lineage that now continues in Seed.</x:v>
      </x:c>
      <x:c r="T538" s="16" t="str">
        <x:v>BV1Da411S7jf</x:v>
      </x:c>
      <x:c r="U538" s="17" t="str"/>
      <x:c r="V538" s="151"/>
      <x:c r="W538" s="17" t="str"/>
    </x:row>
    <x:row r="539" ht="42" customHeight="1">
      <x:c r="A539" s="22" t="str">
        <x:v>ST-538</x:v>
      </x:c>
      <x:c r="B539" s="22" t="str">
        <x:v>Course</x:v>
      </x:c>
      <x:c r="C539" s="22" t="str">
        <x:v>Agent</x:v>
      </x:c>
      <x:c r="D539" s="17" t="str">
        <x:v>Agents / Tool Use / Reasoning</x:v>
      </x:c>
      <x:c r="E539" s="17" t="str">
        <x:v>Foundation Models / Agents / Reasoning / Tool Use / ModelBest</x:v>
      </x:c>
      <x:c r="F539" s="23" t="str">
        <x:v>Chinese</x:v>
      </x:c>
      <x:c r="G539" s="17" t="str">
        <x:v>【清华NLP】刘知远团队大模型公开课全网首发｜带你从入门到实战</x:v>
      </x:c>
      <x:c r="H539" s="17" t="str">
        <x:v>Zhiyuan Liu and the Tsinghua NLP team</x:v>
      </x:c>
      <x:c r="I539" s="17" t="str">
        <x:v>OpenBMB</x:v>
      </x:c>
      <x:c r="J539" s="23" t="str">
        <x:v>Full Course / Tutorial Series</x:v>
      </x:c>
      <x:c r="K539" s="24" t="n">
        <x:v>1057</x:v>
      </x:c>
      <x:c r="L539" s="16" t="str">
        <x:v>https://www.bilibili.com/video/BV1UG411p7zv</x:v>
      </x:c>
      <x:c r="M539" s="22" t="str">
        <x:v>Bilibili</x:v>
      </x:c>
      <x:c r="N539" s="25" t="n">
        <x:v>659114</x:v>
      </x:c>
      <x:c r="O539" s="23" t="str">
        <x:v>A | Official / Original Creator / Organizer</x:v>
      </x:c>
      <x:c r="P539" s="23" t="str">
        <x:v>Core</x:v>
      </x:c>
      <x:c r="Q539" s="23" t="str">
        <x:v>Verified</x:v>
      </x:c>
      <x:c r="R539" s="26" t="n">
        <x:v>46246</x:v>
      </x:c>
      <x:c r="S539" s="17" t="str">
        <x:v>ModelBest. Substantial Tsinghua NLP course series led by ModelBest co-founder Zhiyuan Liu, spanning foundations through implementation.</x:v>
      </x:c>
      <x:c r="T539" s="16" t="str">
        <x:v>BV1UG411p7zv</x:v>
      </x:c>
      <x:c r="U539" s="17" t="str"/>
      <x:c r="V539" s="151"/>
      <x:c r="W539" s="17" t="str"/>
    </x:row>
    <x:row r="540" ht="42" customHeight="1">
      <x:c r="A540" s="22" t="str">
        <x:v>ST-539</x:v>
      </x:c>
      <x:c r="B540" s="22" t="str">
        <x:v>Talk</x:v>
      </x:c>
      <x:c r="C540" s="22" t="str">
        <x:v>Robotics</x:v>
      </x:c>
      <x:c r="D540" s="17" t="str">
        <x:v>Robotics / Embodied AI</x:v>
      </x:c>
      <x:c r="E540" s="17" t="str">
        <x:v>Robot Learning / Embodied AI / Physical Intelligence / ModelBest</x:v>
      </x:c>
      <x:c r="F540" s="23" t="str">
        <x:v>Chinese</x:v>
      </x:c>
      <x:c r="G540" s="17" t="str">
        <x:v>面壁CEO李大海：端侧智能如何叩开物理世界AGI大门？</x:v>
      </x:c>
      <x:c r="H540" s="17" t="str">
        <x:v>Dahai Li</x:v>
      </x:c>
      <x:c r="I540" s="17" t="str">
        <x:v>科技良友</x:v>
      </x:c>
      <x:c r="J540" s="23" t="str">
        <x:v>Executive Talk</x:v>
      </x:c>
      <x:c r="K540" s="24" t="n">
        <x:v>4</x:v>
      </x:c>
      <x:c r="L540" s="16" t="str">
        <x:v>https://www.bilibili.com/video/BV1nJEvzwEFU</x:v>
      </x:c>
      <x:c r="M540" s="22" t="str">
        <x:v>Bilibili</x:v>
      </x:c>
      <x:c r="N540" s="25" t="n">
        <x:v>386</x:v>
      </x:c>
      <x:c r="O540" s="23" t="str">
        <x:v>B | University / Conference / Institution</x:v>
      </x:c>
      <x:c r="P540" s="23" t="str">
        <x:v>Recommended</x:v>
      </x:c>
      <x:c r="Q540" s="23" t="str">
        <x:v>Verified</x:v>
      </x:c>
      <x:c r="R540" s="26" t="n">
        <x:v>46246</x:v>
      </x:c>
      <x:c r="S540" s="17" t="str">
        <x:v>ModelBest. Concise talk on how on-device intelligence may connect digital models to physical-world AGI.</x:v>
      </x:c>
      <x:c r="T540" s="16" t="str">
        <x:v>BV1nJEvzwEFU</x:v>
      </x:c>
      <x:c r="U540" s="17" t="str"/>
      <x:c r="V540" s="151"/>
      <x:c r="W540" s="17" t="str"/>
    </x:row>
    <x:row r="541" ht="42" customHeight="1">
      <x:c r="A541" s="22" t="str">
        <x:v>ST-540</x:v>
      </x:c>
      <x:c r="B541" s="22" t="str">
        <x:v>Talk</x:v>
      </x:c>
      <x:c r="C541" s="22" t="str">
        <x:v>World Model</x:v>
      </x:c>
      <x:c r="D541" s="17" t="str">
        <x:v>World Models / Predictive Intelligence</x:v>
      </x:c>
      <x:c r="E541" s="17" t="str">
        <x:v>World Models / Video Generation / Spatial Intelligence / ShengShu Technology / Vidu</x:v>
      </x:c>
      <x:c r="F541" s="23" t="str">
        <x:v>Chinese</x:v>
      </x:c>
      <x:c r="G541" s="17" t="str">
        <x:v>清华大学朱军教授：Generative AI: from Virtual to Physical World｜2025未来科学大奖周科学峰会【计算机科学专场】</x:v>
      </x:c>
      <x:c r="H541" s="17" t="str">
        <x:v>Jun Zhu</x:v>
      </x:c>
      <x:c r="I541" s="17" t="str">
        <x:v>未来论坛</x:v>
      </x:c>
      <x:c r="J541" s="23" t="str">
        <x:v>Research Keynote</x:v>
      </x:c>
      <x:c r="K541" s="24" t="n">
        <x:v>24</x:v>
      </x:c>
      <x:c r="L541" s="16" t="str">
        <x:v>https://www.bilibili.com/video/BV1sFcMzJE3X</x:v>
      </x:c>
      <x:c r="M541" s="22" t="str">
        <x:v>Bilibili</x:v>
      </x:c>
      <x:c r="N541" s="25" t="n">
        <x:v>2354</x:v>
      </x:c>
      <x:c r="O541" s="23" t="str">
        <x:v>A | Official / Original Creator / Organizer</x:v>
      </x:c>
      <x:c r="P541" s="23" t="str">
        <x:v>Core</x:v>
      </x:c>
      <x:c r="Q541" s="23" t="str">
        <x:v>Verified</x:v>
      </x:c>
      <x:c r="R541" s="26" t="n">
        <x:v>46246</x:v>
      </x:c>
      <x:c r="S541" s="17" t="str">
        <x:v>ShengShu Technology / Vidu. Research keynote tracing generative AI from virtual content toward physical-world modeling.</x:v>
      </x:c>
      <x:c r="T541" s="16" t="str">
        <x:v>BV1sFcMzJE3X</x:v>
      </x:c>
      <x:c r="U541" s="17" t="str"/>
      <x:c r="V541" s="151"/>
      <x:c r="W541" s="17" t="str"/>
    </x:row>
    <x:row r="542" ht="42" customHeight="1">
      <x:c r="A542" s="22" t="str">
        <x:v>ST-541</x:v>
      </x:c>
      <x:c r="B542" s="22" t="str">
        <x:v>Interview</x:v>
      </x:c>
      <x:c r="C542" s="22" t="str">
        <x:v>World Model</x:v>
      </x:c>
      <x:c r="D542" s="17" t="str">
        <x:v>World Models / Predictive Intelligence</x:v>
      </x:c>
      <x:c r="E542" s="17" t="str">
        <x:v>World Models / Video Generation / Spatial Intelligence / ShengShu Technology / Vidu</x:v>
      </x:c>
      <x:c r="F542" s="23" t="str">
        <x:v>Chinese</x:v>
      </x:c>
      <x:c r="G542" s="17" t="str">
        <x:v>WAIC 2026 特别对话｜央视专访朱军：AI从生成视频，到理解世界</x:v>
      </x:c>
      <x:c r="H542" s="17" t="str">
        <x:v>Jun Zhu</x:v>
      </x:c>
      <x:c r="I542" s="17" t="str">
        <x:v>Vidu-AI</x:v>
      </x:c>
      <x:c r="J542" s="23" t="str">
        <x:v>Broadcast Interview</x:v>
      </x:c>
      <x:c r="K542" s="24" t="n">
        <x:v>7</x:v>
      </x:c>
      <x:c r="L542" s="16" t="str">
        <x:v>https://www.bilibili.com/video/BV1w3Kr6BEjm</x:v>
      </x:c>
      <x:c r="M542" s="22" t="str">
        <x:v>Bilibili</x:v>
      </x:c>
      <x:c r="N542" s="25" t="n">
        <x:v>337</x:v>
      </x:c>
      <x:c r="O542" s="23" t="str">
        <x:v>A | Official / Original Creator / Organizer</x:v>
      </x:c>
      <x:c r="P542" s="23" t="str">
        <x:v>Core</x:v>
      </x:c>
      <x:c r="Q542" s="23" t="str">
        <x:v>Verified</x:v>
      </x:c>
      <x:c r="R542" s="26" t="n">
        <x:v>46246</x:v>
      </x:c>
      <x:c r="S542" s="17" t="str">
        <x:v>ShengShu Technology / Vidu. CCTV interview on moving from video generation toward general world models.</x:v>
      </x:c>
      <x:c r="T542" s="16" t="str">
        <x:v>BV1w3Kr6BEjm</x:v>
      </x:c>
      <x:c r="U542" s="17" t="str"/>
      <x:c r="V542" s="151"/>
      <x:c r="W542" s="17" t="str"/>
    </x:row>
    <x:row r="543" ht="42" customHeight="1">
      <x:c r="A543" s="22" t="str">
        <x:v>ST-542</x:v>
      </x:c>
      <x:c r="B543" s="22" t="str">
        <x:v>Talk</x:v>
      </x:c>
      <x:c r="C543" s="22" t="str">
        <x:v>Agent</x:v>
      </x:c>
      <x:c r="D543" s="17" t="str">
        <x:v>Agents / Tool Use / Reasoning</x:v>
      </x:c>
      <x:c r="E543" s="17" t="str">
        <x:v>Foundation Models / Agents / Reasoning / Tool Use / Shanghai AI Laboratory</x:v>
      </x:c>
      <x:c r="F543" s="23" t="str">
        <x:v>Chinese</x:v>
      </x:c>
      <x:c r="G543" s="17" t="str">
        <x:v>若AGI=通专融合，“它”是实现AGI的可行路径</x:v>
      </x:c>
      <x:c r="H543" s="17" t="str">
        <x:v>Bowen Zhou</x:v>
      </x:c>
      <x:c r="I543" s="17" t="str">
        <x:v>上海AILab</x:v>
      </x:c>
      <x:c r="J543" s="23" t="str">
        <x:v>Invited Talk</x:v>
      </x:c>
      <x:c r="K543" s="24" t="n">
        <x:v>7</x:v>
      </x:c>
      <x:c r="L543" s="16" t="str">
        <x:v>https://www.bilibili.com/video/BV18M6FBEEJV</x:v>
      </x:c>
      <x:c r="M543" s="22" t="str">
        <x:v>Bilibili</x:v>
      </x:c>
      <x:c r="N543" s="25" t="n">
        <x:v>1283</x:v>
      </x:c>
      <x:c r="O543" s="23" t="str">
        <x:v>A | Official / Original Creator / Organizer</x:v>
      </x:c>
      <x:c r="P543" s="23" t="str">
        <x:v>Core</x:v>
      </x:c>
      <x:c r="Q543" s="23" t="str">
        <x:v>Verified</x:v>
      </x:c>
      <x:c r="R543" s="26" t="n">
        <x:v>46246</x:v>
      </x:c>
      <x:c r="S543" s="17" t="str">
        <x:v>Shanghai AI Laboratory. Official Shanghai AI Lab invited talk on combining general and specialized intelligence as a route to AGI.</x:v>
      </x:c>
      <x:c r="T543" s="16" t="str">
        <x:v>BV18M6FBEEJV</x:v>
      </x:c>
      <x:c r="U543" s="17" t="str"/>
      <x:c r="V543" s="151"/>
      <x:c r="W543" s="17" t="str"/>
    </x:row>
    <x:row r="544" ht="42" customHeight="1">
      <x:c r="A544" s="22" t="str">
        <x:v>ST-543</x:v>
      </x:c>
      <x:c r="B544" s="22" t="str">
        <x:v>Course</x:v>
      </x:c>
      <x:c r="C544" s="22" t="str">
        <x:v>Vision</x:v>
      </x:c>
      <x:c r="D544" s="17" t="str">
        <x:v>Computer Vision / 3D Vision</x:v>
      </x:c>
      <x:c r="E544" s="17" t="str">
        <x:v>Multimodal Models / Computer Vision / Representation Learning / Shanghai AI Laboratory / InternVL</x:v>
      </x:c>
      <x:c r="F544" s="23" t="str">
        <x:v>Chinese</x:v>
      </x:c>
      <x:c r="G544" s="17" t="str">
        <x:v>【AI Talk 第五季01期】详解InternVL，开源多模态大模型“黑马”</x:v>
      </x:c>
      <x:c r="H544" s="17" t="str">
        <x:v>InternVL team</x:v>
      </x:c>
      <x:c r="I544" s="17" t="str">
        <x:v>OpenDataLab</x:v>
      </x:c>
      <x:c r="J544" s="23" t="str">
        <x:v>Technical Tutorial</x:v>
      </x:c>
      <x:c r="K544" s="24" t="n">
        <x:v>74</x:v>
      </x:c>
      <x:c r="L544" s="16" t="str">
        <x:v>https://www.bilibili.com/video/BV1Ur421T7qX</x:v>
      </x:c>
      <x:c r="M544" s="22" t="str">
        <x:v>Bilibili</x:v>
      </x:c>
      <x:c r="N544" s="25" t="n">
        <x:v>3671</x:v>
      </x:c>
      <x:c r="O544" s="23" t="str">
        <x:v>A | Official / Original Creator / Organizer</x:v>
      </x:c>
      <x:c r="P544" s="23" t="str">
        <x:v>Core</x:v>
      </x:c>
      <x:c r="Q544" s="23" t="str">
        <x:v>Verified</x:v>
      </x:c>
      <x:c r="R544" s="26" t="n">
        <x:v>46246</x:v>
      </x:c>
      <x:c r="S544" s="17" t="str">
        <x:v>Shanghai AI Laboratory / InternVL. Long technical deep dive into the InternVL open-source multimodal model family.</x:v>
      </x:c>
      <x:c r="T544" s="16" t="str">
        <x:v>BV1Ur421T7qX</x:v>
      </x:c>
      <x:c r="U544" s="17" t="str"/>
      <x:c r="V544" s="151"/>
      <x:c r="W544" s="17" t="str"/>
    </x:row>
    <x:row r="545" ht="42" customHeight="1">
      <x:c r="A545" s="22" t="str">
        <x:v>ST-544</x:v>
      </x:c>
      <x:c r="B545" s="22" t="str">
        <x:v>Course</x:v>
      </x:c>
      <x:c r="C545" s="22" t="str">
        <x:v>Agent</x:v>
      </x:c>
      <x:c r="D545" s="17" t="str">
        <x:v>Agents / Tool Use / Reasoning</x:v>
      </x:c>
      <x:c r="E545" s="17" t="str">
        <x:v>Foundation Models / Agents / Reasoning / Tool Use / Shanghai AI Laboratory / InternLM</x:v>
      </x:c>
      <x:c r="F545" s="23" t="str">
        <x:v>Chinese</x:v>
      </x:c>
      <x:c r="G545" s="17" t="str">
        <x:v>书生·浦语大模型全链路开源体系</x:v>
      </x:c>
      <x:c r="H545" s="17" t="str">
        <x:v>InternLM team</x:v>
      </x:c>
      <x:c r="I545" s="17" t="str">
        <x:v>OpenMMLab</x:v>
      </x:c>
      <x:c r="J545" s="23" t="str">
        <x:v>Technical Tutorial</x:v>
      </x:c>
      <x:c r="K545" s="24" t="n">
        <x:v>36</x:v>
      </x:c>
      <x:c r="L545" s="16" t="str">
        <x:v>https://www.bilibili.com/video/BV1Vx421X72D</x:v>
      </x:c>
      <x:c r="M545" s="22" t="str">
        <x:v>Bilibili</x:v>
      </x:c>
      <x:c r="N545" s="25" t="n">
        <x:v>11309</x:v>
      </x:c>
      <x:c r="O545" s="23" t="str">
        <x:v>A | Official / Original Creator / Organizer</x:v>
      </x:c>
      <x:c r="P545" s="23" t="str">
        <x:v>Core</x:v>
      </x:c>
      <x:c r="Q545" s="23" t="str">
        <x:v>Verified</x:v>
      </x:c>
      <x:c r="R545" s="26" t="n">
        <x:v>46246</x:v>
      </x:c>
      <x:c r="S545" s="17" t="str">
        <x:v>Shanghai AI Laboratory / InternLM. Official tutorial on the open-source InternLM model and tooling stack.</x:v>
      </x:c>
      <x:c r="T545" s="16" t="str">
        <x:v>BV1Vx421X72D</x:v>
      </x:c>
      <x:c r="U545" s="17" t="str"/>
      <x:c r="V545" s="151"/>
      <x:c r="W545" s="17" t="str"/>
    </x:row>
    <x:row r="546" ht="42" customHeight="1">
      <x:c r="A546" s="22" t="str">
        <x:v>ST-545</x:v>
      </x:c>
      <x:c r="B546" s="22" t="str">
        <x:v>Talk</x:v>
      </x:c>
      <x:c r="C546" s="22" t="str">
        <x:v>Robotics</x:v>
      </x:c>
      <x:c r="D546" s="17" t="str">
        <x:v>Robotics / Embodied AI</x:v>
      </x:c>
      <x:c r="E546" s="17" t="str">
        <x:v>Robot Learning / Embodied AI / Physical Intelligence / Shanghai AI Laboratory</x:v>
      </x:c>
      <x:c r="F546" s="23" t="str">
        <x:v>Chinese</x:v>
      </x:c>
      <x:c r="G546" s="17" t="str">
        <x:v>上海AI Lab最新！可泛化、可规模化的空间具身智能</x:v>
      </x:c>
      <x:c r="H546" s="17" t="str">
        <x:v>Haoyi Zhu</x:v>
      </x:c>
      <x:c r="I546" s="17" t="str">
        <x:v>3D视觉工坊</x:v>
      </x:c>
      <x:c r="J546" s="23" t="str">
        <x:v>Research Talk</x:v>
      </x:c>
      <x:c r="K546" s="24" t="n">
        <x:v>51</x:v>
      </x:c>
      <x:c r="L546" s="16" t="str">
        <x:v>https://www.bilibili.com/video/BV1FAMPzjEVX</x:v>
      </x:c>
      <x:c r="M546" s="22" t="str">
        <x:v>Bilibili</x:v>
      </x:c>
      <x:c r="N546" s="25" t="n">
        <x:v>2226</x:v>
      </x:c>
      <x:c r="O546" s="23" t="str">
        <x:v>B | University / Conference / Institution</x:v>
      </x:c>
      <x:c r="P546" s="23" t="str">
        <x:v>Recommended</x:v>
      </x:c>
      <x:c r="Q546" s="23" t="str">
        <x:v>Verified</x:v>
      </x:c>
      <x:c r="R546" s="26" t="n">
        <x:v>46246</x:v>
      </x:c>
      <x:c r="S546" s="17" t="str">
        <x:v>Shanghai AI Laboratory. Research talk on scalable spatial embodied intelligence, connecting 3D perception, world modeling, and robot learning.</x:v>
      </x:c>
      <x:c r="T546" s="16" t="str">
        <x:v>BV1FAMPzjEVX</x:v>
      </x:c>
      <x:c r="U546" s="17" t="str"/>
      <x:c r="V546" s="151"/>
      <x:c r="W546" s="17" t="str"/>
    </x:row>
    <x:row r="547" ht="42" customHeight="1">
      <x:c r="A547" s="22" t="str">
        <x:v>ST-546</x:v>
      </x:c>
      <x:c r="B547" s="22" t="str">
        <x:v>Interview</x:v>
      </x:c>
      <x:c r="C547" s="22" t="str">
        <x:v>Agent</x:v>
      </x:c>
      <x:c r="D547" s="17" t="str">
        <x:v>Agents / Tool Use / Reasoning</x:v>
      </x:c>
      <x:c r="E547" s="17" t="str">
        <x:v>Foundation Models / Agents / Reasoning / Tool Use / Moonshot AI / Zhipu AI / Baichuan AI / ModelBest</x:v>
      </x:c>
      <x:c r="F547" s="23" t="str">
        <x:v>Chinese</x:v>
      </x:c>
      <x:c r="G547" s="17" t="str">
        <x:v>2024智源大会-尖峰对话-通往AGI之路</x:v>
      </x:c>
      <x:c r="H547" s="17" t="str">
        <x:v>Xiaochuan Wang, Peng Zhang, Zhilin Yang, and Dahai Li</x:v>
      </x:c>
      <x:c r="I547" s="17" t="str">
        <x:v>啊是在想起我</x:v>
      </x:c>
      <x:c r="J547" s="23" t="str">
        <x:v>Executive Panel</x:v>
      </x:c>
      <x:c r="K547" s="24" t="n">
        <x:v>50</x:v>
      </x:c>
      <x:c r="L547" s="16" t="str">
        <x:v>https://www.bilibili.com/video/BV1BQGoemEMp</x:v>
      </x:c>
      <x:c r="M547" s="22" t="str">
        <x:v>Bilibili</x:v>
      </x:c>
      <x:c r="N547" s="25" t="n">
        <x:v>3768</x:v>
      </x:c>
      <x:c r="O547" s="23" t="str">
        <x:v>B | University / Conference / Institution</x:v>
      </x:c>
      <x:c r="P547" s="23" t="str">
        <x:v>Recommended</x:v>
      </x:c>
      <x:c r="Q547" s="23" t="str">
        <x:v>Verified</x:v>
      </x:c>
      <x:c r="R547" s="26" t="n">
        <x:v>46246</x:v>
      </x:c>
      <x:c r="S547" s="17" t="str">
        <x:v>Moonshot AI / Zhipu AI / Baichuan AI / ModelBest. BAAI 2024 panel bringing together four leading Chinese foundation-model CEOs on the road to AGI.</x:v>
      </x:c>
      <x:c r="T547" s="16" t="str">
        <x:v>BV1BQGoemEMp</x:v>
      </x:c>
      <x:c r="U547" s="17" t="str"/>
      <x:c r="V547" s="151"/>
      <x:c r="W547" s="17" t="str"/>
    </x:row>
    <x:row r="548" ht="42" customHeight="1">
      <x:c r="A548" s="144" t="str">
        <x:v>ST-547</x:v>
      </x:c>
      <x:c r="B548" s="144" t="str">
        <x:v>Course</x:v>
      </x:c>
      <x:c r="C548" s="144" t="str">
        <x:v>Vision</x:v>
      </x:c>
      <x:c r="D548" s="145" t="str">
        <x:v>Computer Vision</x:v>
      </x:c>
      <x:c r="E548" s="145" t="str">
        <x:v>Computer Vision; Deep Learning; Vision-Language Models; Video Understanding</x:v>
      </x:c>
      <x:c r="F548" s="145" t="str">
        <x:v>English</x:v>
      </x:c>
      <x:c r="G548" s="145" t="str">
        <x:v>Stanford CS231N | Spring 2025 | Lecture 2: Image Classification with Linear Classifiers</x:v>
      </x:c>
      <x:c r="H548" s="145" t="str">
        <x:v>Stanford Online course team</x:v>
      </x:c>
      <x:c r="I548" s="145" t="str">
        <x:v>Stanford Online</x:v>
      </x:c>
      <x:c r="J548" s="145" t="str">
        <x:v>Course Lecture</x:v>
      </x:c>
      <x:c r="K548" s="147" t="n">
        <x:v>67</x:v>
      </x:c>
      <x:c r="L548" s="144" t="str">
        <x:v>https://www.youtube.com/watch?v=pdqofxJeBN8</x:v>
      </x:c>
      <x:c r="M548" s="144" t="str">
        <x:v>YouTube</x:v>
      </x:c>
      <x:c r="N548" s="149" t="n">
        <x:v>108383</x:v>
      </x:c>
      <x:c r="O548" s="144" t="str">
        <x:v>A | Official / Original Creator / Organizer</x:v>
      </x:c>
      <x:c r="P548" s="144" t="str">
        <x:v>Core</x:v>
      </x:c>
      <x:c r="Q548" s="144" t="str">
        <x:v>Verified</x:v>
      </x:c>
      <x:c r="R548" s="146" t="n">
        <x:v>46249</x:v>
      </x:c>
      <x:c r="S548" s="144" t="str">
        <x:v>Added from an official university, research institution, conference, or original creator source; public YouTube metadata verified.</x:v>
      </x:c>
      <x:c r="T548" s="144" t="str">
        <x:v>pdqofxJeBN8</x:v>
      </x:c>
      <x:c r="U548" s="144" t="str">
        <x:v>Stanford CS231N: Deep Learning for Computer Vision — Spring 2025</x:v>
      </x:c>
      <x:c r="V548" s="147" t="n">
        <x:v>2</x:v>
      </x:c>
      <x:c r="W548" s="144" t="str">
        <x:v>stanford-cs231n-spring-2025</x:v>
      </x:c>
    </x:row>
    <x:row r="549" ht="42" customHeight="1">
      <x:c r="A549" s="144" t="str">
        <x:v>ST-548</x:v>
      </x:c>
      <x:c r="B549" s="144" t="str">
        <x:v>Course</x:v>
      </x:c>
      <x:c r="C549" s="144" t="str">
        <x:v>Vision</x:v>
      </x:c>
      <x:c r="D549" s="145" t="str">
        <x:v>Computer Vision</x:v>
      </x:c>
      <x:c r="E549" s="145" t="str">
        <x:v>Computer Vision; Deep Learning; Vision-Language Models; Video Understanding</x:v>
      </x:c>
      <x:c r="F549" s="145" t="str">
        <x:v>English</x:v>
      </x:c>
      <x:c r="G549" s="145" t="str">
        <x:v>Stanford CS231N | Spring 2025 | Lecture 4: Neural Networks and Backpropagation</x:v>
      </x:c>
      <x:c r="H549" s="145" t="str">
        <x:v>Stanford Online course team</x:v>
      </x:c>
      <x:c r="I549" s="145" t="str">
        <x:v>Stanford Online</x:v>
      </x:c>
      <x:c r="J549" s="145" t="str">
        <x:v>Course Lecture</x:v>
      </x:c>
      <x:c r="K549" s="147" t="n">
        <x:v>77</x:v>
      </x:c>
      <x:c r="L549" s="144" t="str">
        <x:v>https://www.youtube.com/watch?v=25zD5qJHYsk</x:v>
      </x:c>
      <x:c r="M549" s="144" t="str">
        <x:v>YouTube</x:v>
      </x:c>
      <x:c r="N549" s="149" t="n">
        <x:v>57544</x:v>
      </x:c>
      <x:c r="O549" s="144" t="str">
        <x:v>A | Official / Original Creator / Organizer</x:v>
      </x:c>
      <x:c r="P549" s="144" t="str">
        <x:v>Core</x:v>
      </x:c>
      <x:c r="Q549" s="144" t="str">
        <x:v>Verified</x:v>
      </x:c>
      <x:c r="R549" s="146" t="n">
        <x:v>46249</x:v>
      </x:c>
      <x:c r="S549" s="144" t="str">
        <x:v>Added from an official university, research institution, conference, or original creator source; public YouTube metadata verified.</x:v>
      </x:c>
      <x:c r="T549" s="144" t="str">
        <x:v>25zD5qJHYsk</x:v>
      </x:c>
      <x:c r="U549" s="144" t="str">
        <x:v>Stanford CS231N: Deep Learning for Computer Vision — Spring 2025</x:v>
      </x:c>
      <x:c r="V549" s="147" t="n">
        <x:v>4</x:v>
      </x:c>
      <x:c r="W549" s="144" t="str">
        <x:v>stanford-cs231n-spring-2025</x:v>
      </x:c>
    </x:row>
    <x:row r="550" ht="42" customHeight="1">
      <x:c r="A550" s="144" t="str">
        <x:v>ST-549</x:v>
      </x:c>
      <x:c r="B550" s="144" t="str">
        <x:v>Course</x:v>
      </x:c>
      <x:c r="C550" s="144" t="str">
        <x:v>Vision</x:v>
      </x:c>
      <x:c r="D550" s="145" t="str">
        <x:v>Computer Vision</x:v>
      </x:c>
      <x:c r="E550" s="145" t="str">
        <x:v>Computer Vision; Deep Learning; Vision-Language Models; Video Understanding</x:v>
      </x:c>
      <x:c r="F550" s="145" t="str">
        <x:v>English</x:v>
      </x:c>
      <x:c r="G550" s="145" t="str">
        <x:v>Stanford CS231N | Spring 2025 | Lecture 5: Image Classification with CNNs</x:v>
      </x:c>
      <x:c r="H550" s="145" t="str">
        <x:v>Stanford Online course team</x:v>
      </x:c>
      <x:c r="I550" s="145" t="str">
        <x:v>Stanford Online</x:v>
      </x:c>
      <x:c r="J550" s="145" t="str">
        <x:v>Course Lecture</x:v>
      </x:c>
      <x:c r="K550" s="147" t="n">
        <x:v>68</x:v>
      </x:c>
      <x:c r="L550" s="144" t="str">
        <x:v>https://www.youtube.com/watch?v=f3g1zGdxptI</x:v>
      </x:c>
      <x:c r="M550" s="144" t="str">
        <x:v>YouTube</x:v>
      </x:c>
      <x:c r="N550" s="149" t="n">
        <x:v>47780</x:v>
      </x:c>
      <x:c r="O550" s="144" t="str">
        <x:v>A | Official / Original Creator / Organizer</x:v>
      </x:c>
      <x:c r="P550" s="144" t="str">
        <x:v>Core</x:v>
      </x:c>
      <x:c r="Q550" s="144" t="str">
        <x:v>Verified</x:v>
      </x:c>
      <x:c r="R550" s="146" t="n">
        <x:v>46249</x:v>
      </x:c>
      <x:c r="S550" s="144" t="str">
        <x:v>Added from an official university, research institution, conference, or original creator source; public YouTube metadata verified.</x:v>
      </x:c>
      <x:c r="T550" s="144" t="str">
        <x:v>f3g1zGdxptI</x:v>
      </x:c>
      <x:c r="U550" s="144" t="str">
        <x:v>Stanford CS231N: Deep Learning for Computer Vision — Spring 2025</x:v>
      </x:c>
      <x:c r="V550" s="147" t="n">
        <x:v>5</x:v>
      </x:c>
      <x:c r="W550" s="144" t="str">
        <x:v>stanford-cs231n-spring-2025</x:v>
      </x:c>
    </x:row>
    <x:row r="551" ht="42" customHeight="1">
      <x:c r="A551" s="144" t="str">
        <x:v>ST-550</x:v>
      </x:c>
      <x:c r="B551" s="144" t="str">
        <x:v>Course</x:v>
      </x:c>
      <x:c r="C551" s="144" t="str">
        <x:v>Vision</x:v>
      </x:c>
      <x:c r="D551" s="145" t="str">
        <x:v>Computer Vision</x:v>
      </x:c>
      <x:c r="E551" s="145" t="str">
        <x:v>Computer Vision; Deep Learning; Vision-Language Models; Video Understanding</x:v>
      </x:c>
      <x:c r="F551" s="145" t="str">
        <x:v>English</x:v>
      </x:c>
      <x:c r="G551" s="145" t="str">
        <x:v>Stanford CS231N | Spring 2025 | Lecture 7: Recurrent Neural Networks</x:v>
      </x:c>
      <x:c r="H551" s="145" t="str">
        <x:v>Stanford Online course team</x:v>
      </x:c>
      <x:c r="I551" s="145" t="str">
        <x:v>Stanford Online</x:v>
      </x:c>
      <x:c r="J551" s="145" t="str">
        <x:v>Course Lecture</x:v>
      </x:c>
      <x:c r="K551" s="147" t="n">
        <x:v>72</x:v>
      </x:c>
      <x:c r="L551" s="144" t="str">
        <x:v>https://www.youtube.com/watch?v=kG2lAPBF7zA</x:v>
      </x:c>
      <x:c r="M551" s="144" t="str">
        <x:v>YouTube</x:v>
      </x:c>
      <x:c r="N551" s="149" t="n">
        <x:v>37936</x:v>
      </x:c>
      <x:c r="O551" s="144" t="str">
        <x:v>A | Official / Original Creator / Organizer</x:v>
      </x:c>
      <x:c r="P551" s="144" t="str">
        <x:v>Core</x:v>
      </x:c>
      <x:c r="Q551" s="144" t="str">
        <x:v>Verified</x:v>
      </x:c>
      <x:c r="R551" s="146" t="n">
        <x:v>46249</x:v>
      </x:c>
      <x:c r="S551" s="144" t="str">
        <x:v>Added from an official university, research institution, conference, or original creator source; public YouTube metadata verified.</x:v>
      </x:c>
      <x:c r="T551" s="144" t="str">
        <x:v>kG2lAPBF7zA</x:v>
      </x:c>
      <x:c r="U551" s="144" t="str">
        <x:v>Stanford CS231N: Deep Learning for Computer Vision — Spring 2025</x:v>
      </x:c>
      <x:c r="V551" s="147" t="n">
        <x:v>7</x:v>
      </x:c>
      <x:c r="W551" s="144" t="str">
        <x:v>stanford-cs231n-spring-2025</x:v>
      </x:c>
    </x:row>
    <x:row r="552" ht="42" customHeight="1">
      <x:c r="A552" s="144" t="str">
        <x:v>ST-551</x:v>
      </x:c>
      <x:c r="B552" s="144" t="str">
        <x:v>Course</x:v>
      </x:c>
      <x:c r="C552" s="144" t="str">
        <x:v>Vision</x:v>
      </x:c>
      <x:c r="D552" s="145" t="str">
        <x:v>Computer Vision</x:v>
      </x:c>
      <x:c r="E552" s="145" t="str">
        <x:v>Computer Vision; Deep Learning; Vision-Language Models; Video Understanding</x:v>
      </x:c>
      <x:c r="F552" s="145" t="str">
        <x:v>English</x:v>
      </x:c>
      <x:c r="G552" s="145" t="str">
        <x:v>Stanford CS231N Deep Learning for Computer Vision | Spring 2025 | Lecture 10: Video Understanding</x:v>
      </x:c>
      <x:c r="H552" s="145" t="str">
        <x:v>Stanford Online course team</x:v>
      </x:c>
      <x:c r="I552" s="145" t="str">
        <x:v>Stanford Online</x:v>
      </x:c>
      <x:c r="J552" s="145" t="str">
        <x:v>Course Lecture</x:v>
      </x:c>
      <x:c r="K552" s="147" t="n">
        <x:v>69</x:v>
      </x:c>
      <x:c r="L552" s="144" t="str">
        <x:v>https://www.youtube.com/watch?v=wElqklprhPE</x:v>
      </x:c>
      <x:c r="M552" s="144" t="str">
        <x:v>YouTube</x:v>
      </x:c>
      <x:c r="N552" s="149" t="n">
        <x:v>24708</x:v>
      </x:c>
      <x:c r="O552" s="144" t="str">
        <x:v>A | Official / Original Creator / Organizer</x:v>
      </x:c>
      <x:c r="P552" s="144" t="str">
        <x:v>Core</x:v>
      </x:c>
      <x:c r="Q552" s="144" t="str">
        <x:v>Verified</x:v>
      </x:c>
      <x:c r="R552" s="146" t="n">
        <x:v>46249</x:v>
      </x:c>
      <x:c r="S552" s="144" t="str">
        <x:v>Added from an official university, research institution, conference, or original creator source; public YouTube metadata verified.</x:v>
      </x:c>
      <x:c r="T552" s="144" t="str">
        <x:v>wElqklprhPE</x:v>
      </x:c>
      <x:c r="U552" s="144" t="str">
        <x:v>Stanford CS231N: Deep Learning for Computer Vision — Spring 2025</x:v>
      </x:c>
      <x:c r="V552" s="147" t="n">
        <x:v>10</x:v>
      </x:c>
      <x:c r="W552" s="144" t="str">
        <x:v>stanford-cs231n-spring-2025</x:v>
      </x:c>
    </x:row>
    <x:row r="553" ht="42" customHeight="1">
      <x:c r="A553" s="144" t="str">
        <x:v>ST-552</x:v>
      </x:c>
      <x:c r="B553" s="144" t="str">
        <x:v>Course</x:v>
      </x:c>
      <x:c r="C553" s="144" t="str">
        <x:v>Vision</x:v>
      </x:c>
      <x:c r="D553" s="145" t="str">
        <x:v>Computer Vision</x:v>
      </x:c>
      <x:c r="E553" s="145" t="str">
        <x:v>Computer Vision; Deep Learning; Vision-Language Models; Video Understanding</x:v>
      </x:c>
      <x:c r="F553" s="145" t="str">
        <x:v>English</x:v>
      </x:c>
      <x:c r="G553" s="145" t="str">
        <x:v>Stanford CS231N | Spring 2025 | Lecture 11: Large Scale Distributed Training</x:v>
      </x:c>
      <x:c r="H553" s="145" t="str">
        <x:v>Stanford Online course team</x:v>
      </x:c>
      <x:c r="I553" s="145" t="str">
        <x:v>Stanford Online</x:v>
      </x:c>
      <x:c r="J553" s="145" t="str">
        <x:v>Course Lecture</x:v>
      </x:c>
      <x:c r="K553" s="147" t="n">
        <x:v>73</x:v>
      </x:c>
      <x:c r="L553" s="144" t="str">
        <x:v>https://www.youtube.com/watch?v=9MvD-XsowsE</x:v>
      </x:c>
      <x:c r="M553" s="144" t="str">
        <x:v>YouTube</x:v>
      </x:c>
      <x:c r="N553" s="149" t="n">
        <x:v>51857</x:v>
      </x:c>
      <x:c r="O553" s="144" t="str">
        <x:v>A | Official / Original Creator / Organizer</x:v>
      </x:c>
      <x:c r="P553" s="144" t="str">
        <x:v>Core</x:v>
      </x:c>
      <x:c r="Q553" s="144" t="str">
        <x:v>Verified</x:v>
      </x:c>
      <x:c r="R553" s="146" t="n">
        <x:v>46249</x:v>
      </x:c>
      <x:c r="S553" s="144" t="str">
        <x:v>Added from an official university, research institution, conference, or original creator source; public YouTube metadata verified.</x:v>
      </x:c>
      <x:c r="T553" s="144" t="str">
        <x:v>9MvD-XsowsE</x:v>
      </x:c>
      <x:c r="U553" s="144" t="str">
        <x:v>Stanford CS231N: Deep Learning for Computer Vision — Spring 2025</x:v>
      </x:c>
      <x:c r="V553" s="147" t="n">
        <x:v>11</x:v>
      </x:c>
      <x:c r="W553" s="144" t="str">
        <x:v>stanford-cs231n-spring-2025</x:v>
      </x:c>
    </x:row>
    <x:row r="554" ht="42" customHeight="1">
      <x:c r="A554" s="144" t="str">
        <x:v>ST-553</x:v>
      </x:c>
      <x:c r="B554" s="144" t="str">
        <x:v>Course</x:v>
      </x:c>
      <x:c r="C554" s="144" t="str">
        <x:v>Vision</x:v>
      </x:c>
      <x:c r="D554" s="145" t="str">
        <x:v>Computer Vision</x:v>
      </x:c>
      <x:c r="E554" s="145" t="str">
        <x:v>Computer Vision; Deep Learning; Vision-Language Models; Video Understanding</x:v>
      </x:c>
      <x:c r="F554" s="145" t="str">
        <x:v>English</x:v>
      </x:c>
      <x:c r="G554" s="145" t="str">
        <x:v>Stanford CS231N Deep Learning for Computer Vision | Spring 2025 | Lecture 13: Generative Models 1</x:v>
      </x:c>
      <x:c r="H554" s="145" t="str">
        <x:v>Stanford Online course team</x:v>
      </x:c>
      <x:c r="I554" s="145" t="str">
        <x:v>Stanford Online</x:v>
      </x:c>
      <x:c r="J554" s="145" t="str">
        <x:v>Course Lecture</x:v>
      </x:c>
      <x:c r="K554" s="147" t="n">
        <x:v>73</x:v>
      </x:c>
      <x:c r="L554" s="144" t="str">
        <x:v>https://www.youtube.com/watch?v=zbHXQRUNlH0</x:v>
      </x:c>
      <x:c r="M554" s="144" t="str">
        <x:v>YouTube</x:v>
      </x:c>
      <x:c r="N554" s="149" t="n">
        <x:v>26087</x:v>
      </x:c>
      <x:c r="O554" s="144" t="str">
        <x:v>A | Official / Original Creator / Organizer</x:v>
      </x:c>
      <x:c r="P554" s="144" t="str">
        <x:v>Core</x:v>
      </x:c>
      <x:c r="Q554" s="144" t="str">
        <x:v>Verified</x:v>
      </x:c>
      <x:c r="R554" s="146" t="n">
        <x:v>46249</x:v>
      </x:c>
      <x:c r="S554" s="144" t="str">
        <x:v>Added from an official university, research institution, conference, or original creator source; public YouTube metadata verified.</x:v>
      </x:c>
      <x:c r="T554" s="144" t="str">
        <x:v>zbHXQRUNlH0</x:v>
      </x:c>
      <x:c r="U554" s="144" t="str">
        <x:v>Stanford CS231N: Deep Learning for Computer Vision — Spring 2025</x:v>
      </x:c>
      <x:c r="V554" s="147" t="n">
        <x:v>13</x:v>
      </x:c>
      <x:c r="W554" s="144" t="str">
        <x:v>stanford-cs231n-spring-2025</x:v>
      </x:c>
    </x:row>
    <x:row r="555" ht="42" customHeight="1">
      <x:c r="A555" s="144" t="str">
        <x:v>ST-554</x:v>
      </x:c>
      <x:c r="B555" s="144" t="str">
        <x:v>Course</x:v>
      </x:c>
      <x:c r="C555" s="144" t="str">
        <x:v>Vision</x:v>
      </x:c>
      <x:c r="D555" s="145" t="str">
        <x:v>Computer Vision</x:v>
      </x:c>
      <x:c r="E555" s="145" t="str">
        <x:v>Computer Vision; Deep Learning; Vision-Language Models; Video Understanding</x:v>
      </x:c>
      <x:c r="F555" s="145" t="str">
        <x:v>English</x:v>
      </x:c>
      <x:c r="G555" s="145" t="str">
        <x:v>Stanford CS231N Deep Learning for Computer Vision | Spring 2025 | Lecture 14: Generative Models 2</x:v>
      </x:c>
      <x:c r="H555" s="145" t="str">
        <x:v>Stanford Online course team</x:v>
      </x:c>
      <x:c r="I555" s="145" t="str">
        <x:v>Stanford Online</x:v>
      </x:c>
      <x:c r="J555" s="145" t="str">
        <x:v>Course Lecture</x:v>
      </x:c>
      <x:c r="K555" s="147" t="n">
        <x:v>72</x:v>
      </x:c>
      <x:c r="L555" s="144" t="str">
        <x:v>https://www.youtube.com/watch?v=Edr4uZFh4EE</x:v>
      </x:c>
      <x:c r="M555" s="144" t="str">
        <x:v>YouTube</x:v>
      </x:c>
      <x:c r="N555" s="149" t="n">
        <x:v>20196</x:v>
      </x:c>
      <x:c r="O555" s="144" t="str">
        <x:v>A | Official / Original Creator / Organizer</x:v>
      </x:c>
      <x:c r="P555" s="144" t="str">
        <x:v>Core</x:v>
      </x:c>
      <x:c r="Q555" s="144" t="str">
        <x:v>Verified</x:v>
      </x:c>
      <x:c r="R555" s="146" t="n">
        <x:v>46249</x:v>
      </x:c>
      <x:c r="S555" s="144" t="str">
        <x:v>Added from an official university, research institution, conference, or original creator source; public YouTube metadata verified.</x:v>
      </x:c>
      <x:c r="T555" s="144" t="str">
        <x:v>Edr4uZFh4EE</x:v>
      </x:c>
      <x:c r="U555" s="144" t="str">
        <x:v>Stanford CS231N: Deep Learning for Computer Vision — Spring 2025</x:v>
      </x:c>
      <x:c r="V555" s="147" t="n">
        <x:v>14</x:v>
      </x:c>
      <x:c r="W555" s="144" t="str">
        <x:v>stanford-cs231n-spring-2025</x:v>
      </x:c>
    </x:row>
    <x:row r="556" ht="42" customHeight="1">
      <x:c r="A556" s="144" t="str">
        <x:v>ST-555</x:v>
      </x:c>
      <x:c r="B556" s="144" t="str">
        <x:v>Course</x:v>
      </x:c>
      <x:c r="C556" s="144" t="str">
        <x:v>Vision</x:v>
      </x:c>
      <x:c r="D556" s="145" t="str">
        <x:v>Computer Vision</x:v>
      </x:c>
      <x:c r="E556" s="145" t="str">
        <x:v>Computer Vision; Deep Learning; Vision-Language Models; Video Understanding</x:v>
      </x:c>
      <x:c r="F556" s="145" t="str">
        <x:v>English</x:v>
      </x:c>
      <x:c r="G556" s="145" t="str">
        <x:v>Stanford CS231N Deep Learning for Computer Vision | Spring 2025 | Lecture 16: Vision and Language</x:v>
      </x:c>
      <x:c r="H556" s="145" t="str">
        <x:v>Stanford Online course team</x:v>
      </x:c>
      <x:c r="I556" s="145" t="str">
        <x:v>Stanford Online</x:v>
      </x:c>
      <x:c r="J556" s="145" t="str">
        <x:v>Course Lecture</x:v>
      </x:c>
      <x:c r="K556" s="147" t="n">
        <x:v>70</x:v>
      </x:c>
      <x:c r="L556" s="144" t="str">
        <x:v>https://www.youtube.com/watch?v=mQOK0Mfyrkk</x:v>
      </x:c>
      <x:c r="M556" s="144" t="str">
        <x:v>YouTube</x:v>
      </x:c>
      <x:c r="N556" s="149" t="n">
        <x:v>21144</x:v>
      </x:c>
      <x:c r="O556" s="144" t="str">
        <x:v>A | Official / Original Creator / Organizer</x:v>
      </x:c>
      <x:c r="P556" s="144" t="str">
        <x:v>Core</x:v>
      </x:c>
      <x:c r="Q556" s="144" t="str">
        <x:v>Verified</x:v>
      </x:c>
      <x:c r="R556" s="146" t="n">
        <x:v>46249</x:v>
      </x:c>
      <x:c r="S556" s="144" t="str">
        <x:v>Added from an official university, research institution, conference, or original creator source; public YouTube metadata verified.</x:v>
      </x:c>
      <x:c r="T556" s="144" t="str">
        <x:v>mQOK0Mfyrkk</x:v>
      </x:c>
      <x:c r="U556" s="144" t="str">
        <x:v>Stanford CS231N: Deep Learning for Computer Vision — Spring 2025</x:v>
      </x:c>
      <x:c r="V556" s="147" t="n">
        <x:v>16</x:v>
      </x:c>
      <x:c r="W556" s="144" t="str">
        <x:v>stanford-cs231n-spring-2025</x:v>
      </x:c>
    </x:row>
    <x:row r="557" ht="42" customHeight="1">
      <x:c r="A557" s="144" t="str">
        <x:v>ST-556</x:v>
      </x:c>
      <x:c r="B557" s="144" t="str">
        <x:v>Course</x:v>
      </x:c>
      <x:c r="C557" s="144" t="str">
        <x:v>Vision</x:v>
      </x:c>
      <x:c r="D557" s="145" t="str">
        <x:v>Computer Vision</x:v>
      </x:c>
      <x:c r="E557" s="145" t="str">
        <x:v>Computer Vision; Deep Learning; Vision-Language Models; Video Understanding</x:v>
      </x:c>
      <x:c r="F557" s="145" t="str">
        <x:v>English</x:v>
      </x:c>
      <x:c r="G557" s="145" t="str">
        <x:v>Stanford CS231N Deep Learning for Computer Vision | Spring 2025 | Lecture 17: Robot Learning</x:v>
      </x:c>
      <x:c r="H557" s="145" t="str">
        <x:v>Stanford Online course team</x:v>
      </x:c>
      <x:c r="I557" s="145" t="str">
        <x:v>Stanford Online</x:v>
      </x:c>
      <x:c r="J557" s="145" t="str">
        <x:v>Course Lecture</x:v>
      </x:c>
      <x:c r="K557" s="147" t="n">
        <x:v>79</x:v>
      </x:c>
      <x:c r="L557" s="144" t="str">
        <x:v>https://www.youtube.com/watch?v=XSfmOH_xVSU</x:v>
      </x:c>
      <x:c r="M557" s="144" t="str">
        <x:v>YouTube</x:v>
      </x:c>
      <x:c r="N557" s="149" t="n">
        <x:v>18669</x:v>
      </x:c>
      <x:c r="O557" s="144" t="str">
        <x:v>A | Official / Original Creator / Organizer</x:v>
      </x:c>
      <x:c r="P557" s="144" t="str">
        <x:v>Core</x:v>
      </x:c>
      <x:c r="Q557" s="144" t="str">
        <x:v>Verified</x:v>
      </x:c>
      <x:c r="R557" s="146" t="n">
        <x:v>46249</x:v>
      </x:c>
      <x:c r="S557" s="144" t="str">
        <x:v>Added from an official university, research institution, conference, or original creator source; public YouTube metadata verified.</x:v>
      </x:c>
      <x:c r="T557" s="144" t="str">
        <x:v>XSfmOH_xVSU</x:v>
      </x:c>
      <x:c r="U557" s="144" t="str">
        <x:v>Stanford CS231N: Deep Learning for Computer Vision — Spring 2025</x:v>
      </x:c>
      <x:c r="V557" s="147" t="n">
        <x:v>17</x:v>
      </x:c>
      <x:c r="W557" s="144" t="str">
        <x:v>stanford-cs231n-spring-2025</x:v>
      </x:c>
    </x:row>
    <x:row r="558" ht="42" customHeight="1">
      <x:c r="A558" s="144" t="str">
        <x:v>ST-557</x:v>
      </x:c>
      <x:c r="B558" s="144" t="str">
        <x:v>Course</x:v>
      </x:c>
      <x:c r="C558" s="144" t="str">
        <x:v>Vision</x:v>
      </x:c>
      <x:c r="D558" s="145" t="str">
        <x:v>Computer Vision</x:v>
      </x:c>
      <x:c r="E558" s="145" t="str">
        <x:v>Computer Vision; Deep Learning; Vision-Language Models; Video Understanding</x:v>
      </x:c>
      <x:c r="F558" s="145" t="str">
        <x:v>English</x:v>
      </x:c>
      <x:c r="G558" s="145" t="str">
        <x:v>Stanford CS231N Deep Learning for Computer Vision | Spring 2025 | Lecture 18: Human-Centered AI</x:v>
      </x:c>
      <x:c r="H558" s="145" t="str">
        <x:v>Stanford Online course team</x:v>
      </x:c>
      <x:c r="I558" s="145" t="str">
        <x:v>Stanford Online</x:v>
      </x:c>
      <x:c r="J558" s="145" t="str">
        <x:v>Course Lecture</x:v>
      </x:c>
      <x:c r="K558" s="147" t="n">
        <x:v>65</x:v>
      </x:c>
      <x:c r="L558" s="144" t="str">
        <x:v>https://www.youtube.com/watch?v=g8UaBfj6Sh8</x:v>
      </x:c>
      <x:c r="M558" s="144" t="str">
        <x:v>YouTube</x:v>
      </x:c>
      <x:c r="N558" s="149" t="n">
        <x:v>16332</x:v>
      </x:c>
      <x:c r="O558" s="144" t="str">
        <x:v>A | Official / Original Creator / Organizer</x:v>
      </x:c>
      <x:c r="P558" s="144" t="str">
        <x:v>Core</x:v>
      </x:c>
      <x:c r="Q558" s="144" t="str">
        <x:v>Verified</x:v>
      </x:c>
      <x:c r="R558" s="146" t="n">
        <x:v>46249</x:v>
      </x:c>
      <x:c r="S558" s="144" t="str">
        <x:v>Added from an official university, research institution, conference, or original creator source; public YouTube metadata verified.</x:v>
      </x:c>
      <x:c r="T558" s="144" t="str">
        <x:v>g8UaBfj6Sh8</x:v>
      </x:c>
      <x:c r="U558" s="144" t="str">
        <x:v>Stanford CS231N: Deep Learning for Computer Vision — Spring 2025</x:v>
      </x:c>
      <x:c r="V558" s="147" t="n">
        <x:v>18</x:v>
      </x:c>
      <x:c r="W558" s="144" t="str">
        <x:v>stanford-cs231n-spring-2025</x:v>
      </x:c>
    </x:row>
    <x:row r="559" ht="42" customHeight="1">
      <x:c r="A559" s="144" t="str">
        <x:v>ST-558</x:v>
      </x:c>
      <x:c r="B559" s="144" t="str">
        <x:v>Course</x:v>
      </x:c>
      <x:c r="C559" s="144" t="str">
        <x:v>Vision</x:v>
      </x:c>
      <x:c r="D559" s="145" t="str">
        <x:v>Computer Vision / 3D Vision</x:v>
      </x:c>
      <x:c r="E559" s="145" t="str">
        <x:v>Diffusion Models; Flow Matching; Generative Models; Computer Vision</x:v>
      </x:c>
      <x:c r="F559" s="145" t="str">
        <x:v>English</x:v>
      </x:c>
      <x:c r="G559" s="145" t="str">
        <x:v>Stanford CME296 Diffusion &amp; Large Vision Models | Spring 2026 | Lecture 2 - Score matching</x:v>
      </x:c>
      <x:c r="H559" s="145" t="str">
        <x:v>Stanford Online course team</x:v>
      </x:c>
      <x:c r="I559" s="145" t="str">
        <x:v>Stanford Online</x:v>
      </x:c>
      <x:c r="J559" s="145" t="str">
        <x:v>Course Lecture</x:v>
      </x:c>
      <x:c r="K559" s="147" t="n">
        <x:v>109</x:v>
      </x:c>
      <x:c r="L559" s="144" t="str">
        <x:v>https://www.youtube.com/watch?v=_WaR2fjZpEQ</x:v>
      </x:c>
      <x:c r="M559" s="144" t="str">
        <x:v>YouTube</x:v>
      </x:c>
      <x:c r="N559" s="149" t="n">
        <x:v>23875</x:v>
      </x:c>
      <x:c r="O559" s="144" t="str">
        <x:v>A | Official / Original Creator / Organizer</x:v>
      </x:c>
      <x:c r="P559" s="144" t="str">
        <x:v>Core</x:v>
      </x:c>
      <x:c r="Q559" s="144" t="str">
        <x:v>Verified</x:v>
      </x:c>
      <x:c r="R559" s="146" t="n">
        <x:v>46249</x:v>
      </x:c>
      <x:c r="S559" s="144" t="str">
        <x:v>Added from an official university, research institution, conference, or original creator source; public YouTube metadata verified.</x:v>
      </x:c>
      <x:c r="T559" s="144" t="str">
        <x:v>_WaR2fjZpEQ</x:v>
      </x:c>
      <x:c r="U559" s="144" t="str">
        <x:v>Stanford CME296: Diffusion &amp; Large Vision Models — Spring 2026</x:v>
      </x:c>
      <x:c r="V559" s="147" t="n">
        <x:v>2</x:v>
      </x:c>
      <x:c r="W559" s="144" t="str">
        <x:v>stanford-cme296-spring-2026</x:v>
      </x:c>
    </x:row>
    <x:row r="560" ht="42" customHeight="1">
      <x:c r="A560" s="144" t="str">
        <x:v>ST-559</x:v>
      </x:c>
      <x:c r="B560" s="144" t="str">
        <x:v>Course</x:v>
      </x:c>
      <x:c r="C560" s="144" t="str">
        <x:v>Vision</x:v>
      </x:c>
      <x:c r="D560" s="145" t="str">
        <x:v>Computer Vision / 3D Vision</x:v>
      </x:c>
      <x:c r="E560" s="145" t="str">
        <x:v>Diffusion Models; Flow Matching; Generative Models; Computer Vision</x:v>
      </x:c>
      <x:c r="F560" s="145" t="str">
        <x:v>English</x:v>
      </x:c>
      <x:c r="G560" s="145" t="str">
        <x:v>Stanford CME296 Diffusion &amp; Large Vision Models | Spring 2026 | Lecture 3 - Flow matching</x:v>
      </x:c>
      <x:c r="H560" s="145" t="str">
        <x:v>Stanford Online course team</x:v>
      </x:c>
      <x:c r="I560" s="145" t="str">
        <x:v>Stanford Online</x:v>
      </x:c>
      <x:c r="J560" s="145" t="str">
        <x:v>Course Lecture</x:v>
      </x:c>
      <x:c r="K560" s="147" t="n">
        <x:v>108</x:v>
      </x:c>
      <x:c r="L560" s="144" t="str">
        <x:v>https://www.youtube.com/watch?v=agN3AlfGFrk</x:v>
      </x:c>
      <x:c r="M560" s="144" t="str">
        <x:v>YouTube</x:v>
      </x:c>
      <x:c r="N560" s="149" t="n">
        <x:v>15388</x:v>
      </x:c>
      <x:c r="O560" s="144" t="str">
        <x:v>A | Official / Original Creator / Organizer</x:v>
      </x:c>
      <x:c r="P560" s="144" t="str">
        <x:v>Core</x:v>
      </x:c>
      <x:c r="Q560" s="144" t="str">
        <x:v>Verified</x:v>
      </x:c>
      <x:c r="R560" s="146" t="n">
        <x:v>46249</x:v>
      </x:c>
      <x:c r="S560" s="144" t="str">
        <x:v>Added from an official university, research institution, conference, or original creator source; public YouTube metadata verified.</x:v>
      </x:c>
      <x:c r="T560" s="144" t="str">
        <x:v>agN3AlfGFrk</x:v>
      </x:c>
      <x:c r="U560" s="144" t="str">
        <x:v>Stanford CME296: Diffusion &amp; Large Vision Models — Spring 2026</x:v>
      </x:c>
      <x:c r="V560" s="147" t="n">
        <x:v>3</x:v>
      </x:c>
      <x:c r="W560" s="144" t="str">
        <x:v>stanford-cme296-spring-2026</x:v>
      </x:c>
    </x:row>
    <x:row r="561" ht="42" customHeight="1">
      <x:c r="A561" s="144" t="str">
        <x:v>ST-560</x:v>
      </x:c>
      <x:c r="B561" s="144" t="str">
        <x:v>Course</x:v>
      </x:c>
      <x:c r="C561" s="144" t="str">
        <x:v>Vision</x:v>
      </x:c>
      <x:c r="D561" s="145" t="str">
        <x:v>Computer Vision / 3D Vision</x:v>
      </x:c>
      <x:c r="E561" s="145" t="str">
        <x:v>Diffusion Models; Flow Matching; Generative Models; Computer Vision</x:v>
      </x:c>
      <x:c r="F561" s="145" t="str">
        <x:v>English</x:v>
      </x:c>
      <x:c r="G561" s="145" t="str">
        <x:v>Stanford CME296 Diffusion &amp; Large Vision Models | Spring 2026 | Lecture 4 - Latent Space &amp; Guidance</x:v>
      </x:c>
      <x:c r="H561" s="145" t="str">
        <x:v>Stanford Online course team</x:v>
      </x:c>
      <x:c r="I561" s="145" t="str">
        <x:v>Stanford Online</x:v>
      </x:c>
      <x:c r="J561" s="145" t="str">
        <x:v>Course Lecture</x:v>
      </x:c>
      <x:c r="K561" s="147" t="n">
        <x:v>101</x:v>
      </x:c>
      <x:c r="L561" s="144" t="str">
        <x:v>https://www.youtube.com/watch?v=WUUq6TVAu8U</x:v>
      </x:c>
      <x:c r="M561" s="144" t="str">
        <x:v>YouTube</x:v>
      </x:c>
      <x:c r="N561" s="149" t="n">
        <x:v>19420</x:v>
      </x:c>
      <x:c r="O561" s="144" t="str">
        <x:v>A | Official / Original Creator / Organizer</x:v>
      </x:c>
      <x:c r="P561" s="144" t="str">
        <x:v>Core</x:v>
      </x:c>
      <x:c r="Q561" s="144" t="str">
        <x:v>Verified</x:v>
      </x:c>
      <x:c r="R561" s="146" t="n">
        <x:v>46249</x:v>
      </x:c>
      <x:c r="S561" s="144" t="str">
        <x:v>Added from an official university, research institution, conference, or original creator source; public YouTube metadata verified.</x:v>
      </x:c>
      <x:c r="T561" s="144" t="str">
        <x:v>WUUq6TVAu8U</x:v>
      </x:c>
      <x:c r="U561" s="144" t="str">
        <x:v>Stanford CME296: Diffusion &amp; Large Vision Models — Spring 2026</x:v>
      </x:c>
      <x:c r="V561" s="147" t="n">
        <x:v>4</x:v>
      </x:c>
      <x:c r="W561" s="144" t="str">
        <x:v>stanford-cme296-spring-2026</x:v>
      </x:c>
    </x:row>
    <x:row r="562" ht="42" customHeight="1">
      <x:c r="A562" s="144" t="str">
        <x:v>ST-561</x:v>
      </x:c>
      <x:c r="B562" s="144" t="str">
        <x:v>Course</x:v>
      </x:c>
      <x:c r="C562" s="144" t="str">
        <x:v>Vision</x:v>
      </x:c>
      <x:c r="D562" s="145" t="str">
        <x:v>Computer Vision / 3D Vision</x:v>
      </x:c>
      <x:c r="E562" s="145" t="str">
        <x:v>Diffusion Models; Flow Matching; Generative Models; Computer Vision</x:v>
      </x:c>
      <x:c r="F562" s="145" t="str">
        <x:v>English</x:v>
      </x:c>
      <x:c r="G562" s="145" t="str">
        <x:v>Stanford CME296 Diffusion &amp; Large Vision Models | Spring 2026 | Lecture 6 - Model Training</x:v>
      </x:c>
      <x:c r="H562" s="145" t="str">
        <x:v>Stanford Online course team</x:v>
      </x:c>
      <x:c r="I562" s="145" t="str">
        <x:v>Stanford Online</x:v>
      </x:c>
      <x:c r="J562" s="145" t="str">
        <x:v>Course Lecture</x:v>
      </x:c>
      <x:c r="K562" s="147" t="n">
        <x:v>101</x:v>
      </x:c>
      <x:c r="L562" s="144" t="str">
        <x:v>https://www.youtube.com/watch?v=IvXTl3yj-4Y</x:v>
      </x:c>
      <x:c r="M562" s="144" t="str">
        <x:v>YouTube</x:v>
      </x:c>
      <x:c r="N562" s="149" t="n">
        <x:v>13094</x:v>
      </x:c>
      <x:c r="O562" s="144" t="str">
        <x:v>A | Official / Original Creator / Organizer</x:v>
      </x:c>
      <x:c r="P562" s="144" t="str">
        <x:v>Core</x:v>
      </x:c>
      <x:c r="Q562" s="144" t="str">
        <x:v>Verified</x:v>
      </x:c>
      <x:c r="R562" s="146" t="n">
        <x:v>46249</x:v>
      </x:c>
      <x:c r="S562" s="144" t="str">
        <x:v>Added from an official university, research institution, conference, or original creator source; public YouTube metadata verified.</x:v>
      </x:c>
      <x:c r="T562" s="144" t="str">
        <x:v>IvXTl3yj-4Y</x:v>
      </x:c>
      <x:c r="U562" s="144" t="str">
        <x:v>Stanford CME296: Diffusion &amp; Large Vision Models — Spring 2026</x:v>
      </x:c>
      <x:c r="V562" s="147" t="n">
        <x:v>6</x:v>
      </x:c>
      <x:c r="W562" s="144" t="str">
        <x:v>stanford-cme296-spring-2026</x:v>
      </x:c>
    </x:row>
    <x:row r="563" ht="42" customHeight="1">
      <x:c r="A563" s="144" t="str">
        <x:v>ST-562</x:v>
      </x:c>
      <x:c r="B563" s="144" t="str">
        <x:v>Course</x:v>
      </x:c>
      <x:c r="C563" s="144" t="str">
        <x:v>Vision</x:v>
      </x:c>
      <x:c r="D563" s="145" t="str">
        <x:v>Computer Vision / 3D Vision</x:v>
      </x:c>
      <x:c r="E563" s="145" t="str">
        <x:v>Diffusion Models; Flow Matching; Generative Models; Computer Vision</x:v>
      </x:c>
      <x:c r="F563" s="145" t="str">
        <x:v>English</x:v>
      </x:c>
      <x:c r="G563" s="145" t="str">
        <x:v>Stanford CME296 Diffusion &amp; Large Vision Models | Spring 2026 | Lecture 7 - Evaluation</x:v>
      </x:c>
      <x:c r="H563" s="145" t="str">
        <x:v>Stanford Online course team</x:v>
      </x:c>
      <x:c r="I563" s="145" t="str">
        <x:v>Stanford Online</x:v>
      </x:c>
      <x:c r="J563" s="145" t="str">
        <x:v>Course Lecture</x:v>
      </x:c>
      <x:c r="K563" s="147" t="n">
        <x:v>101</x:v>
      </x:c>
      <x:c r="L563" s="144" t="str">
        <x:v>https://www.youtube.com/watch?v=iNaRBp4T57Q</x:v>
      </x:c>
      <x:c r="M563" s="144" t="str">
        <x:v>YouTube</x:v>
      </x:c>
      <x:c r="N563" s="149" t="n">
        <x:v>9915</x:v>
      </x:c>
      <x:c r="O563" s="144" t="str">
        <x:v>A | Official / Original Creator / Organizer</x:v>
      </x:c>
      <x:c r="P563" s="144" t="str">
        <x:v>Core</x:v>
      </x:c>
      <x:c r="Q563" s="144" t="str">
        <x:v>Verified</x:v>
      </x:c>
      <x:c r="R563" s="146" t="n">
        <x:v>46249</x:v>
      </x:c>
      <x:c r="S563" s="144" t="str">
        <x:v>Added from an official university, research institution, conference, or original creator source; public YouTube metadata verified.</x:v>
      </x:c>
      <x:c r="T563" s="144" t="str">
        <x:v>iNaRBp4T57Q</x:v>
      </x:c>
      <x:c r="U563" s="144" t="str">
        <x:v>Stanford CME296: Diffusion &amp; Large Vision Models — Spring 2026</x:v>
      </x:c>
      <x:c r="V563" s="147" t="n">
        <x:v>7</x:v>
      </x:c>
      <x:c r="W563" s="144" t="str">
        <x:v>stanford-cme296-spring-2026</x:v>
      </x:c>
    </x:row>
    <x:row r="564" ht="42" customHeight="1">
      <x:c r="A564" s="144" t="str">
        <x:v>ST-563</x:v>
      </x:c>
      <x:c r="B564" s="144" t="str">
        <x:v>Course</x:v>
      </x:c>
      <x:c r="C564" s="144" t="str">
        <x:v>World Model</x:v>
      </x:c>
      <x:c r="D564" s="145" t="str">
        <x:v>World Models</x:v>
      </x:c>
      <x:c r="E564" s="145" t="str">
        <x:v>Generative Models; Video Generation; World Models; Diffusion Models</x:v>
      </x:c>
      <x:c r="F564" s="145" t="str">
        <x:v>English</x:v>
      </x:c>
      <x:c r="G564" s="145" t="str">
        <x:v>Stanford CME296 Diffusion &amp; Large Vision Models | Spring 2026 | Lecture 8 - Trending Topics</x:v>
      </x:c>
      <x:c r="H564" s="145" t="str">
        <x:v>Stanford Online course team</x:v>
      </x:c>
      <x:c r="I564" s="145" t="str">
        <x:v>Stanford Online</x:v>
      </x:c>
      <x:c r="J564" s="145" t="str">
        <x:v>Course Lecture</x:v>
      </x:c>
      <x:c r="K564" s="147" t="n">
        <x:v>110</x:v>
      </x:c>
      <x:c r="L564" s="144" t="str">
        <x:v>https://www.youtube.com/watch?v=oyLUvz9nR6E</x:v>
      </x:c>
      <x:c r="M564" s="144" t="str">
        <x:v>YouTube</x:v>
      </x:c>
      <x:c r="N564" s="149" t="n">
        <x:v>37911</x:v>
      </x:c>
      <x:c r="O564" s="144" t="str">
        <x:v>A | Official / Original Creator / Organizer</x:v>
      </x:c>
      <x:c r="P564" s="144" t="str">
        <x:v>Core</x:v>
      </x:c>
      <x:c r="Q564" s="144" t="str">
        <x:v>Verified</x:v>
      </x:c>
      <x:c r="R564" s="146" t="n">
        <x:v>46249</x:v>
      </x:c>
      <x:c r="S564" s="144" t="str">
        <x:v>Added from an official university, research institution, conference, or original creator source; public YouTube metadata verified.</x:v>
      </x:c>
      <x:c r="T564" s="144" t="str">
        <x:v>oyLUvz9nR6E</x:v>
      </x:c>
      <x:c r="U564" s="144" t="str">
        <x:v>Stanford CME296: Diffusion &amp; Large Vision Models — Spring 2026</x:v>
      </x:c>
      <x:c r="V564" s="147" t="n">
        <x:v>8</x:v>
      </x:c>
      <x:c r="W564" s="144" t="str">
        <x:v>stanford-cme296-spring-2026</x:v>
      </x:c>
    </x:row>
    <x:row r="565" ht="42" customHeight="1">
      <x:c r="A565" s="144" t="str">
        <x:v>ST-564</x:v>
      </x:c>
      <x:c r="B565" s="144" t="str">
        <x:v>Course</x:v>
      </x:c>
      <x:c r="C565" s="144" t="str">
        <x:v>Other</x:v>
      </x:c>
      <x:c r="D565" s="145" t="str">
        <x:v>Natural Language Processing</x:v>
      </x:c>
      <x:c r="E565" s="145" t="str">
        <x:v>Large Language Models; Transformers; Model Training; Model Tuning</x:v>
      </x:c>
      <x:c r="F565" s="145" t="str">
        <x:v>English</x:v>
      </x:c>
      <x:c r="G565" s="145" t="str">
        <x:v>Stanford CME295 Transformers &amp; LLMs | Autumn 2025 | Lecture 2 - Transformer-Based Models &amp; Tricks</x:v>
      </x:c>
      <x:c r="H565" s="145" t="str">
        <x:v>Stanford Online course team</x:v>
      </x:c>
      <x:c r="I565" s="145" t="str">
        <x:v>Stanford Online</x:v>
      </x:c>
      <x:c r="J565" s="145" t="str">
        <x:v>Course Lecture</x:v>
      </x:c>
      <x:c r="K565" s="147" t="n">
        <x:v>107</x:v>
      </x:c>
      <x:c r="L565" s="144" t="str">
        <x:v>https://www.youtube.com/watch?v=yT84Y5zCnaA</x:v>
      </x:c>
      <x:c r="M565" s="144" t="str">
        <x:v>YouTube</x:v>
      </x:c>
      <x:c r="N565" s="149" t="n">
        <x:v>193229</x:v>
      </x:c>
      <x:c r="O565" s="144" t="str">
        <x:v>A | Official / Original Creator / Organizer</x:v>
      </x:c>
      <x:c r="P565" s="144" t="str">
        <x:v>Core</x:v>
      </x:c>
      <x:c r="Q565" s="144" t="str">
        <x:v>Verified</x:v>
      </x:c>
      <x:c r="R565" s="146" t="n">
        <x:v>46249</x:v>
      </x:c>
      <x:c r="S565" s="144" t="str">
        <x:v>Added from an official university, research institution, conference, or original creator source; public YouTube metadata verified.</x:v>
      </x:c>
      <x:c r="T565" s="144" t="str">
        <x:v>yT84Y5zCnaA</x:v>
      </x:c>
      <x:c r="U565" s="144" t="str">
        <x:v>Stanford CME295: Transformers &amp; LLMs — Autumn 2025</x:v>
      </x:c>
      <x:c r="V565" s="147" t="n">
        <x:v>2</x:v>
      </x:c>
      <x:c r="W565" s="144" t="str">
        <x:v>stanford-cme295-autumn-2025</x:v>
      </x:c>
    </x:row>
    <x:row r="566" ht="42" customHeight="1">
      <x:c r="A566" s="144" t="str">
        <x:v>ST-565</x:v>
      </x:c>
      <x:c r="B566" s="144" t="str">
        <x:v>Course</x:v>
      </x:c>
      <x:c r="C566" s="144" t="str">
        <x:v>Other</x:v>
      </x:c>
      <x:c r="D566" s="145" t="str">
        <x:v>Natural Language Processing</x:v>
      </x:c>
      <x:c r="E566" s="145" t="str">
        <x:v>Large Language Models; Transformers; Model Training; Model Tuning</x:v>
      </x:c>
      <x:c r="F566" s="145" t="str">
        <x:v>English</x:v>
      </x:c>
      <x:c r="G566" s="145" t="str">
        <x:v>Stanford CME295 Transformers &amp; LLMs | Autumn 2025 | Lecture 3 - Tranformers &amp; Large Language Models</x:v>
      </x:c>
      <x:c r="H566" s="145" t="str">
        <x:v>Stanford Online course team</x:v>
      </x:c>
      <x:c r="I566" s="145" t="str">
        <x:v>Stanford Online</x:v>
      </x:c>
      <x:c r="J566" s="145" t="str">
        <x:v>Course Lecture</x:v>
      </x:c>
      <x:c r="K566" s="147" t="n">
        <x:v>109</x:v>
      </x:c>
      <x:c r="L566" s="144" t="str">
        <x:v>https://www.youtube.com/watch?v=Q5baLehv5So</x:v>
      </x:c>
      <x:c r="M566" s="144" t="str">
        <x:v>YouTube</x:v>
      </x:c>
      <x:c r="N566" s="149" t="n">
        <x:v>116449</x:v>
      </x:c>
      <x:c r="O566" s="144" t="str">
        <x:v>A | Official / Original Creator / Organizer</x:v>
      </x:c>
      <x:c r="P566" s="144" t="str">
        <x:v>Core</x:v>
      </x:c>
      <x:c r="Q566" s="144" t="str">
        <x:v>Verified</x:v>
      </x:c>
      <x:c r="R566" s="146" t="n">
        <x:v>46249</x:v>
      </x:c>
      <x:c r="S566" s="144" t="str">
        <x:v>Added from an official university, research institution, conference, or original creator source; public YouTube metadata verified.</x:v>
      </x:c>
      <x:c r="T566" s="144" t="str">
        <x:v>Q5baLehv5So</x:v>
      </x:c>
      <x:c r="U566" s="144" t="str">
        <x:v>Stanford CME295: Transformers &amp; LLMs — Autumn 2025</x:v>
      </x:c>
      <x:c r="V566" s="147" t="n">
        <x:v>3</x:v>
      </x:c>
      <x:c r="W566" s="144" t="str">
        <x:v>stanford-cme295-autumn-2025</x:v>
      </x:c>
    </x:row>
    <x:row r="567" ht="42" customHeight="1">
      <x:c r="A567" s="144" t="str">
        <x:v>ST-566</x:v>
      </x:c>
      <x:c r="B567" s="144" t="str">
        <x:v>Course</x:v>
      </x:c>
      <x:c r="C567" s="144" t="str">
        <x:v>Other</x:v>
      </x:c>
      <x:c r="D567" s="145" t="str">
        <x:v>Natural Language Processing</x:v>
      </x:c>
      <x:c r="E567" s="145" t="str">
        <x:v>Large Language Models; Transformers; Model Training; Model Tuning</x:v>
      </x:c>
      <x:c r="F567" s="145" t="str">
        <x:v>English</x:v>
      </x:c>
      <x:c r="G567" s="145" t="str">
        <x:v>Stanford CME295 Transformers &amp; LLMs | Autumn 2025 | Lecture 4 - LLM Training</x:v>
      </x:c>
      <x:c r="H567" s="145" t="str">
        <x:v>Stanford Online course team</x:v>
      </x:c>
      <x:c r="I567" s="145" t="str">
        <x:v>Stanford Online</x:v>
      </x:c>
      <x:c r="J567" s="145" t="str">
        <x:v>Course Lecture</x:v>
      </x:c>
      <x:c r="K567" s="147" t="n">
        <x:v>107</x:v>
      </x:c>
      <x:c r="L567" s="144" t="str">
        <x:v>https://www.youtube.com/watch?v=VlA_jt_3Qc4</x:v>
      </x:c>
      <x:c r="M567" s="144" t="str">
        <x:v>YouTube</x:v>
      </x:c>
      <x:c r="N567" s="149" t="n">
        <x:v>98145</x:v>
      </x:c>
      <x:c r="O567" s="144" t="str">
        <x:v>A | Official / Original Creator / Organizer</x:v>
      </x:c>
      <x:c r="P567" s="144" t="str">
        <x:v>Core</x:v>
      </x:c>
      <x:c r="Q567" s="144" t="str">
        <x:v>Verified</x:v>
      </x:c>
      <x:c r="R567" s="146" t="n">
        <x:v>46249</x:v>
      </x:c>
      <x:c r="S567" s="144" t="str">
        <x:v>Added from an official university, research institution, conference, or original creator source; public YouTube metadata verified.</x:v>
      </x:c>
      <x:c r="T567" s="144" t="str">
        <x:v>VlA_jt_3Qc4</x:v>
      </x:c>
      <x:c r="U567" s="144" t="str">
        <x:v>Stanford CME295: Transformers &amp; LLMs — Autumn 2025</x:v>
      </x:c>
      <x:c r="V567" s="147" t="n">
        <x:v>4</x:v>
      </x:c>
      <x:c r="W567" s="144" t="str">
        <x:v>stanford-cme295-autumn-2025</x:v>
      </x:c>
    </x:row>
    <x:row r="568" ht="42" customHeight="1">
      <x:c r="A568" s="144" t="str">
        <x:v>ST-567</x:v>
      </x:c>
      <x:c r="B568" s="144" t="str">
        <x:v>Course</x:v>
      </x:c>
      <x:c r="C568" s="144" t="str">
        <x:v>Other</x:v>
      </x:c>
      <x:c r="D568" s="145" t="str">
        <x:v>Natural Language Processing</x:v>
      </x:c>
      <x:c r="E568" s="145" t="str">
        <x:v>Large Language Models; Transformers; Model Training; Model Tuning</x:v>
      </x:c>
      <x:c r="F568" s="145" t="str">
        <x:v>English</x:v>
      </x:c>
      <x:c r="G568" s="145" t="str">
        <x:v>Stanford CME295 Transformers &amp; LLMs | Autumn 2025 | Lecture 5 - LLM tuning</x:v>
      </x:c>
      <x:c r="H568" s="145" t="str">
        <x:v>Stanford Online course team</x:v>
      </x:c>
      <x:c r="I568" s="145" t="str">
        <x:v>Stanford Online</x:v>
      </x:c>
      <x:c r="J568" s="145" t="str">
        <x:v>Course Lecture</x:v>
      </x:c>
      <x:c r="K568" s="147" t="n">
        <x:v>108</x:v>
      </x:c>
      <x:c r="L568" s="144" t="str">
        <x:v>https://www.youtube.com/watch?v=PmW_TMQ3l0I</x:v>
      </x:c>
      <x:c r="M568" s="144" t="str">
        <x:v>YouTube</x:v>
      </x:c>
      <x:c r="N568" s="149" t="n">
        <x:v>64572</x:v>
      </x:c>
      <x:c r="O568" s="144" t="str">
        <x:v>A | Official / Original Creator / Organizer</x:v>
      </x:c>
      <x:c r="P568" s="144" t="str">
        <x:v>Core</x:v>
      </x:c>
      <x:c r="Q568" s="144" t="str">
        <x:v>Verified</x:v>
      </x:c>
      <x:c r="R568" s="146" t="n">
        <x:v>46249</x:v>
      </x:c>
      <x:c r="S568" s="144" t="str">
        <x:v>Added from an official university, research institution, conference, or original creator source; public YouTube metadata verified.</x:v>
      </x:c>
      <x:c r="T568" s="144" t="str">
        <x:v>PmW_TMQ3l0I</x:v>
      </x:c>
      <x:c r="U568" s="144" t="str">
        <x:v>Stanford CME295: Transformers &amp; LLMs — Autumn 2025</x:v>
      </x:c>
      <x:c r="V568" s="147" t="n">
        <x:v>5</x:v>
      </x:c>
      <x:c r="W568" s="144" t="str">
        <x:v>stanford-cme295-autumn-2025</x:v>
      </x:c>
    </x:row>
    <x:row r="569" ht="42" customHeight="1">
      <x:c r="A569" s="144" t="str">
        <x:v>ST-568</x:v>
      </x:c>
      <x:c r="B569" s="144" t="str">
        <x:v>Course</x:v>
      </x:c>
      <x:c r="C569" s="144" t="str">
        <x:v>Agent</x:v>
      </x:c>
      <x:c r="D569" s="145" t="str">
        <x:v>Agents / Tool Use / Reasoning</x:v>
      </x:c>
      <x:c r="E569" s="145" t="str">
        <x:v>Large Language Models; Reasoning; Evaluation; Agents</x:v>
      </x:c>
      <x:c r="F569" s="145" t="str">
        <x:v>English</x:v>
      </x:c>
      <x:c r="G569" s="145" t="str">
        <x:v>Stanford CME295 Transformers &amp; LLMs | Autumn 2025 | Lecture 6 - LLM Reasoning</x:v>
      </x:c>
      <x:c r="H569" s="145" t="str">
        <x:v>Stanford Online course team</x:v>
      </x:c>
      <x:c r="I569" s="145" t="str">
        <x:v>Stanford Online</x:v>
      </x:c>
      <x:c r="J569" s="145" t="str">
        <x:v>Course Lecture</x:v>
      </x:c>
      <x:c r="K569" s="147" t="n">
        <x:v>107</x:v>
      </x:c>
      <x:c r="L569" s="144" t="str">
        <x:v>https://www.youtube.com/watch?v=k5Fh-UgTuCo</x:v>
      </x:c>
      <x:c r="M569" s="144" t="str">
        <x:v>YouTube</x:v>
      </x:c>
      <x:c r="N569" s="149" t="n">
        <x:v>73643</x:v>
      </x:c>
      <x:c r="O569" s="144" t="str">
        <x:v>A | Official / Original Creator / Organizer</x:v>
      </x:c>
      <x:c r="P569" s="144" t="str">
        <x:v>Core</x:v>
      </x:c>
      <x:c r="Q569" s="144" t="str">
        <x:v>Verified</x:v>
      </x:c>
      <x:c r="R569" s="146" t="n">
        <x:v>46249</x:v>
      </x:c>
      <x:c r="S569" s="144" t="str">
        <x:v>Added from an official university, research institution, conference, or original creator source; public YouTube metadata verified.</x:v>
      </x:c>
      <x:c r="T569" s="144" t="str">
        <x:v>k5Fh-UgTuCo</x:v>
      </x:c>
      <x:c r="U569" s="144" t="str">
        <x:v>Stanford CME295: Transformers &amp; LLMs — Autumn 2025</x:v>
      </x:c>
      <x:c r="V569" s="147" t="n">
        <x:v>6</x:v>
      </x:c>
      <x:c r="W569" s="144" t="str">
        <x:v>stanford-cme295-autumn-2025</x:v>
      </x:c>
    </x:row>
    <x:row r="570" ht="42" customHeight="1">
      <x:c r="A570" s="144" t="str">
        <x:v>ST-569</x:v>
      </x:c>
      <x:c r="B570" s="144" t="str">
        <x:v>Course</x:v>
      </x:c>
      <x:c r="C570" s="144" t="str">
        <x:v>Agent</x:v>
      </x:c>
      <x:c r="D570" s="145" t="str">
        <x:v>Agents / Tool Use / Reasoning</x:v>
      </x:c>
      <x:c r="E570" s="145" t="str">
        <x:v>Large Language Models; Reasoning; Evaluation; Agents</x:v>
      </x:c>
      <x:c r="F570" s="145" t="str">
        <x:v>English</x:v>
      </x:c>
      <x:c r="G570" s="145" t="str">
        <x:v>Stanford CME295 Transformers &amp; LLMs | Autumn 2025 | Lecture 8 - LLM Evaluation</x:v>
      </x:c>
      <x:c r="H570" s="145" t="str">
        <x:v>Stanford Online course team</x:v>
      </x:c>
      <x:c r="I570" s="145" t="str">
        <x:v>Stanford Online</x:v>
      </x:c>
      <x:c r="J570" s="145" t="str">
        <x:v>Course Lecture</x:v>
      </x:c>
      <x:c r="K570" s="147" t="n">
        <x:v>109</x:v>
      </x:c>
      <x:c r="L570" s="144" t="str">
        <x:v>https://www.youtube.com/watch?v=8fNP4N46RRo</x:v>
      </x:c>
      <x:c r="M570" s="144" t="str">
        <x:v>YouTube</x:v>
      </x:c>
      <x:c r="N570" s="149" t="n">
        <x:v>160398</x:v>
      </x:c>
      <x:c r="O570" s="144" t="str">
        <x:v>A | Official / Original Creator / Organizer</x:v>
      </x:c>
      <x:c r="P570" s="144" t="str">
        <x:v>Core</x:v>
      </x:c>
      <x:c r="Q570" s="144" t="str">
        <x:v>Verified</x:v>
      </x:c>
      <x:c r="R570" s="146" t="n">
        <x:v>46249</x:v>
      </x:c>
      <x:c r="S570" s="144" t="str">
        <x:v>Added from an official university, research institution, conference, or original creator source; public YouTube metadata verified.</x:v>
      </x:c>
      <x:c r="T570" s="144" t="str">
        <x:v>8fNP4N46RRo</x:v>
      </x:c>
      <x:c r="U570" s="144" t="str">
        <x:v>Stanford CME295: Transformers &amp; LLMs — Autumn 2025</x:v>
      </x:c>
      <x:c r="V570" s="147" t="n">
        <x:v>8</x:v>
      </x:c>
      <x:c r="W570" s="144" t="str">
        <x:v>stanford-cme295-autumn-2025</x:v>
      </x:c>
    </x:row>
    <x:row r="571" ht="42" customHeight="1">
      <x:c r="A571" s="144" t="str">
        <x:v>ST-570</x:v>
      </x:c>
      <x:c r="B571" s="144" t="str">
        <x:v>Course</x:v>
      </x:c>
      <x:c r="C571" s="144" t="str">
        <x:v>Agent</x:v>
      </x:c>
      <x:c r="D571" s="145" t="str">
        <x:v>Agents / Tool Use / Reasoning</x:v>
      </x:c>
      <x:c r="E571" s="145" t="str">
        <x:v>Large Language Models; Reasoning; Evaluation; Agents</x:v>
      </x:c>
      <x:c r="F571" s="145" t="str">
        <x:v>English</x:v>
      </x:c>
      <x:c r="G571" s="145" t="str">
        <x:v>Stanford CME295 Transformers &amp; LLMs | Autumn 2025 | Lecture 9 - Recap &amp; Current Trends</x:v>
      </x:c>
      <x:c r="H571" s="145" t="str">
        <x:v>Stanford Online course team</x:v>
      </x:c>
      <x:c r="I571" s="145" t="str">
        <x:v>Stanford Online</x:v>
      </x:c>
      <x:c r="J571" s="145" t="str">
        <x:v>Course Lecture</x:v>
      </x:c>
      <x:c r="K571" s="147" t="n">
        <x:v>112</x:v>
      </x:c>
      <x:c r="L571" s="144" t="str">
        <x:v>https://www.youtube.com/watch?v=Q86qzJ1K1Ss</x:v>
      </x:c>
      <x:c r="M571" s="144" t="str">
        <x:v>YouTube</x:v>
      </x:c>
      <x:c r="N571" s="149" t="n">
        <x:v>206476</x:v>
      </x:c>
      <x:c r="O571" s="144" t="str">
        <x:v>A | Official / Original Creator / Organizer</x:v>
      </x:c>
      <x:c r="P571" s="144" t="str">
        <x:v>Core</x:v>
      </x:c>
      <x:c r="Q571" s="144" t="str">
        <x:v>Verified</x:v>
      </x:c>
      <x:c r="R571" s="146" t="n">
        <x:v>46249</x:v>
      </x:c>
      <x:c r="S571" s="144" t="str">
        <x:v>Added from an official university, research institution, conference, or original creator source; public YouTube metadata verified.</x:v>
      </x:c>
      <x:c r="T571" s="144" t="str">
        <x:v>Q86qzJ1K1Ss</x:v>
      </x:c>
      <x:c r="U571" s="144" t="str">
        <x:v>Stanford CME295: Transformers &amp; LLMs — Autumn 2025</x:v>
      </x:c>
      <x:c r="V571" s="147" t="n">
        <x:v>9</x:v>
      </x:c>
      <x:c r="W571" s="144" t="str">
        <x:v>stanford-cme295-autumn-2025</x:v>
      </x:c>
    </x:row>
    <x:row r="572" ht="42" customHeight="1">
      <x:c r="A572" s="144" t="str">
        <x:v>ST-571</x:v>
      </x:c>
      <x:c r="B572" s="144" t="str">
        <x:v>Course</x:v>
      </x:c>
      <x:c r="C572" s="144" t="str">
        <x:v>Other</x:v>
      </x:c>
      <x:c r="D572" s="145" t="str">
        <x:v>Deep Learning Foundations</x:v>
      </x:c>
      <x:c r="E572" s="145" t="str">
        <x:v>Language Models; Model Training; Scaling Laws; AI Systems</x:v>
      </x:c>
      <x:c r="F572" s="145" t="str">
        <x:v>English</x:v>
      </x:c>
      <x:c r="G572" s="145" t="str">
        <x:v>Stanford CS336 Language Modeling from Scratch | Spring 2025 | Lecture 1: Overview and Tokenization</x:v>
      </x:c>
      <x:c r="H572" s="145" t="str">
        <x:v>Stanford Online course team</x:v>
      </x:c>
      <x:c r="I572" s="145" t="str">
        <x:v>Stanford Online</x:v>
      </x:c>
      <x:c r="J572" s="145" t="str">
        <x:v>Course Lecture</x:v>
      </x:c>
      <x:c r="K572" s="147" t="n">
        <x:v>79</x:v>
      </x:c>
      <x:c r="L572" s="144" t="str">
        <x:v>https://www.youtube.com/watch?v=SQ3fZ1sAqXI</x:v>
      </x:c>
      <x:c r="M572" s="144" t="str">
        <x:v>YouTube</x:v>
      </x:c>
      <x:c r="N572" s="149" t="n">
        <x:v>737888</x:v>
      </x:c>
      <x:c r="O572" s="144" t="str">
        <x:v>A | Official / Original Creator / Organizer</x:v>
      </x:c>
      <x:c r="P572" s="144" t="str">
        <x:v>Core</x:v>
      </x:c>
      <x:c r="Q572" s="144" t="str">
        <x:v>Verified</x:v>
      </x:c>
      <x:c r="R572" s="146" t="n">
        <x:v>46249</x:v>
      </x:c>
      <x:c r="S572" s="144" t="str">
        <x:v>Added from an official university, research institution, conference, or original creator source; public YouTube metadata verified.</x:v>
      </x:c>
      <x:c r="T572" s="144" t="str">
        <x:v>SQ3fZ1sAqXI</x:v>
      </x:c>
      <x:c r="U572" s="144" t="str">
        <x:v>Stanford CS336: Language Modeling from Scratch — Spring 2025</x:v>
      </x:c>
      <x:c r="V572" s="147" t="n">
        <x:v>1</x:v>
      </x:c>
      <x:c r="W572" s="144" t="str">
        <x:v>stanford-cs336-spring-2025</x:v>
      </x:c>
    </x:row>
    <x:row r="573" ht="42" customHeight="1">
      <x:c r="A573" s="144" t="str">
        <x:v>ST-572</x:v>
      </x:c>
      <x:c r="B573" s="144" t="str">
        <x:v>Course</x:v>
      </x:c>
      <x:c r="C573" s="144" t="str">
        <x:v>Other</x:v>
      </x:c>
      <x:c r="D573" s="145" t="str">
        <x:v>Deep Learning Foundations</x:v>
      </x:c>
      <x:c r="E573" s="145" t="str">
        <x:v>Language Models; Model Training; Scaling Laws; AI Systems</x:v>
      </x:c>
      <x:c r="F573" s="145" t="str">
        <x:v>English</x:v>
      </x:c>
      <x:c r="G573" s="145" t="str">
        <x:v>Stanford CS336 Language Modeling from Scratch | Spring 2025 | Lec. 2: Pytorch, Resource Accounting</x:v>
      </x:c>
      <x:c r="H573" s="145" t="str">
        <x:v>Stanford Online course team</x:v>
      </x:c>
      <x:c r="I573" s="145" t="str">
        <x:v>Stanford Online</x:v>
      </x:c>
      <x:c r="J573" s="145" t="str">
        <x:v>Course Lecture</x:v>
      </x:c>
      <x:c r="K573" s="147" t="n">
        <x:v>79</x:v>
      </x:c>
      <x:c r="L573" s="144" t="str">
        <x:v>https://www.youtube.com/watch?v=msHyYioAyNE</x:v>
      </x:c>
      <x:c r="M573" s="144" t="str">
        <x:v>YouTube</x:v>
      </x:c>
      <x:c r="N573" s="149" t="n">
        <x:v>155618</x:v>
      </x:c>
      <x:c r="O573" s="144" t="str">
        <x:v>A | Official / Original Creator / Organizer</x:v>
      </x:c>
      <x:c r="P573" s="144" t="str">
        <x:v>Core</x:v>
      </x:c>
      <x:c r="Q573" s="144" t="str">
        <x:v>Verified</x:v>
      </x:c>
      <x:c r="R573" s="146" t="n">
        <x:v>46249</x:v>
      </x:c>
      <x:c r="S573" s="144" t="str">
        <x:v>Added from an official university, research institution, conference, or original creator source; public YouTube metadata verified.</x:v>
      </x:c>
      <x:c r="T573" s="144" t="str">
        <x:v>msHyYioAyNE</x:v>
      </x:c>
      <x:c r="U573" s="144" t="str">
        <x:v>Stanford CS336: Language Modeling from Scratch — Spring 2025</x:v>
      </x:c>
      <x:c r="V573" s="147" t="n">
        <x:v>2</x:v>
      </x:c>
      <x:c r="W573" s="144" t="str">
        <x:v>stanford-cs336-spring-2025</x:v>
      </x:c>
    </x:row>
    <x:row r="574" ht="42" customHeight="1">
      <x:c r="A574" s="144" t="str">
        <x:v>ST-573</x:v>
      </x:c>
      <x:c r="B574" s="144" t="str">
        <x:v>Course</x:v>
      </x:c>
      <x:c r="C574" s="144" t="str">
        <x:v>Other</x:v>
      </x:c>
      <x:c r="D574" s="145" t="str">
        <x:v>Deep Learning Foundations</x:v>
      </x:c>
      <x:c r="E574" s="145" t="str">
        <x:v>Language Models; Model Training; Scaling Laws; AI Systems</x:v>
      </x:c>
      <x:c r="F574" s="145" t="str">
        <x:v>English</x:v>
      </x:c>
      <x:c r="G574" s="145" t="str">
        <x:v>Stanford CS336 Lang. Modeling from Scratch | Spring 2025 | Lec. 3: Architectures, Hyperparameters</x:v>
      </x:c>
      <x:c r="H574" s="145" t="str">
        <x:v>Stanford Online course team</x:v>
      </x:c>
      <x:c r="I574" s="145" t="str">
        <x:v>Stanford Online</x:v>
      </x:c>
      <x:c r="J574" s="145" t="str">
        <x:v>Course Lecture</x:v>
      </x:c>
      <x:c r="K574" s="147" t="n">
        <x:v>87</x:v>
      </x:c>
      <x:c r="L574" s="144" t="str">
        <x:v>https://www.youtube.com/watch?v=ptFiH_bHnJw</x:v>
      </x:c>
      <x:c r="M574" s="144" t="str">
        <x:v>YouTube</x:v>
      </x:c>
      <x:c r="N574" s="149" t="n">
        <x:v>120272</x:v>
      </x:c>
      <x:c r="O574" s="144" t="str">
        <x:v>A | Official / Original Creator / Organizer</x:v>
      </x:c>
      <x:c r="P574" s="144" t="str">
        <x:v>Core</x:v>
      </x:c>
      <x:c r="Q574" s="144" t="str">
        <x:v>Verified</x:v>
      </x:c>
      <x:c r="R574" s="146" t="n">
        <x:v>46249</x:v>
      </x:c>
      <x:c r="S574" s="144" t="str">
        <x:v>Added from an official university, research institution, conference, or original creator source; public YouTube metadata verified.</x:v>
      </x:c>
      <x:c r="T574" s="144" t="str">
        <x:v>ptFiH_bHnJw</x:v>
      </x:c>
      <x:c r="U574" s="144" t="str">
        <x:v>Stanford CS336: Language Modeling from Scratch — Spring 2025</x:v>
      </x:c>
      <x:c r="V574" s="147" t="n">
        <x:v>3</x:v>
      </x:c>
      <x:c r="W574" s="144" t="str">
        <x:v>stanford-cs336-spring-2025</x:v>
      </x:c>
    </x:row>
    <x:row r="575" ht="42" customHeight="1">
      <x:c r="A575" s="144" t="str">
        <x:v>ST-574</x:v>
      </x:c>
      <x:c r="B575" s="144" t="str">
        <x:v>Course</x:v>
      </x:c>
      <x:c r="C575" s="144" t="str">
        <x:v>Other</x:v>
      </x:c>
      <x:c r="D575" s="145" t="str">
        <x:v>Deep Learning Foundations</x:v>
      </x:c>
      <x:c r="E575" s="145" t="str">
        <x:v>Language Models; Model Training; Scaling Laws; AI Systems</x:v>
      </x:c>
      <x:c r="F575" s="145" t="str">
        <x:v>English</x:v>
      </x:c>
      <x:c r="G575" s="145" t="str">
        <x:v>Stanford CS336 Language Modeling from Scratch | Spring 2025 | Lecture 4: Mixture of experts</x:v>
      </x:c>
      <x:c r="H575" s="145" t="str">
        <x:v>Stanford Online course team</x:v>
      </x:c>
      <x:c r="I575" s="145" t="str">
        <x:v>Stanford Online</x:v>
      </x:c>
      <x:c r="J575" s="145" t="str">
        <x:v>Course Lecture</x:v>
      </x:c>
      <x:c r="K575" s="147" t="n">
        <x:v>82</x:v>
      </x:c>
      <x:c r="L575" s="144" t="str">
        <x:v>https://www.youtube.com/watch?v=LPv1KfUXLCo</x:v>
      </x:c>
      <x:c r="M575" s="144" t="str">
        <x:v>YouTube</x:v>
      </x:c>
      <x:c r="N575" s="149" t="n">
        <x:v>82315</x:v>
      </x:c>
      <x:c r="O575" s="144" t="str">
        <x:v>A | Official / Original Creator / Organizer</x:v>
      </x:c>
      <x:c r="P575" s="144" t="str">
        <x:v>Core</x:v>
      </x:c>
      <x:c r="Q575" s="144" t="str">
        <x:v>Verified</x:v>
      </x:c>
      <x:c r="R575" s="146" t="n">
        <x:v>46249</x:v>
      </x:c>
      <x:c r="S575" s="144" t="str">
        <x:v>Added from an official university, research institution, conference, or original creator source; public YouTube metadata verified.</x:v>
      </x:c>
      <x:c r="T575" s="144" t="str">
        <x:v>LPv1KfUXLCo</x:v>
      </x:c>
      <x:c r="U575" s="144" t="str">
        <x:v>Stanford CS336: Language Modeling from Scratch — Spring 2025</x:v>
      </x:c>
      <x:c r="V575" s="147" t="n">
        <x:v>4</x:v>
      </x:c>
      <x:c r="W575" s="144" t="str">
        <x:v>stanford-cs336-spring-2025</x:v>
      </x:c>
    </x:row>
    <x:row r="576" ht="42" customHeight="1">
      <x:c r="A576" s="144" t="str">
        <x:v>ST-575</x:v>
      </x:c>
      <x:c r="B576" s="144" t="str">
        <x:v>Course</x:v>
      </x:c>
      <x:c r="C576" s="144" t="str">
        <x:v>Other</x:v>
      </x:c>
      <x:c r="D576" s="145" t="str">
        <x:v>Deep Learning Foundations</x:v>
      </x:c>
      <x:c r="E576" s="145" t="str">
        <x:v>Language Models; Model Training; Scaling Laws; AI Systems</x:v>
      </x:c>
      <x:c r="F576" s="145" t="str">
        <x:v>English</x:v>
      </x:c>
      <x:c r="G576" s="145" t="str">
        <x:v>Stanford CS336 I Language Modeling from Scratch | Spring 2025 | Lecture 5: GPUs</x:v>
      </x:c>
      <x:c r="H576" s="145" t="str">
        <x:v>Stanford Online course team</x:v>
      </x:c>
      <x:c r="I576" s="145" t="str">
        <x:v>Stanford Online</x:v>
      </x:c>
      <x:c r="J576" s="145" t="str">
        <x:v>Course Lecture</x:v>
      </x:c>
      <x:c r="K576" s="147" t="n">
        <x:v>74</x:v>
      </x:c>
      <x:c r="L576" s="144" t="str">
        <x:v>https://www.youtube.com/watch?v=6OBtO9niT00</x:v>
      </x:c>
      <x:c r="M576" s="144" t="str">
        <x:v>YouTube</x:v>
      </x:c>
      <x:c r="N576" s="149" t="n">
        <x:v>67677</x:v>
      </x:c>
      <x:c r="O576" s="144" t="str">
        <x:v>A | Official / Original Creator / Organizer</x:v>
      </x:c>
      <x:c r="P576" s="144" t="str">
        <x:v>Core</x:v>
      </x:c>
      <x:c r="Q576" s="144" t="str">
        <x:v>Verified</x:v>
      </x:c>
      <x:c r="R576" s="146" t="n">
        <x:v>46249</x:v>
      </x:c>
      <x:c r="S576" s="144" t="str">
        <x:v>Added from an official university, research institution, conference, or original creator source; public YouTube metadata verified.</x:v>
      </x:c>
      <x:c r="T576" s="144" t="str">
        <x:v>6OBtO9niT00</x:v>
      </x:c>
      <x:c r="U576" s="144" t="str">
        <x:v>Stanford CS336: Language Modeling from Scratch — Spring 2025</x:v>
      </x:c>
      <x:c r="V576" s="147" t="n">
        <x:v>5</x:v>
      </x:c>
      <x:c r="W576" s="144" t="str">
        <x:v>stanford-cs336-spring-2025</x:v>
      </x:c>
    </x:row>
    <x:row r="577" ht="42" customHeight="1">
      <x:c r="A577" s="144" t="str">
        <x:v>ST-576</x:v>
      </x:c>
      <x:c r="B577" s="144" t="str">
        <x:v>Course</x:v>
      </x:c>
      <x:c r="C577" s="144" t="str">
        <x:v>Other</x:v>
      </x:c>
      <x:c r="D577" s="145" t="str">
        <x:v>Deep Learning Foundations</x:v>
      </x:c>
      <x:c r="E577" s="145" t="str">
        <x:v>Language Models; Model Training; Scaling Laws; AI Systems</x:v>
      </x:c>
      <x:c r="F577" s="145" t="str">
        <x:v>English</x:v>
      </x:c>
      <x:c r="G577" s="145" t="str">
        <x:v>Stanford CS336 Language Modeling from Scratch | Spring 2025 | Lecture 6: Kernels, Triton</x:v>
      </x:c>
      <x:c r="H577" s="145" t="str">
        <x:v>Stanford Online course team</x:v>
      </x:c>
      <x:c r="I577" s="145" t="str">
        <x:v>Stanford Online</x:v>
      </x:c>
      <x:c r="J577" s="145" t="str">
        <x:v>Course Lecture</x:v>
      </x:c>
      <x:c r="K577" s="147" t="n">
        <x:v>80</x:v>
      </x:c>
      <x:c r="L577" s="144" t="str">
        <x:v>https://www.youtube.com/watch?v=E8Mju53VB00</x:v>
      </x:c>
      <x:c r="M577" s="144" t="str">
        <x:v>YouTube</x:v>
      </x:c>
      <x:c r="N577" s="149" t="n">
        <x:v>49377</x:v>
      </x:c>
      <x:c r="O577" s="144" t="str">
        <x:v>A | Official / Original Creator / Organizer</x:v>
      </x:c>
      <x:c r="P577" s="144" t="str">
        <x:v>Core</x:v>
      </x:c>
      <x:c r="Q577" s="144" t="str">
        <x:v>Verified</x:v>
      </x:c>
      <x:c r="R577" s="146" t="n">
        <x:v>46249</x:v>
      </x:c>
      <x:c r="S577" s="144" t="str">
        <x:v>Added from an official university, research institution, conference, or original creator source; public YouTube metadata verified.</x:v>
      </x:c>
      <x:c r="T577" s="144" t="str">
        <x:v>E8Mju53VB00</x:v>
      </x:c>
      <x:c r="U577" s="144" t="str">
        <x:v>Stanford CS336: Language Modeling from Scratch — Spring 2025</x:v>
      </x:c>
      <x:c r="V577" s="147" t="n">
        <x:v>6</x:v>
      </x:c>
      <x:c r="W577" s="144" t="str">
        <x:v>stanford-cs336-spring-2025</x:v>
      </x:c>
    </x:row>
    <x:row r="578" ht="42" customHeight="1">
      <x:c r="A578" s="144" t="str">
        <x:v>ST-577</x:v>
      </x:c>
      <x:c r="B578" s="144" t="str">
        <x:v>Course</x:v>
      </x:c>
      <x:c r="C578" s="144" t="str">
        <x:v>Other</x:v>
      </x:c>
      <x:c r="D578" s="145" t="str">
        <x:v>Deep Learning Foundations</x:v>
      </x:c>
      <x:c r="E578" s="145" t="str">
        <x:v>Language Models; Model Training; Scaling Laws; AI Systems</x:v>
      </x:c>
      <x:c r="F578" s="145" t="str">
        <x:v>English</x:v>
      </x:c>
      <x:c r="G578" s="145" t="str">
        <x:v>Stanford CS336 Language Modeling from Scratch | Spring 2025 | Lecture 7: Parallelism 1</x:v>
      </x:c>
      <x:c r="H578" s="145" t="str">
        <x:v>Stanford Online course team</x:v>
      </x:c>
      <x:c r="I578" s="145" t="str">
        <x:v>Stanford Online</x:v>
      </x:c>
      <x:c r="J578" s="145" t="str">
        <x:v>Course Lecture</x:v>
      </x:c>
      <x:c r="K578" s="147" t="n">
        <x:v>85</x:v>
      </x:c>
      <x:c r="L578" s="144" t="str">
        <x:v>https://www.youtube.com/watch?v=l1RJcDjzK8M</x:v>
      </x:c>
      <x:c r="M578" s="144" t="str">
        <x:v>YouTube</x:v>
      </x:c>
      <x:c r="N578" s="149" t="n">
        <x:v>46080</x:v>
      </x:c>
      <x:c r="O578" s="144" t="str">
        <x:v>A | Official / Original Creator / Organizer</x:v>
      </x:c>
      <x:c r="P578" s="144" t="str">
        <x:v>Core</x:v>
      </x:c>
      <x:c r="Q578" s="144" t="str">
        <x:v>Verified</x:v>
      </x:c>
      <x:c r="R578" s="146" t="n">
        <x:v>46249</x:v>
      </x:c>
      <x:c r="S578" s="144" t="str">
        <x:v>Added from an official university, research institution, conference, or original creator source; public YouTube metadata verified.</x:v>
      </x:c>
      <x:c r="T578" s="144" t="str">
        <x:v>l1RJcDjzK8M</x:v>
      </x:c>
      <x:c r="U578" s="144" t="str">
        <x:v>Stanford CS336: Language Modeling from Scratch — Spring 2025</x:v>
      </x:c>
      <x:c r="V578" s="147" t="n">
        <x:v>7</x:v>
      </x:c>
      <x:c r="W578" s="144" t="str">
        <x:v>stanford-cs336-spring-2025</x:v>
      </x:c>
    </x:row>
    <x:row r="579" ht="42" customHeight="1">
      <x:c r="A579" s="144" t="str">
        <x:v>ST-578</x:v>
      </x:c>
      <x:c r="B579" s="144" t="str">
        <x:v>Course</x:v>
      </x:c>
      <x:c r="C579" s="144" t="str">
        <x:v>Other</x:v>
      </x:c>
      <x:c r="D579" s="145" t="str">
        <x:v>Deep Learning Foundations</x:v>
      </x:c>
      <x:c r="E579" s="145" t="str">
        <x:v>Language Models; Model Training; Scaling Laws; AI Systems</x:v>
      </x:c>
      <x:c r="F579" s="145" t="str">
        <x:v>English</x:v>
      </x:c>
      <x:c r="G579" s="145" t="str">
        <x:v>Stanford CS336 Language Modeling from Scratch | Spring 2025 | Lecture 8: Parallelism 2</x:v>
      </x:c>
      <x:c r="H579" s="145" t="str">
        <x:v>Stanford Online course team</x:v>
      </x:c>
      <x:c r="I579" s="145" t="str">
        <x:v>Stanford Online</x:v>
      </x:c>
      <x:c r="J579" s="145" t="str">
        <x:v>Course Lecture</x:v>
      </x:c>
      <x:c r="K579" s="147" t="n">
        <x:v>75</x:v>
      </x:c>
      <x:c r="L579" s="144" t="str">
        <x:v>https://www.youtube.com/watch?v=LHpr5ytssLo</x:v>
      </x:c>
      <x:c r="M579" s="144" t="str">
        <x:v>YouTube</x:v>
      </x:c>
      <x:c r="N579" s="149" t="n">
        <x:v>28873</x:v>
      </x:c>
      <x:c r="O579" s="144" t="str">
        <x:v>A | Official / Original Creator / Organizer</x:v>
      </x:c>
      <x:c r="P579" s="144" t="str">
        <x:v>Core</x:v>
      </x:c>
      <x:c r="Q579" s="144" t="str">
        <x:v>Verified</x:v>
      </x:c>
      <x:c r="R579" s="146" t="n">
        <x:v>46249</x:v>
      </x:c>
      <x:c r="S579" s="144" t="str">
        <x:v>Added from an official university, research institution, conference, or original creator source; public YouTube metadata verified.</x:v>
      </x:c>
      <x:c r="T579" s="144" t="str">
        <x:v>LHpr5ytssLo</x:v>
      </x:c>
      <x:c r="U579" s="144" t="str">
        <x:v>Stanford CS336: Language Modeling from Scratch — Spring 2025</x:v>
      </x:c>
      <x:c r="V579" s="147" t="n">
        <x:v>8</x:v>
      </x:c>
      <x:c r="W579" s="144" t="str">
        <x:v>stanford-cs336-spring-2025</x:v>
      </x:c>
    </x:row>
    <x:row r="580" ht="42" customHeight="1">
      <x:c r="A580" s="144" t="str">
        <x:v>ST-579</x:v>
      </x:c>
      <x:c r="B580" s="144" t="str">
        <x:v>Course</x:v>
      </x:c>
      <x:c r="C580" s="144" t="str">
        <x:v>Other</x:v>
      </x:c>
      <x:c r="D580" s="145" t="str">
        <x:v>Deep Learning Foundations</x:v>
      </x:c>
      <x:c r="E580" s="145" t="str">
        <x:v>Language Models; Model Training; Scaling Laws; AI Systems</x:v>
      </x:c>
      <x:c r="F580" s="145" t="str">
        <x:v>English</x:v>
      </x:c>
      <x:c r="G580" s="145" t="str">
        <x:v>Stanford CS336 Language Modeling from Scratch | Spring 2025 | Lecture 9: Scaling laws 1</x:v>
      </x:c>
      <x:c r="H580" s="145" t="str">
        <x:v>Stanford Online course team</x:v>
      </x:c>
      <x:c r="I580" s="145" t="str">
        <x:v>Stanford Online</x:v>
      </x:c>
      <x:c r="J580" s="145" t="str">
        <x:v>Course Lecture</x:v>
      </x:c>
      <x:c r="K580" s="147" t="n">
        <x:v>65</x:v>
      </x:c>
      <x:c r="L580" s="144" t="str">
        <x:v>https://www.youtube.com/watch?v=6Q-ESEmDf4Q</x:v>
      </x:c>
      <x:c r="M580" s="144" t="str">
        <x:v>YouTube</x:v>
      </x:c>
      <x:c r="N580" s="149" t="n">
        <x:v>33745</x:v>
      </x:c>
      <x:c r="O580" s="144" t="str">
        <x:v>A | Official / Original Creator / Organizer</x:v>
      </x:c>
      <x:c r="P580" s="144" t="str">
        <x:v>Core</x:v>
      </x:c>
      <x:c r="Q580" s="144" t="str">
        <x:v>Verified</x:v>
      </x:c>
      <x:c r="R580" s="146" t="n">
        <x:v>46249</x:v>
      </x:c>
      <x:c r="S580" s="144" t="str">
        <x:v>Added from an official university, research institution, conference, or original creator source; public YouTube metadata verified.</x:v>
      </x:c>
      <x:c r="T580" s="144" t="str">
        <x:v>6Q-ESEmDf4Q</x:v>
      </x:c>
      <x:c r="U580" s="144" t="str">
        <x:v>Stanford CS336: Language Modeling from Scratch — Spring 2025</x:v>
      </x:c>
      <x:c r="V580" s="147" t="n">
        <x:v>9</x:v>
      </x:c>
      <x:c r="W580" s="144" t="str">
        <x:v>stanford-cs336-spring-2025</x:v>
      </x:c>
    </x:row>
    <x:row r="581" ht="42" customHeight="1">
      <x:c r="A581" s="144" t="str">
        <x:v>ST-580</x:v>
      </x:c>
      <x:c r="B581" s="144" t="str">
        <x:v>Course</x:v>
      </x:c>
      <x:c r="C581" s="144" t="str">
        <x:v>Other</x:v>
      </x:c>
      <x:c r="D581" s="145" t="str">
        <x:v>Deep Learning Foundations</x:v>
      </x:c>
      <x:c r="E581" s="145" t="str">
        <x:v>Language Models; Model Training; Scaling Laws; AI Systems</x:v>
      </x:c>
      <x:c r="F581" s="145" t="str">
        <x:v>English</x:v>
      </x:c>
      <x:c r="G581" s="145" t="str">
        <x:v>Stanford CS336 Language Modeling from Scratch | Spring 2025 | Lecture 10: Inference</x:v>
      </x:c>
      <x:c r="H581" s="145" t="str">
        <x:v>Stanford Online course team</x:v>
      </x:c>
      <x:c r="I581" s="145" t="str">
        <x:v>Stanford Online</x:v>
      </x:c>
      <x:c r="J581" s="145" t="str">
        <x:v>Course Lecture</x:v>
      </x:c>
      <x:c r="K581" s="147" t="n">
        <x:v>83</x:v>
      </x:c>
      <x:c r="L581" s="144" t="str">
        <x:v>https://www.youtube.com/watch?v=fcgPYo3OtV0</x:v>
      </x:c>
      <x:c r="M581" s="144" t="str">
        <x:v>YouTube</x:v>
      </x:c>
      <x:c r="N581" s="149" t="n">
        <x:v>33872</x:v>
      </x:c>
      <x:c r="O581" s="144" t="str">
        <x:v>A | Official / Original Creator / Organizer</x:v>
      </x:c>
      <x:c r="P581" s="144" t="str">
        <x:v>Core</x:v>
      </x:c>
      <x:c r="Q581" s="144" t="str">
        <x:v>Verified</x:v>
      </x:c>
      <x:c r="R581" s="146" t="n">
        <x:v>46249</x:v>
      </x:c>
      <x:c r="S581" s="144" t="str">
        <x:v>Added from an official university, research institution, conference, or original creator source; public YouTube metadata verified.</x:v>
      </x:c>
      <x:c r="T581" s="144" t="str">
        <x:v>fcgPYo3OtV0</x:v>
      </x:c>
      <x:c r="U581" s="144" t="str">
        <x:v>Stanford CS336: Language Modeling from Scratch — Spring 2025</x:v>
      </x:c>
      <x:c r="V581" s="147" t="n">
        <x:v>10</x:v>
      </x:c>
      <x:c r="W581" s="144" t="str">
        <x:v>stanford-cs336-spring-2025</x:v>
      </x:c>
    </x:row>
    <x:row r="582" ht="42" customHeight="1">
      <x:c r="A582" s="144" t="str">
        <x:v>ST-581</x:v>
      </x:c>
      <x:c r="B582" s="144" t="str">
        <x:v>Course</x:v>
      </x:c>
      <x:c r="C582" s="144" t="str">
        <x:v>Other</x:v>
      </x:c>
      <x:c r="D582" s="145" t="str">
        <x:v>Deep Learning Foundations</x:v>
      </x:c>
      <x:c r="E582" s="145" t="str">
        <x:v>Language Models; Model Training; Scaling Laws; AI Systems</x:v>
      </x:c>
      <x:c r="F582" s="145" t="str">
        <x:v>English</x:v>
      </x:c>
      <x:c r="G582" s="145" t="str">
        <x:v>Stanford CS336 Language Modeling from Scratch | Spring 2025 | Lecture 11: Scaling laws 2</x:v>
      </x:c>
      <x:c r="H582" s="145" t="str">
        <x:v>Stanford Online course team</x:v>
      </x:c>
      <x:c r="I582" s="145" t="str">
        <x:v>Stanford Online</x:v>
      </x:c>
      <x:c r="J582" s="145" t="str">
        <x:v>Course Lecture</x:v>
      </x:c>
      <x:c r="K582" s="147" t="n">
        <x:v>78</x:v>
      </x:c>
      <x:c r="L582" s="144" t="str">
        <x:v>https://www.youtube.com/watch?v=OSYuUqGBQxw</x:v>
      </x:c>
      <x:c r="M582" s="144" t="str">
        <x:v>YouTube</x:v>
      </x:c>
      <x:c r="N582" s="149" t="n">
        <x:v>23862</x:v>
      </x:c>
      <x:c r="O582" s="144" t="str">
        <x:v>A | Official / Original Creator / Organizer</x:v>
      </x:c>
      <x:c r="P582" s="144" t="str">
        <x:v>Core</x:v>
      </x:c>
      <x:c r="Q582" s="144" t="str">
        <x:v>Verified</x:v>
      </x:c>
      <x:c r="R582" s="146" t="n">
        <x:v>46249</x:v>
      </x:c>
      <x:c r="S582" s="144" t="str">
        <x:v>Added from an official university, research institution, conference, or original creator source; public YouTube metadata verified.</x:v>
      </x:c>
      <x:c r="T582" s="144" t="str">
        <x:v>OSYuUqGBQxw</x:v>
      </x:c>
      <x:c r="U582" s="144" t="str">
        <x:v>Stanford CS336: Language Modeling from Scratch — Spring 2025</x:v>
      </x:c>
      <x:c r="V582" s="147" t="n">
        <x:v>11</x:v>
      </x:c>
      <x:c r="W582" s="144" t="str">
        <x:v>stanford-cs336-spring-2025</x:v>
      </x:c>
    </x:row>
    <x:row r="583" ht="42" customHeight="1">
      <x:c r="A583" s="144" t="str">
        <x:v>ST-582</x:v>
      </x:c>
      <x:c r="B583" s="144" t="str">
        <x:v>Course</x:v>
      </x:c>
      <x:c r="C583" s="144" t="str">
        <x:v>Other</x:v>
      </x:c>
      <x:c r="D583" s="145" t="str">
        <x:v>Deep Learning Foundations</x:v>
      </x:c>
      <x:c r="E583" s="145" t="str">
        <x:v>Language Models; Model Training; Scaling Laws; AI Systems</x:v>
      </x:c>
      <x:c r="F583" s="145" t="str">
        <x:v>English</x:v>
      </x:c>
      <x:c r="G583" s="145" t="str">
        <x:v>Stanford CS336 Language Modeling from Scratch | Spring 2025 | Lecture 12: Evaluation</x:v>
      </x:c>
      <x:c r="H583" s="145" t="str">
        <x:v>Stanford Online course team</x:v>
      </x:c>
      <x:c r="I583" s="145" t="str">
        <x:v>Stanford Online</x:v>
      </x:c>
      <x:c r="J583" s="145" t="str">
        <x:v>Course Lecture</x:v>
      </x:c>
      <x:c r="K583" s="147" t="n">
        <x:v>81</x:v>
      </x:c>
      <x:c r="L583" s="144" t="str">
        <x:v>https://www.youtube.com/watch?v=x-R5l2HsXqM</x:v>
      </x:c>
      <x:c r="M583" s="144" t="str">
        <x:v>YouTube</x:v>
      </x:c>
      <x:c r="N583" s="149" t="n">
        <x:v>24648</x:v>
      </x:c>
      <x:c r="O583" s="144" t="str">
        <x:v>A | Official / Original Creator / Organizer</x:v>
      </x:c>
      <x:c r="P583" s="144" t="str">
        <x:v>Core</x:v>
      </x:c>
      <x:c r="Q583" s="144" t="str">
        <x:v>Verified</x:v>
      </x:c>
      <x:c r="R583" s="146" t="n">
        <x:v>46249</x:v>
      </x:c>
      <x:c r="S583" s="144" t="str">
        <x:v>Added from an official university, research institution, conference, or original creator source; public YouTube metadata verified.</x:v>
      </x:c>
      <x:c r="T583" s="144" t="str">
        <x:v>x-R5l2HsXqM</x:v>
      </x:c>
      <x:c r="U583" s="144" t="str">
        <x:v>Stanford CS336: Language Modeling from Scratch — Spring 2025</x:v>
      </x:c>
      <x:c r="V583" s="147" t="n">
        <x:v>12</x:v>
      </x:c>
      <x:c r="W583" s="144" t="str">
        <x:v>stanford-cs336-spring-2025</x:v>
      </x:c>
    </x:row>
    <x:row r="584" ht="42" customHeight="1">
      <x:c r="A584" s="144" t="str">
        <x:v>ST-583</x:v>
      </x:c>
      <x:c r="B584" s="144" t="str">
        <x:v>Course</x:v>
      </x:c>
      <x:c r="C584" s="144" t="str">
        <x:v>Other</x:v>
      </x:c>
      <x:c r="D584" s="145" t="str">
        <x:v>Deep Learning Foundations</x:v>
      </x:c>
      <x:c r="E584" s="145" t="str">
        <x:v>Language Models; Model Training; Scaling Laws; AI Systems</x:v>
      </x:c>
      <x:c r="F584" s="145" t="str">
        <x:v>English</x:v>
      </x:c>
      <x:c r="G584" s="145" t="str">
        <x:v>Stanford CS336 Language Modeling from Scratch | Spring 2025 | Lecture 13: Data 1</x:v>
      </x:c>
      <x:c r="H584" s="145" t="str">
        <x:v>Stanford Online course team</x:v>
      </x:c>
      <x:c r="I584" s="145" t="str">
        <x:v>Stanford Online</x:v>
      </x:c>
      <x:c r="J584" s="145" t="str">
        <x:v>Course Lecture</x:v>
      </x:c>
      <x:c r="K584" s="147" t="n">
        <x:v>79</x:v>
      </x:c>
      <x:c r="L584" s="144" t="str">
        <x:v>https://www.youtube.com/watch?v=WePxmeXU1xg</x:v>
      </x:c>
      <x:c r="M584" s="144" t="str">
        <x:v>YouTube</x:v>
      </x:c>
      <x:c r="N584" s="149" t="n">
        <x:v>25251</x:v>
      </x:c>
      <x:c r="O584" s="144" t="str">
        <x:v>A | Official / Original Creator / Organizer</x:v>
      </x:c>
      <x:c r="P584" s="144" t="str">
        <x:v>Core</x:v>
      </x:c>
      <x:c r="Q584" s="144" t="str">
        <x:v>Verified</x:v>
      </x:c>
      <x:c r="R584" s="146" t="n">
        <x:v>46249</x:v>
      </x:c>
      <x:c r="S584" s="144" t="str">
        <x:v>Added from an official university, research institution, conference, or original creator source; public YouTube metadata verified.</x:v>
      </x:c>
      <x:c r="T584" s="144" t="str">
        <x:v>WePxmeXU1xg</x:v>
      </x:c>
      <x:c r="U584" s="144" t="str">
        <x:v>Stanford CS336: Language Modeling from Scratch — Spring 2025</x:v>
      </x:c>
      <x:c r="V584" s="147" t="n">
        <x:v>13</x:v>
      </x:c>
      <x:c r="W584" s="144" t="str">
        <x:v>stanford-cs336-spring-2025</x:v>
      </x:c>
    </x:row>
    <x:row r="585" ht="42" customHeight="1">
      <x:c r="A585" s="144" t="str">
        <x:v>ST-584</x:v>
      </x:c>
      <x:c r="B585" s="144" t="str">
        <x:v>Course</x:v>
      </x:c>
      <x:c r="C585" s="144" t="str">
        <x:v>Other</x:v>
      </x:c>
      <x:c r="D585" s="145" t="str">
        <x:v>Deep Learning Foundations</x:v>
      </x:c>
      <x:c r="E585" s="145" t="str">
        <x:v>Language Models; Model Training; Scaling Laws; AI Systems</x:v>
      </x:c>
      <x:c r="F585" s="145" t="str">
        <x:v>English</x:v>
      </x:c>
      <x:c r="G585" s="145" t="str">
        <x:v>Stanford CS336 Language Modeling from Scratch | Spring 2025 | Lecture 14: Data 2</x:v>
      </x:c>
      <x:c r="H585" s="145" t="str">
        <x:v>Stanford Online course team</x:v>
      </x:c>
      <x:c r="I585" s="145" t="str">
        <x:v>Stanford Online</x:v>
      </x:c>
      <x:c r="J585" s="145" t="str">
        <x:v>Course Lecture</x:v>
      </x:c>
      <x:c r="K585" s="147" t="n">
        <x:v>79</x:v>
      </x:c>
      <x:c r="L585" s="144" t="str">
        <x:v>https://www.youtube.com/watch?v=9Cd0THLS1t0</x:v>
      </x:c>
      <x:c r="M585" s="144" t="str">
        <x:v>YouTube</x:v>
      </x:c>
      <x:c r="N585" s="149" t="n">
        <x:v>23600</x:v>
      </x:c>
      <x:c r="O585" s="144" t="str">
        <x:v>A | Official / Original Creator / Organizer</x:v>
      </x:c>
      <x:c r="P585" s="144" t="str">
        <x:v>Core</x:v>
      </x:c>
      <x:c r="Q585" s="144" t="str">
        <x:v>Verified</x:v>
      </x:c>
      <x:c r="R585" s="146" t="n">
        <x:v>46249</x:v>
      </x:c>
      <x:c r="S585" s="144" t="str">
        <x:v>Added from an official university, research institution, conference, or original creator source; public YouTube metadata verified.</x:v>
      </x:c>
      <x:c r="T585" s="144" t="str">
        <x:v>9Cd0THLS1t0</x:v>
      </x:c>
      <x:c r="U585" s="144" t="str">
        <x:v>Stanford CS336: Language Modeling from Scratch — Spring 2025</x:v>
      </x:c>
      <x:c r="V585" s="147" t="n">
        <x:v>14</x:v>
      </x:c>
      <x:c r="W585" s="144" t="str">
        <x:v>stanford-cs336-spring-2025</x:v>
      </x:c>
    </x:row>
    <x:row r="586" ht="42" customHeight="1">
      <x:c r="A586" s="144" t="str">
        <x:v>ST-585</x:v>
      </x:c>
      <x:c r="B586" s="144" t="str">
        <x:v>Course</x:v>
      </x:c>
      <x:c r="C586" s="144" t="str">
        <x:v>Agent</x:v>
      </x:c>
      <x:c r="D586" s="145" t="str">
        <x:v>Agents / Tool Use / Reasoning</x:v>
      </x:c>
      <x:c r="E586" s="145" t="str">
        <x:v>Language Models; Alignment; Reinforcement Learning; RLHF</x:v>
      </x:c>
      <x:c r="F586" s="145" t="str">
        <x:v>English</x:v>
      </x:c>
      <x:c r="G586" s="145" t="str">
        <x:v>Stanford CS336 Language Modeling from Scratch | Spring 2025 | Lecture 15: Alignment - SFT/RLHF</x:v>
      </x:c>
      <x:c r="H586" s="145" t="str">
        <x:v>Stanford Online course team</x:v>
      </x:c>
      <x:c r="I586" s="145" t="str">
        <x:v>Stanford Online</x:v>
      </x:c>
      <x:c r="J586" s="145" t="str">
        <x:v>Course Lecture</x:v>
      </x:c>
      <x:c r="K586" s="147" t="n">
        <x:v>75</x:v>
      </x:c>
      <x:c r="L586" s="144" t="str">
        <x:v>https://www.youtube.com/watch?v=Dfu7vC9jo4w</x:v>
      </x:c>
      <x:c r="M586" s="144" t="str">
        <x:v>YouTube</x:v>
      </x:c>
      <x:c r="N586" s="149" t="n">
        <x:v>36275</x:v>
      </x:c>
      <x:c r="O586" s="144" t="str">
        <x:v>A | Official / Original Creator / Organizer</x:v>
      </x:c>
      <x:c r="P586" s="144" t="str">
        <x:v>Core</x:v>
      </x:c>
      <x:c r="Q586" s="144" t="str">
        <x:v>Verified</x:v>
      </x:c>
      <x:c r="R586" s="146" t="n">
        <x:v>46249</x:v>
      </x:c>
      <x:c r="S586" s="144" t="str">
        <x:v>Added from an official university, research institution, conference, or original creator source; public YouTube metadata verified.</x:v>
      </x:c>
      <x:c r="T586" s="144" t="str">
        <x:v>Dfu7vC9jo4w</x:v>
      </x:c>
      <x:c r="U586" s="144" t="str">
        <x:v>Stanford CS336: Language Modeling from Scratch — Spring 2025</x:v>
      </x:c>
      <x:c r="V586" s="147" t="n">
        <x:v>15</x:v>
      </x:c>
      <x:c r="W586" s="144" t="str">
        <x:v>stanford-cs336-spring-2025</x:v>
      </x:c>
    </x:row>
    <x:row r="587" ht="42" customHeight="1">
      <x:c r="A587" s="144" t="str">
        <x:v>ST-586</x:v>
      </x:c>
      <x:c r="B587" s="144" t="str">
        <x:v>Course</x:v>
      </x:c>
      <x:c r="C587" s="144" t="str">
        <x:v>Agent</x:v>
      </x:c>
      <x:c r="D587" s="145" t="str">
        <x:v>Agents / Tool Use / Reasoning</x:v>
      </x:c>
      <x:c r="E587" s="145" t="str">
        <x:v>Language Models; Alignment; Reinforcement Learning; RLHF</x:v>
      </x:c>
      <x:c r="F587" s="145" t="str">
        <x:v>English</x:v>
      </x:c>
      <x:c r="G587" s="145" t="str">
        <x:v>Stanford CS336 Language Modeling from Scratch | Spring 2025 | Lecture 16: Alignment - RL 1</x:v>
      </x:c>
      <x:c r="H587" s="145" t="str">
        <x:v>Stanford Online course team</x:v>
      </x:c>
      <x:c r="I587" s="145" t="str">
        <x:v>Stanford Online</x:v>
      </x:c>
      <x:c r="J587" s="145" t="str">
        <x:v>Course Lecture</x:v>
      </x:c>
      <x:c r="K587" s="147" t="n">
        <x:v>81</x:v>
      </x:c>
      <x:c r="L587" s="144" t="str">
        <x:v>https://www.youtube.com/watch?v=46f2QTDB08Q</x:v>
      </x:c>
      <x:c r="M587" s="144" t="str">
        <x:v>YouTube</x:v>
      </x:c>
      <x:c r="N587" s="149" t="n">
        <x:v>38616</x:v>
      </x:c>
      <x:c r="O587" s="144" t="str">
        <x:v>A | Official / Original Creator / Organizer</x:v>
      </x:c>
      <x:c r="P587" s="144" t="str">
        <x:v>Core</x:v>
      </x:c>
      <x:c r="Q587" s="144" t="str">
        <x:v>Verified</x:v>
      </x:c>
      <x:c r="R587" s="146" t="n">
        <x:v>46249</x:v>
      </x:c>
      <x:c r="S587" s="144" t="str">
        <x:v>Added from an official university, research institution, conference, or original creator source; public YouTube metadata verified.</x:v>
      </x:c>
      <x:c r="T587" s="144" t="str">
        <x:v>46f2QTDB08Q</x:v>
      </x:c>
      <x:c r="U587" s="144" t="str">
        <x:v>Stanford CS336: Language Modeling from Scratch — Spring 2025</x:v>
      </x:c>
      <x:c r="V587" s="147" t="n">
        <x:v>16</x:v>
      </x:c>
      <x:c r="W587" s="144" t="str">
        <x:v>stanford-cs336-spring-2025</x:v>
      </x:c>
    </x:row>
    <x:row r="588" ht="42" customHeight="1">
      <x:c r="A588" s="144" t="str">
        <x:v>ST-587</x:v>
      </x:c>
      <x:c r="B588" s="144" t="str">
        <x:v>Course</x:v>
      </x:c>
      <x:c r="C588" s="144" t="str">
        <x:v>Agent</x:v>
      </x:c>
      <x:c r="D588" s="145" t="str">
        <x:v>Agents / Tool Use / Reasoning</x:v>
      </x:c>
      <x:c r="E588" s="145" t="str">
        <x:v>Language Models; Alignment; Reinforcement Learning; RLHF</x:v>
      </x:c>
      <x:c r="F588" s="145" t="str">
        <x:v>English</x:v>
      </x:c>
      <x:c r="G588" s="145" t="str">
        <x:v>Stanford CS336 Language Modeling from Scratch | Spring 2025 | Lecture 17: Alignment - RL 2</x:v>
      </x:c>
      <x:c r="H588" s="145" t="str">
        <x:v>Stanford Online course team</x:v>
      </x:c>
      <x:c r="I588" s="145" t="str">
        <x:v>Stanford Online</x:v>
      </x:c>
      <x:c r="J588" s="145" t="str">
        <x:v>Course Lecture</x:v>
      </x:c>
      <x:c r="K588" s="147" t="n">
        <x:v>76</x:v>
      </x:c>
      <x:c r="L588" s="144" t="str">
        <x:v>https://www.youtube.com/watch?v=JdGFdViaOJk</x:v>
      </x:c>
      <x:c r="M588" s="144" t="str">
        <x:v>YouTube</x:v>
      </x:c>
      <x:c r="N588" s="149" t="n">
        <x:v>40572</x:v>
      </x:c>
      <x:c r="O588" s="144" t="str">
        <x:v>A | Official / Original Creator / Organizer</x:v>
      </x:c>
      <x:c r="P588" s="144" t="str">
        <x:v>Core</x:v>
      </x:c>
      <x:c r="Q588" s="144" t="str">
        <x:v>Verified</x:v>
      </x:c>
      <x:c r="R588" s="146" t="n">
        <x:v>46249</x:v>
      </x:c>
      <x:c r="S588" s="144" t="str">
        <x:v>Added from an official university, research institution, conference, or original creator source; public YouTube metadata verified.</x:v>
      </x:c>
      <x:c r="T588" s="144" t="str">
        <x:v>JdGFdViaOJk</x:v>
      </x:c>
      <x:c r="U588" s="144" t="str">
        <x:v>Stanford CS336: Language Modeling from Scratch — Spring 2025</x:v>
      </x:c>
      <x:c r="V588" s="147" t="n">
        <x:v>17</x:v>
      </x:c>
      <x:c r="W588" s="144" t="str">
        <x:v>stanford-cs336-spring-2025</x:v>
      </x:c>
    </x:row>
    <x:row r="589" ht="42" customHeight="1">
      <x:c r="A589" s="144" t="str">
        <x:v>ST-588</x:v>
      </x:c>
      <x:c r="B589" s="144" t="str">
        <x:v>Course</x:v>
      </x:c>
      <x:c r="C589" s="144" t="str">
        <x:v>Agent</x:v>
      </x:c>
      <x:c r="D589" s="145" t="str">
        <x:v>Agents / Tool Use / Reasoning</x:v>
      </x:c>
      <x:c r="E589" s="145" t="str">
        <x:v>Agents; Large Language Models; Reasoning; Agent Safety; Compound AI Systems</x:v>
      </x:c>
      <x:c r="F589" s="145" t="str">
        <x:v>English</x:v>
      </x:c>
      <x:c r="G589" s="145" t="str">
        <x:v>LLM Agents MOOC | UC Berkeley Fall 2024 | Safe AI Agents + Evidence-based AI Policy by Dawn Song</x:v>
      </x:c>
      <x:c r="H589" s="145" t="str">
        <x:v>Dawn Song</x:v>
      </x:c>
      <x:c r="I589" s="145" t="str">
        <x:v>Berkeley RDI</x:v>
      </x:c>
      <x:c r="J589" s="145" t="str">
        <x:v>Course Lecture</x:v>
      </x:c>
      <x:c r="K589" s="147" t="n">
        <x:v>104</x:v>
      </x:c>
      <x:c r="L589" s="144" t="str">
        <x:v>https://www.youtube.com/watch?v=QAgR4uQ15rc</x:v>
      </x:c>
      <x:c r="M589" s="144" t="str">
        <x:v>YouTube</x:v>
      </x:c>
      <x:c r="N589" s="149" t="n">
        <x:v>27236</x:v>
      </x:c>
      <x:c r="O589" s="144" t="str">
        <x:v>A | Official / Original Creator / Organizer</x:v>
      </x:c>
      <x:c r="P589" s="144" t="str">
        <x:v>Core</x:v>
      </x:c>
      <x:c r="Q589" s="144" t="str">
        <x:v>Verified</x:v>
      </x:c>
      <x:c r="R589" s="146" t="n">
        <x:v>46249</x:v>
      </x:c>
      <x:c r="S589" s="144" t="str">
        <x:v>Added from an official university, research institution, conference, or original creator source; public YouTube metadata verified.</x:v>
      </x:c>
      <x:c r="T589" s="144" t="str">
        <x:v>QAgR4uQ15rc</x:v>
      </x:c>
      <x:c r="U589" s="144" t="str">
        <x:v>UC Berkeley LLM Agents MOOC — Fall 2024</x:v>
      </x:c>
      <x:c r="V589" s="147" t="n">
        <x:v>20241203</x:v>
      </x:c>
      <x:c r="W589" s="144" t="str">
        <x:v>berkeley-llm-agents-mooc-fall-2024</x:v>
      </x:c>
    </x:row>
    <x:row r="590" ht="42" customHeight="1">
      <x:c r="A590" s="144" t="str">
        <x:v>ST-589</x:v>
      </x:c>
      <x:c r="B590" s="144" t="str">
        <x:v>Course</x:v>
      </x:c>
      <x:c r="C590" s="144" t="str">
        <x:v>Agent</x:v>
      </x:c>
      <x:c r="D590" s="145" t="str">
        <x:v>Agents / Tool Use / Reasoning</x:v>
      </x:c>
      <x:c r="E590" s="145" t="str">
        <x:v>Agents; Large Language Models; Reasoning; Agent Safety; Compound AI Systems</x:v>
      </x:c>
      <x:c r="F590" s="145" t="str">
        <x:v>English</x:v>
      </x:c>
      <x:c r="G590" s="145" t="str">
        <x:v>LLM Agents MOOC | UC Berkeley CS294-196 Fa24 | Measuring Agent Caps &amp; RSP (Anthropic) by Ben Mann</x:v>
      </x:c>
      <x:c r="H590" s="145" t="str">
        <x:v>Ben Mann</x:v>
      </x:c>
      <x:c r="I590" s="145" t="str">
        <x:v>Berkeley RDI</x:v>
      </x:c>
      <x:c r="J590" s="145" t="str">
        <x:v>Course Lecture</x:v>
      </x:c>
      <x:c r="K590" s="147" t="n">
        <x:v>44</x:v>
      </x:c>
      <x:c r="L590" s="144" t="str">
        <x:v>https://www.youtube.com/watch?v=6y2AnWol7oo</x:v>
      </x:c>
      <x:c r="M590" s="144" t="str">
        <x:v>YouTube</x:v>
      </x:c>
      <x:c r="N590" s="149" t="n">
        <x:v>8026</x:v>
      </x:c>
      <x:c r="O590" s="144" t="str">
        <x:v>A | Official / Original Creator / Organizer</x:v>
      </x:c>
      <x:c r="P590" s="144" t="str">
        <x:v>Core</x:v>
      </x:c>
      <x:c r="Q590" s="144" t="str">
        <x:v>Verified</x:v>
      </x:c>
      <x:c r="R590" s="146" t="n">
        <x:v>46249</x:v>
      </x:c>
      <x:c r="S590" s="144" t="str">
        <x:v>Added from an official university, research institution, conference, or original creator source; public YouTube metadata verified.</x:v>
      </x:c>
      <x:c r="T590" s="144" t="str">
        <x:v>6y2AnWol7oo</x:v>
      </x:c>
      <x:c r="U590" s="144" t="str">
        <x:v>UC Berkeley LLM Agents MOOC — Fall 2024</x:v>
      </x:c>
      <x:c r="V590" s="147" t="n">
        <x:v>20241202</x:v>
      </x:c>
      <x:c r="W590" s="144" t="str">
        <x:v>berkeley-llm-agents-mooc-fall-2024</x:v>
      </x:c>
    </x:row>
    <x:row r="591" ht="42" customHeight="1">
      <x:c r="A591" s="144" t="str">
        <x:v>ST-590</x:v>
      </x:c>
      <x:c r="B591" s="144" t="str">
        <x:v>Course</x:v>
      </x:c>
      <x:c r="C591" s="144" t="str">
        <x:v>Agent</x:v>
      </x:c>
      <x:c r="D591" s="145" t="str">
        <x:v>Agents / Tool Use / Reasoning</x:v>
      </x:c>
      <x:c r="E591" s="145" t="str">
        <x:v>Agents; Large Language Models; Reasoning; Agent Safety; Compound AI Systems</x:v>
      </x:c>
      <x:c r="F591" s="145" t="str">
        <x:v>English</x:v>
      </x:c>
      <x:c r="G591" s="145" t="str">
        <x:v>LLM Agents MOOC | UC Berkeley Fall 2024 | Open Source &amp; Science w/ Foundation Models by Percy Liang</x:v>
      </x:c>
      <x:c r="H591" s="145" t="str">
        <x:v>Percy Liang</x:v>
      </x:c>
      <x:c r="I591" s="145" t="str">
        <x:v>Berkeley RDI</x:v>
      </x:c>
      <x:c r="J591" s="145" t="str">
        <x:v>Course Lecture</x:v>
      </x:c>
      <x:c r="K591" s="147" t="n">
        <x:v>53</x:v>
      </x:c>
      <x:c r="L591" s="144" t="str">
        <x:v>https://www.youtube.com/watch?v=f3KKx9LWntQ</x:v>
      </x:c>
      <x:c r="M591" s="144" t="str">
        <x:v>YouTube</x:v>
      </x:c>
      <x:c r="N591" s="149" t="n">
        <x:v>10479</x:v>
      </x:c>
      <x:c r="O591" s="144" t="str">
        <x:v>A | Official / Original Creator / Organizer</x:v>
      </x:c>
      <x:c r="P591" s="144" t="str">
        <x:v>Core</x:v>
      </x:c>
      <x:c r="Q591" s="144" t="str">
        <x:v>Verified</x:v>
      </x:c>
      <x:c r="R591" s="146" t="n">
        <x:v>46249</x:v>
      </x:c>
      <x:c r="S591" s="144" t="str">
        <x:v>Added from an official university, research institution, conference, or original creator source; public YouTube metadata verified.</x:v>
      </x:c>
      <x:c r="T591" s="144" t="str">
        <x:v>f3KKx9LWntQ</x:v>
      </x:c>
      <x:c r="U591" s="144" t="str">
        <x:v>UC Berkeley LLM Agents MOOC — Fall 2024</x:v>
      </x:c>
      <x:c r="V591" s="147" t="n">
        <x:v>20241119</x:v>
      </x:c>
      <x:c r="W591" s="144" t="str">
        <x:v>berkeley-llm-agents-mooc-fall-2024</x:v>
      </x:c>
    </x:row>
    <x:row r="592" ht="42" customHeight="1">
      <x:c r="A592" s="144" t="str">
        <x:v>ST-591</x:v>
      </x:c>
      <x:c r="B592" s="144" t="str">
        <x:v>Course</x:v>
      </x:c>
      <x:c r="C592" s="144" t="str">
        <x:v>Agent</x:v>
      </x:c>
      <x:c r="D592" s="145" t="str">
        <x:v>Agents / Tool Use / Reasoning</x:v>
      </x:c>
      <x:c r="E592" s="145" t="str">
        <x:v>Agents; Large Language Models; Reasoning; Agent Safety; Compound AI Systems</x:v>
      </x:c>
      <x:c r="F592" s="145" t="str">
        <x:v>English</x:v>
      </x:c>
      <x:c r="G592" s="145" t="str">
        <x:v>LLM Agents MOOC | UC Berkeley Fall 2024 | AI Agents for Enterprise Workflows by Nicolas Chapados</x:v>
      </x:c>
      <x:c r="H592" s="145" t="str">
        <x:v>Nicolas Chapados</x:v>
      </x:c>
      <x:c r="I592" s="145" t="str">
        <x:v>Berkeley RDI</x:v>
      </x:c>
      <x:c r="J592" s="145" t="str">
        <x:v>Course Lecture</x:v>
      </x:c>
      <x:c r="K592" s="147" t="n">
        <x:v>71</x:v>
      </x:c>
      <x:c r="L592" s="144" t="str">
        <x:v>https://www.youtube.com/watch?v=-yf-e-9FvOc</x:v>
      </x:c>
      <x:c r="M592" s="144" t="str">
        <x:v>YouTube</x:v>
      </x:c>
      <x:c r="N592" s="149" t="n">
        <x:v>13506</x:v>
      </x:c>
      <x:c r="O592" s="144" t="str">
        <x:v>A | Official / Original Creator / Organizer</x:v>
      </x:c>
      <x:c r="P592" s="144" t="str">
        <x:v>Core</x:v>
      </x:c>
      <x:c r="Q592" s="144" t="str">
        <x:v>Verified</x:v>
      </x:c>
      <x:c r="R592" s="146" t="n">
        <x:v>46249</x:v>
      </x:c>
      <x:c r="S592" s="144" t="str">
        <x:v>Added from an official university, research institution, conference, or original creator source; public YouTube metadata verified.</x:v>
      </x:c>
      <x:c r="T592" s="144" t="str">
        <x:v>-yf-e-9FvOc</x:v>
      </x:c>
      <x:c r="U592" s="144" t="str">
        <x:v>UC Berkeley LLM Agents MOOC — Fall 2024</x:v>
      </x:c>
      <x:c r="V592" s="147" t="n">
        <x:v>20241022</x:v>
      </x:c>
      <x:c r="W592" s="144" t="str">
        <x:v>berkeley-llm-agents-mooc-fall-2024</x:v>
      </x:c>
    </x:row>
    <x:row r="593" ht="42" customHeight="1">
      <x:c r="A593" s="144" t="str">
        <x:v>ST-592</x:v>
      </x:c>
      <x:c r="B593" s="144" t="str">
        <x:v>Course</x:v>
      </x:c>
      <x:c r="C593" s="144" t="str">
        <x:v>Agent</x:v>
      </x:c>
      <x:c r="D593" s="145" t="str">
        <x:v>Agents / Tool Use / Reasoning</x:v>
      </x:c>
      <x:c r="E593" s="145" t="str">
        <x:v>Agents; Large Language Models; Reasoning; Agent Safety; Compound AI Systems</x:v>
      </x:c>
      <x:c r="F593" s="145" t="str">
        <x:v>English</x:v>
      </x:c>
      <x:c r="G593" s="145" t="str">
        <x:v>LLM Agents MOOC | UC Berkeley CS294-196 Fall 2024 | Compound AI Sys &amp; DSPy Framework by Omar Khattab</x:v>
      </x:c>
      <x:c r="H593" s="145" t="str">
        <x:v>Omar Khattab</x:v>
      </x:c>
      <x:c r="I593" s="145" t="str">
        <x:v>Berkeley RDI</x:v>
      </x:c>
      <x:c r="J593" s="145" t="str">
        <x:v>Course Lecture</x:v>
      </x:c>
      <x:c r="K593" s="147" t="n">
        <x:v>65</x:v>
      </x:c>
      <x:c r="L593" s="144" t="str">
        <x:v>https://www.youtube.com/watch?v=JEMYuzrKLUw</x:v>
      </x:c>
      <x:c r="M593" s="144" t="str">
        <x:v>YouTube</x:v>
      </x:c>
      <x:c r="N593" s="149" t="n">
        <x:v>62030</x:v>
      </x:c>
      <x:c r="O593" s="144" t="str">
        <x:v>A | Official / Original Creator / Organizer</x:v>
      </x:c>
      <x:c r="P593" s="144" t="str">
        <x:v>Core</x:v>
      </x:c>
      <x:c r="Q593" s="144" t="str">
        <x:v>Verified</x:v>
      </x:c>
      <x:c r="R593" s="146" t="n">
        <x:v>46249</x:v>
      </x:c>
      <x:c r="S593" s="144" t="str">
        <x:v>Added from an official university, research institution, conference, or original creator source; public YouTube metadata verified.</x:v>
      </x:c>
      <x:c r="T593" s="144" t="str">
        <x:v>JEMYuzrKLUw</x:v>
      </x:c>
      <x:c r="U593" s="144" t="str">
        <x:v>UC Berkeley LLM Agents MOOC — Fall 2024</x:v>
      </x:c>
      <x:c r="V593" s="147" t="n">
        <x:v>20241009</x:v>
      </x:c>
      <x:c r="W593" s="144" t="str">
        <x:v>berkeley-llm-agents-mooc-fall-2024</x:v>
      </x:c>
    </x:row>
    <x:row r="594" ht="42" customHeight="1">
      <x:c r="A594" s="144" t="str">
        <x:v>ST-593</x:v>
      </x:c>
      <x:c r="B594" s="144" t="str">
        <x:v>Course</x:v>
      </x:c>
      <x:c r="C594" s="144" t="str">
        <x:v>Agent</x:v>
      </x:c>
      <x:c r="D594" s="145" t="str">
        <x:v>Agents / Tool Use / Reasoning</x:v>
      </x:c>
      <x:c r="E594" s="145" t="str">
        <x:v>Agents; Large Language Models; Reasoning; Agent Safety; Compound AI Systems</x:v>
      </x:c>
      <x:c r="F594" s="145" t="str">
        <x:v>English</x:v>
      </x:c>
      <x:c r="G594" s="145" t="str">
        <x:v>LLM Agents MOOC | UC Berkeley Fall 2024 | Enterprise GenAI Trends &amp; AI Agents by Burak Gokturk</x:v>
      </x:c>
      <x:c r="H594" s="145" t="str">
        <x:v>Burak Gokturk</x:v>
      </x:c>
      <x:c r="I594" s="145" t="str">
        <x:v>Berkeley RDI</x:v>
      </x:c>
      <x:c r="J594" s="145" t="str">
        <x:v>Course Lecture</x:v>
      </x:c>
      <x:c r="K594" s="147" t="n">
        <x:v>63</x:v>
      </x:c>
      <x:c r="L594" s="144" t="str">
        <x:v>https://www.youtube.com/watch?v=Sy1psHS3w3I</x:v>
      </x:c>
      <x:c r="M594" s="144" t="str">
        <x:v>YouTube</x:v>
      </x:c>
      <x:c r="N594" s="149" t="n">
        <x:v>20007</x:v>
      </x:c>
      <x:c r="O594" s="144" t="str">
        <x:v>A | Official / Original Creator / Organizer</x:v>
      </x:c>
      <x:c r="P594" s="144" t="str">
        <x:v>Core</x:v>
      </x:c>
      <x:c r="Q594" s="144" t="str">
        <x:v>Verified</x:v>
      </x:c>
      <x:c r="R594" s="146" t="n">
        <x:v>46249</x:v>
      </x:c>
      <x:c r="S594" s="144" t="str">
        <x:v>Added from an official university, research institution, conference, or original creator source; public YouTube metadata verified.</x:v>
      </x:c>
      <x:c r="T594" s="144" t="str">
        <x:v>Sy1psHS3w3I</x:v>
      </x:c>
      <x:c r="U594" s="144" t="str">
        <x:v>UC Berkeley LLM Agents MOOC — Fall 2024</x:v>
      </x:c>
      <x:c r="V594" s="147" t="n">
        <x:v>20241001</x:v>
      </x:c>
      <x:c r="W594" s="144" t="str">
        <x:v>berkeley-llm-agents-mooc-fall-2024</x:v>
      </x:c>
    </x:row>
    <x:row r="595" ht="42" customHeight="1">
      <x:c r="A595" s="144" t="str">
        <x:v>ST-594</x:v>
      </x:c>
      <x:c r="B595" s="144" t="str">
        <x:v>Course</x:v>
      </x:c>
      <x:c r="C595" s="144" t="str">
        <x:v>Agent</x:v>
      </x:c>
      <x:c r="D595" s="145" t="str">
        <x:v>Agents / Tool Use / Reasoning</x:v>
      </x:c>
      <x:c r="E595" s="145" t="str">
        <x:v>Agents; Large Language Models; Reasoning; Agent Safety; Compound AI Systems</x:v>
      </x:c>
      <x:c r="F595" s="145" t="str">
        <x:v>English</x:v>
      </x:c>
      <x:c r="G595" s="145" t="str">
        <x:v>LLM Agents MOOC | UC Berkeley CS294-196 Fall 2024 | LLM Reasoning by Denny Zhou</x:v>
      </x:c>
      <x:c r="H595" s="145" t="str">
        <x:v>Denny Zhou</x:v>
      </x:c>
      <x:c r="I595" s="145" t="str">
        <x:v>Berkeley RDI</x:v>
      </x:c>
      <x:c r="J595" s="145" t="str">
        <x:v>Course Lecture</x:v>
      </x:c>
      <x:c r="K595" s="147" t="n">
        <x:v>64</x:v>
      </x:c>
      <x:c r="L595" s="144" t="str">
        <x:v>https://www.youtube.com/watch?v=QL-FS_Zcmyo</x:v>
      </x:c>
      <x:c r="M595" s="144" t="str">
        <x:v>YouTube</x:v>
      </x:c>
      <x:c r="N595" s="149" t="n">
        <x:v>116007</x:v>
      </x:c>
      <x:c r="O595" s="144" t="str">
        <x:v>A | Official / Original Creator / Organizer</x:v>
      </x:c>
      <x:c r="P595" s="144" t="str">
        <x:v>Core</x:v>
      </x:c>
      <x:c r="Q595" s="144" t="str">
        <x:v>Verified</x:v>
      </x:c>
      <x:c r="R595" s="146" t="n">
        <x:v>46249</x:v>
      </x:c>
      <x:c r="S595" s="144" t="str">
        <x:v>Added from an official university, research institution, conference, or original creator source; public YouTube metadata verified.</x:v>
      </x:c>
      <x:c r="T595" s="144" t="str">
        <x:v>QL-FS_Zcmyo</x:v>
      </x:c>
      <x:c r="U595" s="144" t="str">
        <x:v>UC Berkeley LLM Agents MOOC — Fall 2024</x:v>
      </x:c>
      <x:c r="V595" s="147" t="n">
        <x:v>20240911</x:v>
      </x:c>
      <x:c r="W595" s="144" t="str">
        <x:v>berkeley-llm-agents-mooc-fall-2024</x:v>
      </x:c>
    </x:row>
    <x:row r="596" ht="42" customHeight="1">
      <x:c r="A596" s="144" t="str">
        <x:v>ST-595</x:v>
      </x:c>
      <x:c r="B596" s="144" t="str">
        <x:v>Course</x:v>
      </x:c>
      <x:c r="C596" s="144" t="str">
        <x:v>Agent</x:v>
      </x:c>
      <x:c r="D596" s="145" t="str">
        <x:v>Agents / Tool Use / Reasoning</x:v>
      </x:c>
      <x:c r="E596" s="145" t="str">
        <x:v>Agentic AI; Multi-Agent Systems; Reasoning; Agent Training; Agent Evaluation</x:v>
      </x:c>
      <x:c r="F596" s="145" t="str">
        <x:v>English</x:v>
      </x:c>
      <x:c r="G596" s="145" t="str">
        <x:v>Agentic AI MOOC | UC Berkeley CS294-196 Fall 2025 | Agentic AI Safety &amp; Security by Dawn Song</x:v>
      </x:c>
      <x:c r="H596" s="145" t="str">
        <x:v>Dawn Song</x:v>
      </x:c>
      <x:c r="I596" s="145" t="str">
        <x:v>Berkeley RDI</x:v>
      </x:c>
      <x:c r="J596" s="145" t="str">
        <x:v>Course Lecture</x:v>
      </x:c>
      <x:c r="K596" s="147" t="n">
        <x:v>109</x:v>
      </x:c>
      <x:c r="L596" s="144" t="str">
        <x:v>https://www.youtube.com/watch?v=CvZDJxd4LKM</x:v>
      </x:c>
      <x:c r="M596" s="144" t="str">
        <x:v>YouTube</x:v>
      </x:c>
      <x:c r="N596" s="149" t="n">
        <x:v>14023</x:v>
      </x:c>
      <x:c r="O596" s="144" t="str">
        <x:v>A | Official / Original Creator / Organizer</x:v>
      </x:c>
      <x:c r="P596" s="144" t="str">
        <x:v>Core</x:v>
      </x:c>
      <x:c r="Q596" s="144" t="str">
        <x:v>Verified</x:v>
      </x:c>
      <x:c r="R596" s="146" t="n">
        <x:v>46249</x:v>
      </x:c>
      <x:c r="S596" s="144" t="str">
        <x:v>Added from an official university, research institution, conference, or original creator source; public YouTube metadata verified.</x:v>
      </x:c>
      <x:c r="T596" s="144" t="str">
        <x:v>CvZDJxd4LKM</x:v>
      </x:c>
      <x:c r="U596" s="144" t="str">
        <x:v>UC Berkeley Agentic AI MOOC — Fall 2025</x:v>
      </x:c>
      <x:c r="V596" s="147" t="n">
        <x:v>1</x:v>
      </x:c>
      <x:c r="W596" s="144" t="str">
        <x:v>berkeley-agentic-ai-mooc-fall-2025</x:v>
      </x:c>
    </x:row>
    <x:row r="597" ht="42" customHeight="1">
      <x:c r="A597" s="144" t="str">
        <x:v>ST-596</x:v>
      </x:c>
      <x:c r="B597" s="144" t="str">
        <x:v>Course</x:v>
      </x:c>
      <x:c r="C597" s="144" t="str">
        <x:v>Agent</x:v>
      </x:c>
      <x:c r="D597" s="145" t="str">
        <x:v>Agents / Tool Use / Reasoning</x:v>
      </x:c>
      <x:c r="E597" s="145" t="str">
        <x:v>Agentic AI; Multi-Agent Systems; Reasoning; Agent Training; Agent Evaluation</x:v>
      </x:c>
      <x:c r="F597" s="145" t="str">
        <x:v>English</x:v>
      </x:c>
      <x:c r="G597" s="145" t="str">
        <x:v>Agentic AI MOOC | UC Berkeley CS294-196 Fall 2025 | Autonomous Agents by Peter Stone</x:v>
      </x:c>
      <x:c r="H597" s="145" t="str">
        <x:v>Peter Stone</x:v>
      </x:c>
      <x:c r="I597" s="145" t="str">
        <x:v>Berkeley RDI</x:v>
      </x:c>
      <x:c r="J597" s="145" t="str">
        <x:v>Course Lecture</x:v>
      </x:c>
      <x:c r="K597" s="147" t="n">
        <x:v>62</x:v>
      </x:c>
      <x:c r="L597" s="144" t="str">
        <x:v>https://www.youtube.com/watch?v=iDhzzugMOLA</x:v>
      </x:c>
      <x:c r="M597" s="144" t="str">
        <x:v>YouTube</x:v>
      </x:c>
      <x:c r="N597" s="149" t="n">
        <x:v>5629</x:v>
      </x:c>
      <x:c r="O597" s="144" t="str">
        <x:v>A | Official / Original Creator / Organizer</x:v>
      </x:c>
      <x:c r="P597" s="144" t="str">
        <x:v>Core</x:v>
      </x:c>
      <x:c r="Q597" s="144" t="str">
        <x:v>Verified</x:v>
      </x:c>
      <x:c r="R597" s="146" t="n">
        <x:v>46249</x:v>
      </x:c>
      <x:c r="S597" s="144" t="str">
        <x:v>Added from an official university, research institution, conference, or original creator source; public YouTube metadata verified.</x:v>
      </x:c>
      <x:c r="T597" s="144" t="str">
        <x:v>iDhzzugMOLA</x:v>
      </x:c>
      <x:c r="U597" s="144" t="str">
        <x:v>UC Berkeley Agentic AI MOOC — Fall 2025</x:v>
      </x:c>
      <x:c r="V597" s="147" t="n">
        <x:v>2</x:v>
      </x:c>
      <x:c r="W597" s="144" t="str">
        <x:v>berkeley-agentic-ai-mooc-fall-2025</x:v>
      </x:c>
    </x:row>
    <x:row r="598" ht="42" customHeight="1">
      <x:c r="A598" s="144" t="str">
        <x:v>ST-597</x:v>
      </x:c>
      <x:c r="B598" s="144" t="str">
        <x:v>Course</x:v>
      </x:c>
      <x:c r="C598" s="144" t="str">
        <x:v>Agent</x:v>
      </x:c>
      <x:c r="D598" s="145" t="str">
        <x:v>Agents / Tool Use / Reasoning</x:v>
      </x:c>
      <x:c r="E598" s="145" t="str">
        <x:v>Agentic AI; Multi-Agent Systems; Reasoning; Agent Training; Agent Evaluation</x:v>
      </x:c>
      <x:c r="F598" s="145" t="str">
        <x:v>English</x:v>
      </x:c>
      <x:c r="G598" s="145" t="str">
        <x:v>Agentic AI MOOC | UC Berkeley CS294-196 F25 | Multi-Agent Systems in Era of LLMs by Oriol Vinyals</x:v>
      </x:c>
      <x:c r="H598" s="145" t="str">
        <x:v>Oriol Vinyals</x:v>
      </x:c>
      <x:c r="I598" s="145" t="str">
        <x:v>Berkeley RDI</x:v>
      </x:c>
      <x:c r="J598" s="145" t="str">
        <x:v>Course Lecture</x:v>
      </x:c>
      <x:c r="K598" s="147" t="n">
        <x:v>59</x:v>
      </x:c>
      <x:c r="L598" s="144" t="str">
        <x:v>https://www.youtube.com/watch?v=ntjOxjZMaac</x:v>
      </x:c>
      <x:c r="M598" s="144" t="str">
        <x:v>YouTube</x:v>
      </x:c>
      <x:c r="N598" s="149" t="n">
        <x:v>8626</x:v>
      </x:c>
      <x:c r="O598" s="144" t="str">
        <x:v>A | Official / Original Creator / Organizer</x:v>
      </x:c>
      <x:c r="P598" s="144" t="str">
        <x:v>Core</x:v>
      </x:c>
      <x:c r="Q598" s="144" t="str">
        <x:v>Verified</x:v>
      </x:c>
      <x:c r="R598" s="146" t="n">
        <x:v>46249</x:v>
      </x:c>
      <x:c r="S598" s="144" t="str">
        <x:v>Added from an official university, research institution, conference, or original creator source; public YouTube metadata verified.</x:v>
      </x:c>
      <x:c r="T598" s="144" t="str">
        <x:v>ntjOxjZMaac</x:v>
      </x:c>
      <x:c r="U598" s="144" t="str">
        <x:v>UC Berkeley Agentic AI MOOC — Fall 2025</x:v>
      </x:c>
      <x:c r="V598" s="147" t="n">
        <x:v>3</x:v>
      </x:c>
      <x:c r="W598" s="144" t="str">
        <x:v>berkeley-agentic-ai-mooc-fall-2025</x:v>
      </x:c>
    </x:row>
    <x:row r="599" ht="42" customHeight="1">
      <x:c r="A599" s="144" t="str">
        <x:v>ST-598</x:v>
      </x:c>
      <x:c r="B599" s="144" t="str">
        <x:v>Course</x:v>
      </x:c>
      <x:c r="C599" s="144" t="str">
        <x:v>Agent</x:v>
      </x:c>
      <x:c r="D599" s="145" t="str">
        <x:v>Agents / Tool Use / Reasoning</x:v>
      </x:c>
      <x:c r="E599" s="145" t="str">
        <x:v>Agentic AI; Multi-Agent Systems; Reasoning; Agent Training; Agent Evaluation</x:v>
      </x:c>
      <x:c r="F599" s="145" t="str">
        <x:v>English</x:v>
      </x:c>
      <x:c r="G599" s="145" t="str">
        <x:v>Agentic AI MOOC | UC Berkeley CS294-196 Fall 2025 | Practical Lessons from Deploying...by Clay Bavor</x:v>
      </x:c>
      <x:c r="H599" s="145" t="str">
        <x:v>Clay Bavor</x:v>
      </x:c>
      <x:c r="I599" s="145" t="str">
        <x:v>Berkeley RDI</x:v>
      </x:c>
      <x:c r="J599" s="145" t="str">
        <x:v>Course Lecture</x:v>
      </x:c>
      <x:c r="K599" s="147" t="n">
        <x:v>47</x:v>
      </x:c>
      <x:c r="L599" s="144" t="str">
        <x:v>https://www.youtube.com/watch?v=sfJM4LaiYsM</x:v>
      </x:c>
      <x:c r="M599" s="144" t="str">
        <x:v>YouTube</x:v>
      </x:c>
      <x:c r="N599" s="149" t="n">
        <x:v>9367</x:v>
      </x:c>
      <x:c r="O599" s="144" t="str">
        <x:v>A | Official / Original Creator / Organizer</x:v>
      </x:c>
      <x:c r="P599" s="144" t="str">
        <x:v>Core</x:v>
      </x:c>
      <x:c r="Q599" s="144" t="str">
        <x:v>Verified</x:v>
      </x:c>
      <x:c r="R599" s="146" t="n">
        <x:v>46249</x:v>
      </x:c>
      <x:c r="S599" s="144" t="str">
        <x:v>Added from an official university, research institution, conference, or original creator source; public YouTube metadata verified.</x:v>
      </x:c>
      <x:c r="T599" s="144" t="str">
        <x:v>sfJM4LaiYsM</x:v>
      </x:c>
      <x:c r="U599" s="144" t="str">
        <x:v>UC Berkeley Agentic AI MOOC — Fall 2025</x:v>
      </x:c>
      <x:c r="V599" s="147" t="n">
        <x:v>4</x:v>
      </x:c>
      <x:c r="W599" s="144" t="str">
        <x:v>berkeley-agentic-ai-mooc-fall-2025</x:v>
      </x:c>
    </x:row>
    <x:row r="600" ht="42" customHeight="1">
      <x:c r="A600" s="144" t="str">
        <x:v>ST-599</x:v>
      </x:c>
      <x:c r="B600" s="144" t="str">
        <x:v>Course</x:v>
      </x:c>
      <x:c r="C600" s="144" t="str">
        <x:v>Agent</x:v>
      </x:c>
      <x:c r="D600" s="145" t="str">
        <x:v>Agents / Tool Use / Reasoning</x:v>
      </x:c>
      <x:c r="E600" s="145" t="str">
        <x:v>Agentic AI; Multi-Agent Systems; Reasoning; Agent Training; Agent Evaluation</x:v>
      </x:c>
      <x:c r="F600" s="145" t="str">
        <x:v>English</x:v>
      </x:c>
      <x:c r="G600" s="145" t="str">
        <x:v>Agentic AI MOOC | UC Berkeley CS294-196 Fall 2025 | AI Agents to Automate Science by James Zou</x:v>
      </x:c>
      <x:c r="H600" s="145" t="str">
        <x:v>James Zou</x:v>
      </x:c>
      <x:c r="I600" s="145" t="str">
        <x:v>Berkeley RDI</x:v>
      </x:c>
      <x:c r="J600" s="145" t="str">
        <x:v>Course Lecture</x:v>
      </x:c>
      <x:c r="K600" s="147" t="n">
        <x:v>61</x:v>
      </x:c>
      <x:c r="L600" s="144" t="str">
        <x:v>https://www.youtube.com/watch?v=yqPIsTTdUkc</x:v>
      </x:c>
      <x:c r="M600" s="144" t="str">
        <x:v>YouTube</x:v>
      </x:c>
      <x:c r="N600" s="149" t="n">
        <x:v>7123</x:v>
      </x:c>
      <x:c r="O600" s="144" t="str">
        <x:v>A | Official / Original Creator / Organizer</x:v>
      </x:c>
      <x:c r="P600" s="144" t="str">
        <x:v>Core</x:v>
      </x:c>
      <x:c r="Q600" s="144" t="str">
        <x:v>Verified</x:v>
      </x:c>
      <x:c r="R600" s="146" t="n">
        <x:v>46249</x:v>
      </x:c>
      <x:c r="S600" s="144" t="str">
        <x:v>Added from an official university, research institution, conference, or original creator source; public YouTube metadata verified.</x:v>
      </x:c>
      <x:c r="T600" s="144" t="str">
        <x:v>yqPIsTTdUkc</x:v>
      </x:c>
      <x:c r="U600" s="144" t="str">
        <x:v>UC Berkeley Agentic AI MOOC — Fall 2025</x:v>
      </x:c>
      <x:c r="V600" s="147" t="n">
        <x:v>5</x:v>
      </x:c>
      <x:c r="W600" s="144" t="str">
        <x:v>berkeley-agentic-ai-mooc-fall-2025</x:v>
      </x:c>
    </x:row>
    <x:row r="601" ht="42" customHeight="1">
      <x:c r="A601" s="144" t="str">
        <x:v>ST-600</x:v>
      </x:c>
      <x:c r="B601" s="144" t="str">
        <x:v>Course</x:v>
      </x:c>
      <x:c r="C601" s="144" t="str">
        <x:v>Agent</x:v>
      </x:c>
      <x:c r="D601" s="145" t="str">
        <x:v>Agents / Tool Use / Reasoning</x:v>
      </x:c>
      <x:c r="E601" s="145" t="str">
        <x:v>Agentic AI; Multi-Agent Systems; Reasoning; Agent Training; Agent Evaluation</x:v>
      </x:c>
      <x:c r="F601" s="145" t="str">
        <x:v>English</x:v>
      </x:c>
      <x:c r="G601" s="145" t="str">
        <x:v>Agentic AI MOOC | UC Berkeley CS294-196 Fall 2025 | Predictable Noise in LLM Benchmarks by Sida Wang</x:v>
      </x:c>
      <x:c r="H601" s="145" t="str">
        <x:v>Sida Wang</x:v>
      </x:c>
      <x:c r="I601" s="145" t="str">
        <x:v>Berkeley RDI</x:v>
      </x:c>
      <x:c r="J601" s="145" t="str">
        <x:v>Course Lecture</x:v>
      </x:c>
      <x:c r="K601" s="147" t="n">
        <x:v>44</x:v>
      </x:c>
      <x:c r="L601" s="144" t="str">
        <x:v>https://www.youtube.com/watch?v=HV8pugcFVO0</x:v>
      </x:c>
      <x:c r="M601" s="144" t="str">
        <x:v>YouTube</x:v>
      </x:c>
      <x:c r="N601" s="149" t="n">
        <x:v>4325</x:v>
      </x:c>
      <x:c r="O601" s="144" t="str">
        <x:v>A | Official / Original Creator / Organizer</x:v>
      </x:c>
      <x:c r="P601" s="144" t="str">
        <x:v>Core</x:v>
      </x:c>
      <x:c r="Q601" s="144" t="str">
        <x:v>Verified</x:v>
      </x:c>
      <x:c r="R601" s="146" t="n">
        <x:v>46249</x:v>
      </x:c>
      <x:c r="S601" s="144" t="str">
        <x:v>Added from an official university, research institution, conference, or original creator source; public YouTube metadata verified.</x:v>
      </x:c>
      <x:c r="T601" s="144" t="str">
        <x:v>HV8pugcFVO0</x:v>
      </x:c>
      <x:c r="U601" s="144" t="str">
        <x:v>UC Berkeley Agentic AI MOOC — Fall 2025</x:v>
      </x:c>
      <x:c r="V601" s="147" t="n">
        <x:v>6</x:v>
      </x:c>
      <x:c r="W601" s="144" t="str">
        <x:v>berkeley-agentic-ai-mooc-fall-2025</x:v>
      </x:c>
    </x:row>
    <x:row r="602" ht="42" customHeight="1">
      <x:c r="A602" s="144" t="str">
        <x:v>ST-601</x:v>
      </x:c>
      <x:c r="B602" s="144" t="str">
        <x:v>Course</x:v>
      </x:c>
      <x:c r="C602" s="144" t="str">
        <x:v>Agent</x:v>
      </x:c>
      <x:c r="D602" s="145" t="str">
        <x:v>Agents / Tool Use / Reasoning</x:v>
      </x:c>
      <x:c r="E602" s="145" t="str">
        <x:v>Agentic AI; Multi-Agent Systems; Reasoning; Agent Training; Agent Evaluation</x:v>
      </x:c>
      <x:c r="F602" s="145" t="str">
        <x:v>English</x:v>
      </x:c>
      <x:c r="G602" s="145" t="str">
        <x:v>Agentic AI MOOC | UC Berkeley CS294-196 Fall 2025 | Multi-Agent AI by Noam Brown</x:v>
      </x:c>
      <x:c r="H602" s="145" t="str">
        <x:v>Noam Brown</x:v>
      </x:c>
      <x:c r="I602" s="145" t="str">
        <x:v>Berkeley RDI</x:v>
      </x:c>
      <x:c r="J602" s="145" t="str">
        <x:v>Course Lecture</x:v>
      </x:c>
      <x:c r="K602" s="147" t="n">
        <x:v>55</x:v>
      </x:c>
      <x:c r="L602" s="144" t="str">
        <x:v>https://www.youtube.com/watch?v=SrLcGdVOb9w</x:v>
      </x:c>
      <x:c r="M602" s="144" t="str">
        <x:v>YouTube</x:v>
      </x:c>
      <x:c r="N602" s="149" t="n">
        <x:v>9593</x:v>
      </x:c>
      <x:c r="O602" s="144" t="str">
        <x:v>A | Official / Original Creator / Organizer</x:v>
      </x:c>
      <x:c r="P602" s="144" t="str">
        <x:v>Core</x:v>
      </x:c>
      <x:c r="Q602" s="144" t="str">
        <x:v>Verified</x:v>
      </x:c>
      <x:c r="R602" s="146" t="n">
        <x:v>46249</x:v>
      </x:c>
      <x:c r="S602" s="144" t="str">
        <x:v>Added from an official university, research institution, conference, or original creator source; public YouTube metadata verified.</x:v>
      </x:c>
      <x:c r="T602" s="144" t="str">
        <x:v>SrLcGdVOb9w</x:v>
      </x:c>
      <x:c r="U602" s="144" t="str">
        <x:v>UC Berkeley Agentic AI MOOC — Fall 2025</x:v>
      </x:c>
      <x:c r="V602" s="147" t="n">
        <x:v>7</x:v>
      </x:c>
      <x:c r="W602" s="144" t="str">
        <x:v>berkeley-agentic-ai-mooc-fall-2025</x:v>
      </x:c>
    </x:row>
    <x:row r="603" ht="42" customHeight="1">
      <x:c r="A603" s="144" t="str">
        <x:v>ST-602</x:v>
      </x:c>
      <x:c r="B603" s="144" t="str">
        <x:v>Course</x:v>
      </x:c>
      <x:c r="C603" s="144" t="str">
        <x:v>Agent</x:v>
      </x:c>
      <x:c r="D603" s="145" t="str">
        <x:v>Agents / Tool Use / Reasoning</x:v>
      </x:c>
      <x:c r="E603" s="145" t="str">
        <x:v>Agentic AI; Multi-Agent Systems; Reasoning; Agent Training; Agent Evaluation</x:v>
      </x:c>
      <x:c r="F603" s="145" t="str">
        <x:v>English</x:v>
      </x:c>
      <x:c r="G603" s="145" t="str">
        <x:v>Agentic AI MOOC | UC Berkeley CS294-196 Fall 2025 | Training Agentic Models by Weizhu Chen</x:v>
      </x:c>
      <x:c r="H603" s="145" t="str">
        <x:v>Weizhu Chen</x:v>
      </x:c>
      <x:c r="I603" s="145" t="str">
        <x:v>Berkeley RDI</x:v>
      </x:c>
      <x:c r="J603" s="145" t="str">
        <x:v>Course Lecture</x:v>
      </x:c>
      <x:c r="K603" s="147" t="n">
        <x:v>65</x:v>
      </x:c>
      <x:c r="L603" s="144" t="str">
        <x:v>https://www.youtube.com/watch?v=xNxrBHZPDvM</x:v>
      </x:c>
      <x:c r="M603" s="144" t="str">
        <x:v>YouTube</x:v>
      </x:c>
      <x:c r="N603" s="149" t="n">
        <x:v>6896</x:v>
      </x:c>
      <x:c r="O603" s="144" t="str">
        <x:v>A | Official / Original Creator / Organizer</x:v>
      </x:c>
      <x:c r="P603" s="144" t="str">
        <x:v>Core</x:v>
      </x:c>
      <x:c r="Q603" s="144" t="str">
        <x:v>Verified</x:v>
      </x:c>
      <x:c r="R603" s="146" t="n">
        <x:v>46249</x:v>
      </x:c>
      <x:c r="S603" s="144" t="str">
        <x:v>Added from an official university, research institution, conference, or original creator source; public YouTube metadata verified.</x:v>
      </x:c>
      <x:c r="T603" s="144" t="str">
        <x:v>xNxrBHZPDvM</x:v>
      </x:c>
      <x:c r="U603" s="144" t="str">
        <x:v>UC Berkeley Agentic AI MOOC — Fall 2025</x:v>
      </x:c>
      <x:c r="V603" s="147" t="n">
        <x:v>8</x:v>
      </x:c>
      <x:c r="W603" s="144" t="str">
        <x:v>berkeley-agentic-ai-mooc-fall-2025</x:v>
      </x:c>
    </x:row>
    <x:row r="604" ht="42" customHeight="1">
      <x:c r="A604" s="144" t="str">
        <x:v>ST-603</x:v>
      </x:c>
      <x:c r="B604" s="144" t="str">
        <x:v>Course</x:v>
      </x:c>
      <x:c r="C604" s="144" t="str">
        <x:v>Agent</x:v>
      </x:c>
      <x:c r="D604" s="145" t="str">
        <x:v>Agents / Tool Use / Reasoning</x:v>
      </x:c>
      <x:c r="E604" s="145" t="str">
        <x:v>Agentic AI; Multi-Agent Systems; Reasoning; Agent Training; Agent Evaluation</x:v>
      </x:c>
      <x:c r="F604" s="145" t="str">
        <x:v>English</x:v>
      </x:c>
      <x:c r="G604" s="145" t="str">
        <x:v>Agentic AI MOOC | UC Berkeley CS294-196 Fall 2025 | Post-Training Verifiable Agents by Jiantao Jiao</x:v>
      </x:c>
      <x:c r="H604" s="145" t="str">
        <x:v>Jiantao Jiao</x:v>
      </x:c>
      <x:c r="I604" s="145" t="str">
        <x:v>Berkeley RDI</x:v>
      </x:c>
      <x:c r="J604" s="145" t="str">
        <x:v>Course Lecture</x:v>
      </x:c>
      <x:c r="K604" s="147" t="n">
        <x:v>77</x:v>
      </x:c>
      <x:c r="L604" s="144" t="str">
        <x:v>https://www.youtube.com/watch?v=3l0Zxus34es</x:v>
      </x:c>
      <x:c r="M604" s="144" t="str">
        <x:v>YouTube</x:v>
      </x:c>
      <x:c r="N604" s="149" t="n">
        <x:v>11342</x:v>
      </x:c>
      <x:c r="O604" s="144" t="str">
        <x:v>A | Official / Original Creator / Organizer</x:v>
      </x:c>
      <x:c r="P604" s="144" t="str">
        <x:v>Core</x:v>
      </x:c>
      <x:c r="Q604" s="144" t="str">
        <x:v>Verified</x:v>
      </x:c>
      <x:c r="R604" s="146" t="n">
        <x:v>46249</x:v>
      </x:c>
      <x:c r="S604" s="144" t="str">
        <x:v>Added from an official university, research institution, conference, or original creator source; public YouTube metadata verified.</x:v>
      </x:c>
      <x:c r="T604" s="144" t="str">
        <x:v>3l0Zxus34es</x:v>
      </x:c>
      <x:c r="U604" s="144" t="str">
        <x:v>UC Berkeley Agentic AI MOOC — Fall 2025</x:v>
      </x:c>
      <x:c r="V604" s="147" t="n">
        <x:v>9</x:v>
      </x:c>
      <x:c r="W604" s="144" t="str">
        <x:v>berkeley-agentic-ai-mooc-fall-2025</x:v>
      </x:c>
    </x:row>
    <x:row r="605" ht="42" customHeight="1">
      <x:c r="A605" s="144" t="str">
        <x:v>ST-604</x:v>
      </x:c>
      <x:c r="B605" s="144" t="str">
        <x:v>Course</x:v>
      </x:c>
      <x:c r="C605" s="144" t="str">
        <x:v>Agent</x:v>
      </x:c>
      <x:c r="D605" s="145" t="str">
        <x:v>Agents / Tool Use / Reasoning</x:v>
      </x:c>
      <x:c r="E605" s="145" t="str">
        <x:v>Agentic AI; Multi-Agent Systems; Reasoning; Agent Training; Agent Evaluation</x:v>
      </x:c>
      <x:c r="F605" s="145" t="str">
        <x:v>English</x:v>
      </x:c>
      <x:c r="G605" s="145" t="str">
        <x:v>Agentic AI MOOC | UC Berkeley CS294-196 Fall 2025 | Evolution of System Designs by Yangqing Jia</x:v>
      </x:c>
      <x:c r="H605" s="145" t="str">
        <x:v>Yangqing Jia</x:v>
      </x:c>
      <x:c r="I605" s="145" t="str">
        <x:v>Berkeley RDI</x:v>
      </x:c>
      <x:c r="J605" s="145" t="str">
        <x:v>Course Lecture</x:v>
      </x:c>
      <x:c r="K605" s="147" t="n">
        <x:v>80</x:v>
      </x:c>
      <x:c r="L605" s="144" t="str">
        <x:v>https://www.youtube.com/watch?v=xqRAS6rAouo</x:v>
      </x:c>
      <x:c r="M605" s="144" t="str">
        <x:v>YouTube</x:v>
      </x:c>
      <x:c r="N605" s="149" t="n">
        <x:v>15426</x:v>
      </x:c>
      <x:c r="O605" s="144" t="str">
        <x:v>A | Official / Original Creator / Organizer</x:v>
      </x:c>
      <x:c r="P605" s="144" t="str">
        <x:v>Core</x:v>
      </x:c>
      <x:c r="Q605" s="144" t="str">
        <x:v>Verified</x:v>
      </x:c>
      <x:c r="R605" s="146" t="n">
        <x:v>46249</x:v>
      </x:c>
      <x:c r="S605" s="144" t="str">
        <x:v>Added from an official university, research institution, conference, or original creator source; public YouTube metadata verified.</x:v>
      </x:c>
      <x:c r="T605" s="144" t="str">
        <x:v>xqRAS6rAouo</x:v>
      </x:c>
      <x:c r="U605" s="144" t="str">
        <x:v>UC Berkeley Agentic AI MOOC — Fall 2025</x:v>
      </x:c>
      <x:c r="V605" s="147" t="n">
        <x:v>10</x:v>
      </x:c>
      <x:c r="W605" s="144" t="str">
        <x:v>berkeley-agentic-ai-mooc-fall-2025</x:v>
      </x:c>
    </x:row>
    <x:row r="606" ht="42" customHeight="1">
      <x:c r="A606" s="144" t="str">
        <x:v>ST-605</x:v>
      </x:c>
      <x:c r="B606" s="144" t="str">
        <x:v>Course</x:v>
      </x:c>
      <x:c r="C606" s="144" t="str">
        <x:v>Agent</x:v>
      </x:c>
      <x:c r="D606" s="145" t="str">
        <x:v>Agents / Tool Use / Reasoning</x:v>
      </x:c>
      <x:c r="E606" s="145" t="str">
        <x:v>Agentic AI; Multi-Agent Systems; Reasoning; Agent Training; Agent Evaluation</x:v>
      </x:c>
      <x:c r="F606" s="145" t="str">
        <x:v>English</x:v>
      </x:c>
      <x:c r="G606" s="145" t="str">
        <x:v>Agentic AI MOOC | UC Berkeley CS294-196 Fall 2025 | LLM Agents Overview by Yann Dubois</x:v>
      </x:c>
      <x:c r="H606" s="145" t="str">
        <x:v>Yann Dubois</x:v>
      </x:c>
      <x:c r="I606" s="145" t="str">
        <x:v>Berkeley RDI</x:v>
      </x:c>
      <x:c r="J606" s="145" t="str">
        <x:v>Course Lecture</x:v>
      </x:c>
      <x:c r="K606" s="147" t="n">
        <x:v>118</x:v>
      </x:c>
      <x:c r="L606" s="144" t="str">
        <x:v>https://www.youtube.com/watch?v=r1qZpYAmqmg</x:v>
      </x:c>
      <x:c r="M606" s="144" t="str">
        <x:v>YouTube</x:v>
      </x:c>
      <x:c r="N606" s="149" t="n">
        <x:v>33036</x:v>
      </x:c>
      <x:c r="O606" s="144" t="str">
        <x:v>A | Official / Original Creator / Organizer</x:v>
      </x:c>
      <x:c r="P606" s="144" t="str">
        <x:v>Core</x:v>
      </x:c>
      <x:c r="Q606" s="144" t="str">
        <x:v>Verified</x:v>
      </x:c>
      <x:c r="R606" s="146" t="n">
        <x:v>46249</x:v>
      </x:c>
      <x:c r="S606" s="144" t="str">
        <x:v>Added from an official university, research institution, conference, or original creator source; public YouTube metadata verified.</x:v>
      </x:c>
      <x:c r="T606" s="144" t="str">
        <x:v>r1qZpYAmqmg</x:v>
      </x:c>
      <x:c r="U606" s="144" t="str">
        <x:v>UC Berkeley Agentic AI MOOC — Fall 2025</x:v>
      </x:c>
      <x:c r="V606" s="147" t="n">
        <x:v>11</x:v>
      </x:c>
      <x:c r="W606" s="144" t="str">
        <x:v>berkeley-agentic-ai-mooc-fall-2025</x:v>
      </x:c>
    </x:row>
    <x:row r="607" ht="42" customHeight="1">
      <x:c r="A607" s="144" t="str">
        <x:v>ST-606</x:v>
      </x:c>
      <x:c r="B607" s="144" t="str">
        <x:v>Course</x:v>
      </x:c>
      <x:c r="C607" s="144" t="str">
        <x:v>Robotics</x:v>
      </x:c>
      <x:c r="D607" s="145" t="str">
        <x:v>Robotics</x:v>
      </x:c>
      <x:c r="E607" s="145" t="str">
        <x:v>Robot Learning; Embodied AI; Reinforcement Learning; Robot Policies</x:v>
      </x:c>
      <x:c r="F607" s="145" t="str">
        <x:v>English</x:v>
      </x:c>
      <x:c r="G607" s="145" t="str">
        <x:v>Robot Learning 2026 – Lecture 2: Robot Control &amp; Markov Decision Processes | ETH Zürich</x:v>
      </x:c>
      <x:c r="H607" s="145" t="str">
        <x:v>Oier Mees</x:v>
      </x:c>
      <x:c r="I607" s="145" t="str">
        <x:v>Oier Mees</x:v>
      </x:c>
      <x:c r="J607" s="145" t="str">
        <x:v>Course Lecture</x:v>
      </x:c>
      <x:c r="K607" s="147" t="n">
        <x:v>46</x:v>
      </x:c>
      <x:c r="L607" s="144" t="str">
        <x:v>https://www.youtube.com/watch?v=5-Bb84eTTqQ</x:v>
      </x:c>
      <x:c r="M607" s="144" t="str">
        <x:v>YouTube</x:v>
      </x:c>
      <x:c r="N607" s="149" t="n">
        <x:v>8115</x:v>
      </x:c>
      <x:c r="O607" s="144" t="str">
        <x:v>A | Official / Original Creator / Organizer</x:v>
      </x:c>
      <x:c r="P607" s="144" t="str">
        <x:v>Core</x:v>
      </x:c>
      <x:c r="Q607" s="144" t="str">
        <x:v>Verified</x:v>
      </x:c>
      <x:c r="R607" s="146" t="n">
        <x:v>46249</x:v>
      </x:c>
      <x:c r="S607" s="144" t="str">
        <x:v>Added from an official university, research institution, conference, or original creator source; public YouTube metadata verified.</x:v>
      </x:c>
      <x:c r="T607" s="144" t="str">
        <x:v>5-Bb84eTTqQ</x:v>
      </x:c>
      <x:c r="U607" s="144" t="str">
        <x:v>ETH Zürich Robot Learning: From Fundamentals to Foundation Models — Spring 2026</x:v>
      </x:c>
      <x:c r="V607" s="147" t="n">
        <x:v>2</x:v>
      </x:c>
      <x:c r="W607" s="144" t="str">
        <x:v>eth-robot-learning-spring-2026</x:v>
      </x:c>
    </x:row>
    <x:row r="608" ht="42" customHeight="1">
      <x:c r="A608" s="144" t="str">
        <x:v>ST-607</x:v>
      </x:c>
      <x:c r="B608" s="144" t="str">
        <x:v>Course</x:v>
      </x:c>
      <x:c r="C608" s="144" t="str">
        <x:v>Robotics</x:v>
      </x:c>
      <x:c r="D608" s="145" t="str">
        <x:v>Robotics</x:v>
      </x:c>
      <x:c r="E608" s="145" t="str">
        <x:v>Robot Learning; Embodied AI; Reinforcement Learning; Robot Policies</x:v>
      </x:c>
      <x:c r="F608" s="145" t="str">
        <x:v>English</x:v>
      </x:c>
      <x:c r="G608" s="145" t="str">
        <x:v>Robot Learning 2026 – Lecture 3: Imitation Learning | ETH Zürich</x:v>
      </x:c>
      <x:c r="H608" s="145" t="str">
        <x:v>Oier Mees</x:v>
      </x:c>
      <x:c r="I608" s="145" t="str">
        <x:v>Oier Mees</x:v>
      </x:c>
      <x:c r="J608" s="145" t="str">
        <x:v>Course Lecture</x:v>
      </x:c>
      <x:c r="K608" s="147" t="n">
        <x:v>51</x:v>
      </x:c>
      <x:c r="L608" s="144" t="str">
        <x:v>https://www.youtube.com/watch?v=Ef4R5s1LqoQ</x:v>
      </x:c>
      <x:c r="M608" s="144" t="str">
        <x:v>YouTube</x:v>
      </x:c>
      <x:c r="N608" s="149" t="n">
        <x:v>5258</x:v>
      </x:c>
      <x:c r="O608" s="144" t="str">
        <x:v>A | Official / Original Creator / Organizer</x:v>
      </x:c>
      <x:c r="P608" s="144" t="str">
        <x:v>Core</x:v>
      </x:c>
      <x:c r="Q608" s="144" t="str">
        <x:v>Verified</x:v>
      </x:c>
      <x:c r="R608" s="146" t="n">
        <x:v>46249</x:v>
      </x:c>
      <x:c r="S608" s="144" t="str">
        <x:v>Added from an official university, research institution, conference, or original creator source; public YouTube metadata verified.</x:v>
      </x:c>
      <x:c r="T608" s="144" t="str">
        <x:v>Ef4R5s1LqoQ</x:v>
      </x:c>
      <x:c r="U608" s="144" t="str">
        <x:v>ETH Zürich Robot Learning: From Fundamentals to Foundation Models — Spring 2026</x:v>
      </x:c>
      <x:c r="V608" s="147" t="n">
        <x:v>3</x:v>
      </x:c>
      <x:c r="W608" s="144" t="str">
        <x:v>eth-robot-learning-spring-2026</x:v>
      </x:c>
    </x:row>
    <x:row r="609" ht="42" customHeight="1">
      <x:c r="A609" s="144" t="str">
        <x:v>ST-608</x:v>
      </x:c>
      <x:c r="B609" s="144" t="str">
        <x:v>Course</x:v>
      </x:c>
      <x:c r="C609" s="144" t="str">
        <x:v>Robotics</x:v>
      </x:c>
      <x:c r="D609" s="145" t="str">
        <x:v>Robotics</x:v>
      </x:c>
      <x:c r="E609" s="145" t="str">
        <x:v>Robot Learning; Embodied AI; Reinforcement Learning; Robot Policies</x:v>
      </x:c>
      <x:c r="F609" s="145" t="str">
        <x:v>English</x:v>
      </x:c>
      <x:c r="G609" s="145" t="str">
        <x:v>Robot Learning 2026 – Lecture 4: Reinforcement Learning I | ETH Zürich</x:v>
      </x:c>
      <x:c r="H609" s="145" t="str">
        <x:v>Oier Mees</x:v>
      </x:c>
      <x:c r="I609" s="145" t="str">
        <x:v>Oier Mees</x:v>
      </x:c>
      <x:c r="J609" s="145" t="str">
        <x:v>Course Lecture</x:v>
      </x:c>
      <x:c r="K609" s="147" t="n">
        <x:v>53</x:v>
      </x:c>
      <x:c r="L609" s="144" t="str">
        <x:v>https://www.youtube.com/watch?v=90raNpc11tQ</x:v>
      </x:c>
      <x:c r="M609" s="144" t="str">
        <x:v>YouTube</x:v>
      </x:c>
      <x:c r="N609" s="149" t="n">
        <x:v>3356</x:v>
      </x:c>
      <x:c r="O609" s="144" t="str">
        <x:v>A | Official / Original Creator / Organizer</x:v>
      </x:c>
      <x:c r="P609" s="144" t="str">
        <x:v>Core</x:v>
      </x:c>
      <x:c r="Q609" s="144" t="str">
        <x:v>Verified</x:v>
      </x:c>
      <x:c r="R609" s="146" t="n">
        <x:v>46249</x:v>
      </x:c>
      <x:c r="S609" s="144" t="str">
        <x:v>Added from an official university, research institution, conference, or original creator source; public YouTube metadata verified.</x:v>
      </x:c>
      <x:c r="T609" s="144" t="str">
        <x:v>90raNpc11tQ</x:v>
      </x:c>
      <x:c r="U609" s="144" t="str">
        <x:v>ETH Zürich Robot Learning: From Fundamentals to Foundation Models — Spring 2026</x:v>
      </x:c>
      <x:c r="V609" s="147" t="n">
        <x:v>4</x:v>
      </x:c>
      <x:c r="W609" s="144" t="str">
        <x:v>eth-robot-learning-spring-2026</x:v>
      </x:c>
    </x:row>
    <x:row r="610" ht="42" customHeight="1">
      <x:c r="A610" s="144" t="str">
        <x:v>ST-609</x:v>
      </x:c>
      <x:c r="B610" s="144" t="str">
        <x:v>Course</x:v>
      </x:c>
      <x:c r="C610" s="144" t="str">
        <x:v>Robotics</x:v>
      </x:c>
      <x:c r="D610" s="145" t="str">
        <x:v>Robotics</x:v>
      </x:c>
      <x:c r="E610" s="145" t="str">
        <x:v>Robot Learning; Embodied AI; Reinforcement Learning; Robot Policies</x:v>
      </x:c>
      <x:c r="F610" s="145" t="str">
        <x:v>English</x:v>
      </x:c>
      <x:c r="G610" s="145" t="str">
        <x:v>Robot Learning 2026 – Lecture 5: Reinforcement Learning II | ETH Zürich</x:v>
      </x:c>
      <x:c r="H610" s="145" t="str">
        <x:v>Oier Mees</x:v>
      </x:c>
      <x:c r="I610" s="145" t="str">
        <x:v>Oier Mees</x:v>
      </x:c>
      <x:c r="J610" s="145" t="str">
        <x:v>Course Lecture</x:v>
      </x:c>
      <x:c r="K610" s="147" t="n">
        <x:v>52</x:v>
      </x:c>
      <x:c r="L610" s="144" t="str">
        <x:v>https://www.youtube.com/watch?v=AdTGz8YnnlE</x:v>
      </x:c>
      <x:c r="M610" s="144" t="str">
        <x:v>YouTube</x:v>
      </x:c>
      <x:c r="N610" s="149" t="n">
        <x:v>1884</x:v>
      </x:c>
      <x:c r="O610" s="144" t="str">
        <x:v>A | Official / Original Creator / Organizer</x:v>
      </x:c>
      <x:c r="P610" s="144" t="str">
        <x:v>Core</x:v>
      </x:c>
      <x:c r="Q610" s="144" t="str">
        <x:v>Verified</x:v>
      </x:c>
      <x:c r="R610" s="146" t="n">
        <x:v>46249</x:v>
      </x:c>
      <x:c r="S610" s="144" t="str">
        <x:v>Added from an official university, research institution, conference, or original creator source; public YouTube metadata verified.</x:v>
      </x:c>
      <x:c r="T610" s="144" t="str">
        <x:v>AdTGz8YnnlE</x:v>
      </x:c>
      <x:c r="U610" s="144" t="str">
        <x:v>ETH Zürich Robot Learning: From Fundamentals to Foundation Models — Spring 2026</x:v>
      </x:c>
      <x:c r="V610" s="147" t="n">
        <x:v>5</x:v>
      </x:c>
      <x:c r="W610" s="144" t="str">
        <x:v>eth-robot-learning-spring-2026</x:v>
      </x:c>
    </x:row>
    <x:row r="611" ht="42" customHeight="1">
      <x:c r="A611" s="144" t="str">
        <x:v>ST-610</x:v>
      </x:c>
      <x:c r="B611" s="144" t="str">
        <x:v>Course</x:v>
      </x:c>
      <x:c r="C611" s="144" t="str">
        <x:v>Robotics</x:v>
      </x:c>
      <x:c r="D611" s="145" t="str">
        <x:v>Robotics</x:v>
      </x:c>
      <x:c r="E611" s="145" t="str">
        <x:v>Robot Learning; Embodied AI; Reinforcement Learning; Robot Policies</x:v>
      </x:c>
      <x:c r="F611" s="145" t="str">
        <x:v>English</x:v>
      </x:c>
      <x:c r="G611" s="145" t="str">
        <x:v>Robot Learning 2026 – Lecture 6: Generative Models | ETH Zürich</x:v>
      </x:c>
      <x:c r="H611" s="145" t="str">
        <x:v>Oier Mees</x:v>
      </x:c>
      <x:c r="I611" s="145" t="str">
        <x:v>Oier Mees</x:v>
      </x:c>
      <x:c r="J611" s="145" t="str">
        <x:v>Course Lecture</x:v>
      </x:c>
      <x:c r="K611" s="147" t="n">
        <x:v>51</x:v>
      </x:c>
      <x:c r="L611" s="144" t="str">
        <x:v>https://www.youtube.com/watch?v=qd6Ldsuu46I</x:v>
      </x:c>
      <x:c r="M611" s="144" t="str">
        <x:v>YouTube</x:v>
      </x:c>
      <x:c r="N611" s="149" t="n">
        <x:v>1908</x:v>
      </x:c>
      <x:c r="O611" s="144" t="str">
        <x:v>A | Official / Original Creator / Organizer</x:v>
      </x:c>
      <x:c r="P611" s="144" t="str">
        <x:v>Core</x:v>
      </x:c>
      <x:c r="Q611" s="144" t="str">
        <x:v>Verified</x:v>
      </x:c>
      <x:c r="R611" s="146" t="n">
        <x:v>46249</x:v>
      </x:c>
      <x:c r="S611" s="144" t="str">
        <x:v>Added from an official university, research institution, conference, or original creator source; public YouTube metadata verified.</x:v>
      </x:c>
      <x:c r="T611" s="144" t="str">
        <x:v>qd6Ldsuu46I</x:v>
      </x:c>
      <x:c r="U611" s="144" t="str">
        <x:v>ETH Zürich Robot Learning: From Fundamentals to Foundation Models — Spring 2026</x:v>
      </x:c>
      <x:c r="V611" s="147" t="n">
        <x:v>6</x:v>
      </x:c>
      <x:c r="W611" s="144" t="str">
        <x:v>eth-robot-learning-spring-2026</x:v>
      </x:c>
    </x:row>
    <x:row r="612" ht="42" customHeight="1">
      <x:c r="A612" s="144" t="str">
        <x:v>ST-611</x:v>
      </x:c>
      <x:c r="B612" s="144" t="str">
        <x:v>Course</x:v>
      </x:c>
      <x:c r="C612" s="144" t="str">
        <x:v>Robotics</x:v>
      </x:c>
      <x:c r="D612" s="145" t="str">
        <x:v>Robotics</x:v>
      </x:c>
      <x:c r="E612" s="145" t="str">
        <x:v>Robot Learning; Embodied AI; Reinforcement Learning; Robot Policies</x:v>
      </x:c>
      <x:c r="F612" s="145" t="str">
        <x:v>English</x:v>
      </x:c>
      <x:c r="G612" s="145" t="str">
        <x:v>Robot Learning 2026 – Lecture 7: Sequence Modeling &amp; Transformers | ETH Zürich</x:v>
      </x:c>
      <x:c r="H612" s="145" t="str">
        <x:v>Oier Mees</x:v>
      </x:c>
      <x:c r="I612" s="145" t="str">
        <x:v>Oier Mees</x:v>
      </x:c>
      <x:c r="J612" s="145" t="str">
        <x:v>Course Lecture</x:v>
      </x:c>
      <x:c r="K612" s="147" t="n">
        <x:v>55</x:v>
      </x:c>
      <x:c r="L612" s="144" t="str">
        <x:v>https://www.youtube.com/watch?v=imSTfMJjp7M</x:v>
      </x:c>
      <x:c r="M612" s="144" t="str">
        <x:v>YouTube</x:v>
      </x:c>
      <x:c r="N612" s="149" t="n">
        <x:v>1486</x:v>
      </x:c>
      <x:c r="O612" s="144" t="str">
        <x:v>A | Official / Original Creator / Organizer</x:v>
      </x:c>
      <x:c r="P612" s="144" t="str">
        <x:v>Core</x:v>
      </x:c>
      <x:c r="Q612" s="144" t="str">
        <x:v>Verified</x:v>
      </x:c>
      <x:c r="R612" s="146" t="n">
        <x:v>46249</x:v>
      </x:c>
      <x:c r="S612" s="144" t="str">
        <x:v>Added from an official university, research institution, conference, or original creator source; public YouTube metadata verified.</x:v>
      </x:c>
      <x:c r="T612" s="144" t="str">
        <x:v>imSTfMJjp7M</x:v>
      </x:c>
      <x:c r="U612" s="144" t="str">
        <x:v>ETH Zürich Robot Learning: From Fundamentals to Foundation Models — Spring 2026</x:v>
      </x:c>
      <x:c r="V612" s="147" t="n">
        <x:v>7</x:v>
      </x:c>
      <x:c r="W612" s="144" t="str">
        <x:v>eth-robot-learning-spring-2026</x:v>
      </x:c>
    </x:row>
    <x:row r="613" ht="42" customHeight="1">
      <x:c r="A613" s="144" t="str">
        <x:v>ST-612</x:v>
      </x:c>
      <x:c r="B613" s="144" t="str">
        <x:v>Course</x:v>
      </x:c>
      <x:c r="C613" s="144" t="str">
        <x:v>World Model</x:v>
      </x:c>
      <x:c r="D613" s="145" t="str">
        <x:v>World Models</x:v>
      </x:c>
      <x:c r="E613" s="145" t="str">
        <x:v>World Models; Robot Learning; Planning; Embodied AI</x:v>
      </x:c>
      <x:c r="F613" s="145" t="str">
        <x:v>English</x:v>
      </x:c>
      <x:c r="G613" s="145" t="str">
        <x:v>Robot Learning 2026 – Lecture 8: World Models | ETH Zürich</x:v>
      </x:c>
      <x:c r="H613" s="145" t="str">
        <x:v>Oier Mees</x:v>
      </x:c>
      <x:c r="I613" s="145" t="str">
        <x:v>Oier Mees</x:v>
      </x:c>
      <x:c r="J613" s="145" t="str">
        <x:v>Course Lecture</x:v>
      </x:c>
      <x:c r="K613" s="147" t="n">
        <x:v>72</x:v>
      </x:c>
      <x:c r="L613" s="144" t="str">
        <x:v>https://www.youtube.com/watch?v=cTTmUZlOF2s</x:v>
      </x:c>
      <x:c r="M613" s="144" t="str">
        <x:v>YouTube</x:v>
      </x:c>
      <x:c r="N613" s="149" t="n">
        <x:v>2300</x:v>
      </x:c>
      <x:c r="O613" s="144" t="str">
        <x:v>A | Official / Original Creator / Organizer</x:v>
      </x:c>
      <x:c r="P613" s="144" t="str">
        <x:v>Core</x:v>
      </x:c>
      <x:c r="Q613" s="144" t="str">
        <x:v>Verified</x:v>
      </x:c>
      <x:c r="R613" s="146" t="n">
        <x:v>46249</x:v>
      </x:c>
      <x:c r="S613" s="144" t="str">
        <x:v>Added from an official university, research institution, conference, or original creator source; public YouTube metadata verified.</x:v>
      </x:c>
      <x:c r="T613" s="144" t="str">
        <x:v>cTTmUZlOF2s</x:v>
      </x:c>
      <x:c r="U613" s="144" t="str">
        <x:v>ETH Zürich Robot Learning: From Fundamentals to Foundation Models — Spring 2026</x:v>
      </x:c>
      <x:c r="V613" s="147" t="n">
        <x:v>8</x:v>
      </x:c>
      <x:c r="W613" s="144" t="str">
        <x:v>eth-robot-learning-spring-2026</x:v>
      </x:c>
    </x:row>
    <x:row r="614" ht="42" customHeight="1">
      <x:c r="A614" s="144" t="str">
        <x:v>ST-613</x:v>
      </x:c>
      <x:c r="B614" s="144" t="str">
        <x:v>Course</x:v>
      </x:c>
      <x:c r="C614" s="144" t="str">
        <x:v>Robotics</x:v>
      </x:c>
      <x:c r="D614" s="145" t="str">
        <x:v>Robotics</x:v>
      </x:c>
      <x:c r="E614" s="145" t="str">
        <x:v>Robot Learning; Embodied AI; Reinforcement Learning; Robot Policies</x:v>
      </x:c>
      <x:c r="F614" s="145" t="str">
        <x:v>English</x:v>
      </x:c>
      <x:c r="G614" s="145" t="str">
        <x:v>Robot Learning 2026 – Lecture 9: Generalist Robot Policies | ETH Zürich</x:v>
      </x:c>
      <x:c r="H614" s="145" t="str">
        <x:v>Oier Mees</x:v>
      </x:c>
      <x:c r="I614" s="145" t="str">
        <x:v>Oier Mees</x:v>
      </x:c>
      <x:c r="J614" s="145" t="str">
        <x:v>Course Lecture</x:v>
      </x:c>
      <x:c r="K614" s="147" t="n">
        <x:v>63</x:v>
      </x:c>
      <x:c r="L614" s="144" t="str">
        <x:v>https://www.youtube.com/watch?v=dtofzDY9zuo</x:v>
      </x:c>
      <x:c r="M614" s="144" t="str">
        <x:v>YouTube</x:v>
      </x:c>
      <x:c r="N614" s="149" t="n">
        <x:v>1388</x:v>
      </x:c>
      <x:c r="O614" s="144" t="str">
        <x:v>A | Official / Original Creator / Organizer</x:v>
      </x:c>
      <x:c r="P614" s="144" t="str">
        <x:v>Core</x:v>
      </x:c>
      <x:c r="Q614" s="144" t="str">
        <x:v>Verified</x:v>
      </x:c>
      <x:c r="R614" s="146" t="n">
        <x:v>46249</x:v>
      </x:c>
      <x:c r="S614" s="144" t="str">
        <x:v>Added from an official university, research institution, conference, or original creator source; public YouTube metadata verified.</x:v>
      </x:c>
      <x:c r="T614" s="144" t="str">
        <x:v>dtofzDY9zuo</x:v>
      </x:c>
      <x:c r="U614" s="144" t="str">
        <x:v>ETH Zürich Robot Learning: From Fundamentals to Foundation Models — Spring 2026</x:v>
      </x:c>
      <x:c r="V614" s="147" t="n">
        <x:v>9</x:v>
      </x:c>
      <x:c r="W614" s="144" t="str">
        <x:v>eth-robot-learning-spring-2026</x:v>
      </x:c>
    </x:row>
    <x:row r="615" ht="42" customHeight="1">
      <x:c r="A615" s="144" t="str">
        <x:v>ST-614</x:v>
      </x:c>
      <x:c r="B615" s="144" t="str">
        <x:v>Course</x:v>
      </x:c>
      <x:c r="C615" s="144" t="str">
        <x:v>Agent</x:v>
      </x:c>
      <x:c r="D615" s="145" t="str">
        <x:v>Agents / Tool Use / Reasoning</x:v>
      </x:c>
      <x:c r="E615" s="145" t="str">
        <x:v>Embodied Reasoning; Test-time Scaling; Robot Learning; Agents</x:v>
      </x:c>
      <x:c r="F615" s="145" t="str">
        <x:v>English</x:v>
      </x:c>
      <x:c r="G615" s="145" t="str">
        <x:v>Robot Learning 2026 – Lecture 10: Embodied Reasoning and Test-time Scaling | ETH Zürich</x:v>
      </x:c>
      <x:c r="H615" s="145" t="str">
        <x:v>Oier Mees</x:v>
      </x:c>
      <x:c r="I615" s="145" t="str">
        <x:v>Oier Mees</x:v>
      </x:c>
      <x:c r="J615" s="145" t="str">
        <x:v>Course Lecture</x:v>
      </x:c>
      <x:c r="K615" s="147" t="n">
        <x:v>56</x:v>
      </x:c>
      <x:c r="L615" s="144" t="str">
        <x:v>https://www.youtube.com/watch?v=CxhrjQuGEuE</x:v>
      </x:c>
      <x:c r="M615" s="144" t="str">
        <x:v>YouTube</x:v>
      </x:c>
      <x:c r="N615" s="149" t="n">
        <x:v>1076</x:v>
      </x:c>
      <x:c r="O615" s="144" t="str">
        <x:v>A | Official / Original Creator / Organizer</x:v>
      </x:c>
      <x:c r="P615" s="144" t="str">
        <x:v>Core</x:v>
      </x:c>
      <x:c r="Q615" s="144" t="str">
        <x:v>Verified</x:v>
      </x:c>
      <x:c r="R615" s="146" t="n">
        <x:v>46249</x:v>
      </x:c>
      <x:c r="S615" s="144" t="str">
        <x:v>Added from an official university, research institution, conference, or original creator source; public YouTube metadata verified.</x:v>
      </x:c>
      <x:c r="T615" s="144" t="str">
        <x:v>CxhrjQuGEuE</x:v>
      </x:c>
      <x:c r="U615" s="144" t="str">
        <x:v>ETH Zürich Robot Learning: From Fundamentals to Foundation Models — Spring 2026</x:v>
      </x:c>
      <x:c r="V615" s="147" t="n">
        <x:v>10</x:v>
      </x:c>
      <x:c r="W615" s="144" t="str">
        <x:v>eth-robot-learning-spring-2026</x:v>
      </x:c>
    </x:row>
    <x:row r="616" ht="42" customHeight="1">
      <x:c r="A616" s="144" t="str">
        <x:v>ST-615</x:v>
      </x:c>
      <x:c r="B616" s="144" t="str">
        <x:v>Course</x:v>
      </x:c>
      <x:c r="C616" s="144" t="str">
        <x:v>Robotics</x:v>
      </x:c>
      <x:c r="D616" s="145" t="str">
        <x:v>Robotics</x:v>
      </x:c>
      <x:c r="E616" s="145" t="str">
        <x:v>Robot Learning; Embodied AI; Reinforcement Learning; Robot Policies</x:v>
      </x:c>
      <x:c r="F616" s="145" t="str">
        <x:v>English</x:v>
      </x:c>
      <x:c r="G616" s="145" t="str">
        <x:v>Robot Learning 2026 – Lecture 11: Frontier &amp; Open Problems | ETH Zürich</x:v>
      </x:c>
      <x:c r="H616" s="145" t="str">
        <x:v>Oier Mees</x:v>
      </x:c>
      <x:c r="I616" s="145" t="str">
        <x:v>Oier Mees</x:v>
      </x:c>
      <x:c r="J616" s="145" t="str">
        <x:v>Course Lecture</x:v>
      </x:c>
      <x:c r="K616" s="147" t="n">
        <x:v>62</x:v>
      </x:c>
      <x:c r="L616" s="144" t="str">
        <x:v>https://www.youtube.com/watch?v=eL4lcy1KNzE</x:v>
      </x:c>
      <x:c r="M616" s="144" t="str">
        <x:v>YouTube</x:v>
      </x:c>
      <x:c r="N616" s="149" t="n">
        <x:v>2264</x:v>
      </x:c>
      <x:c r="O616" s="144" t="str">
        <x:v>A | Official / Original Creator / Organizer</x:v>
      </x:c>
      <x:c r="P616" s="144" t="str">
        <x:v>Core</x:v>
      </x:c>
      <x:c r="Q616" s="144" t="str">
        <x:v>Verified</x:v>
      </x:c>
      <x:c r="R616" s="146" t="n">
        <x:v>46249</x:v>
      </x:c>
      <x:c r="S616" s="144" t="str">
        <x:v>Added from an official university, research institution, conference, or original creator source; public YouTube metadata verified.</x:v>
      </x:c>
      <x:c r="T616" s="144" t="str">
        <x:v>eL4lcy1KNzE</x:v>
      </x:c>
      <x:c r="U616" s="144" t="str">
        <x:v>ETH Zürich Robot Learning: From Fundamentals to Foundation Models — Spring 2026</x:v>
      </x:c>
      <x:c r="V616" s="147" t="n">
        <x:v>11</x:v>
      </x:c>
      <x:c r="W616" s="144" t="str">
        <x:v>eth-robot-learning-spring-2026</x:v>
      </x:c>
    </x:row>
    <x:row r="617" ht="42" customHeight="1">
      <x:c r="A617" s="144" t="str">
        <x:v>ST-616</x:v>
      </x:c>
      <x:c r="B617" s="144" t="str">
        <x:v>Course</x:v>
      </x:c>
      <x:c r="C617" s="144" t="str">
        <x:v>Other</x:v>
      </x:c>
      <x:c r="D617" s="145" t="str">
        <x:v>Deep Reinforcement Learning</x:v>
      </x:c>
      <x:c r="E617" s="145" t="str">
        <x:v>Reinforcement Learning; Dynamic Programming; Policy Learning; Deep Learning</x:v>
      </x:c>
      <x:c r="F617" s="145" t="str">
        <x:v>English</x:v>
      </x:c>
      <x:c r="G617" s="145" t="str">
        <x:v>DeepMind x UCL RL Lecture Series - Introduction to Reinforcement Learning [1/13]</x:v>
      </x:c>
      <x:c r="H617" s="145" t="str">
        <x:v>DeepMind and UCL course team</x:v>
      </x:c>
      <x:c r="I617" s="145" t="str">
        <x:v>Google DeepMind</x:v>
      </x:c>
      <x:c r="J617" s="145" t="str">
        <x:v>Course Lecture</x:v>
      </x:c>
      <x:c r="K617" s="147" t="n">
        <x:v>90</x:v>
      </x:c>
      <x:c r="L617" s="144" t="str">
        <x:v>https://www.youtube.com/watch?v=TCCjZe0y4Qc</x:v>
      </x:c>
      <x:c r="M617" s="144" t="str">
        <x:v>YouTube</x:v>
      </x:c>
      <x:c r="N617" s="149" t="n">
        <x:v>391919</x:v>
      </x:c>
      <x:c r="O617" s="144" t="str">
        <x:v>A | Official / Original Creator / Organizer</x:v>
      </x:c>
      <x:c r="P617" s="144" t="str">
        <x:v>Recommended</x:v>
      </x:c>
      <x:c r="Q617" s="144" t="str">
        <x:v>Verified</x:v>
      </x:c>
      <x:c r="R617" s="146" t="n">
        <x:v>46249</x:v>
      </x:c>
      <x:c r="S617" s="144" t="str">
        <x:v>Added from an official university, research institution, conference, or original creator source; public YouTube metadata verified.</x:v>
      </x:c>
      <x:c r="T617" s="144" t="str">
        <x:v>TCCjZe0y4Qc</x:v>
      </x:c>
      <x:c r="U617" s="144" t="str">
        <x:v>DeepMind × UCL Reinforcement Learning Lecture Series — 2021</x:v>
      </x:c>
      <x:c r="V617" s="147" t="n">
        <x:v>1</x:v>
      </x:c>
      <x:c r="W617" s="144" t="str">
        <x:v>deepmind-ucl-rl-2021</x:v>
      </x:c>
    </x:row>
    <x:row r="618" ht="42" customHeight="1">
      <x:c r="A618" s="144" t="str">
        <x:v>ST-617</x:v>
      </x:c>
      <x:c r="B618" s="144" t="str">
        <x:v>Course</x:v>
      </x:c>
      <x:c r="C618" s="144" t="str">
        <x:v>Other</x:v>
      </x:c>
      <x:c r="D618" s="145" t="str">
        <x:v>Deep Reinforcement Learning</x:v>
      </x:c>
      <x:c r="E618" s="145" t="str">
        <x:v>Reinforcement Learning; Dynamic Programming; Policy Learning; Deep Learning</x:v>
      </x:c>
      <x:c r="F618" s="145" t="str">
        <x:v>English</x:v>
      </x:c>
      <x:c r="G618" s="145" t="str">
        <x:v>DeepMind x UCL RL Lecture Series - Exploration &amp; Control [2/13]</x:v>
      </x:c>
      <x:c r="H618" s="145" t="str">
        <x:v>DeepMind and UCL course team</x:v>
      </x:c>
      <x:c r="I618" s="145" t="str">
        <x:v>Google DeepMind</x:v>
      </x:c>
      <x:c r="J618" s="145" t="str">
        <x:v>Course Lecture</x:v>
      </x:c>
      <x:c r="K618" s="147" t="n">
        <x:v>130</x:v>
      </x:c>
      <x:c r="L618" s="144" t="str">
        <x:v>https://www.youtube.com/watch?v=aQJP3Z2Ho8U</x:v>
      </x:c>
      <x:c r="M618" s="144" t="str">
        <x:v>YouTube</x:v>
      </x:c>
      <x:c r="N618" s="149" t="n">
        <x:v>106531</x:v>
      </x:c>
      <x:c r="O618" s="144" t="str">
        <x:v>A | Official / Original Creator / Organizer</x:v>
      </x:c>
      <x:c r="P618" s="144" t="str">
        <x:v>Recommended</x:v>
      </x:c>
      <x:c r="Q618" s="144" t="str">
        <x:v>Verified</x:v>
      </x:c>
      <x:c r="R618" s="146" t="n">
        <x:v>46249</x:v>
      </x:c>
      <x:c r="S618" s="144" t="str">
        <x:v>Added from an official university, research institution, conference, or original creator source; public YouTube metadata verified.</x:v>
      </x:c>
      <x:c r="T618" s="144" t="str">
        <x:v>aQJP3Z2Ho8U</x:v>
      </x:c>
      <x:c r="U618" s="144" t="str">
        <x:v>DeepMind × UCL Reinforcement Learning Lecture Series — 2021</x:v>
      </x:c>
      <x:c r="V618" s="147" t="n">
        <x:v>2</x:v>
      </x:c>
      <x:c r="W618" s="144" t="str">
        <x:v>deepmind-ucl-rl-2021</x:v>
      </x:c>
    </x:row>
    <x:row r="619" ht="42" customHeight="1">
      <x:c r="A619" s="144" t="str">
        <x:v>ST-618</x:v>
      </x:c>
      <x:c r="B619" s="144" t="str">
        <x:v>Course</x:v>
      </x:c>
      <x:c r="C619" s="144" t="str">
        <x:v>Other</x:v>
      </x:c>
      <x:c r="D619" s="145" t="str">
        <x:v>Deep Reinforcement Learning</x:v>
      </x:c>
      <x:c r="E619" s="145" t="str">
        <x:v>Reinforcement Learning; Dynamic Programming; Policy Learning; Deep Learning</x:v>
      </x:c>
      <x:c r="F619" s="145" t="str">
        <x:v>English</x:v>
      </x:c>
      <x:c r="G619" s="145" t="str">
        <x:v>DeepMind x UCL RL Lecture Series - MDPs and Dynamic Programming [3/13]</x:v>
      </x:c>
      <x:c r="H619" s="145" t="str">
        <x:v>DeepMind and UCL course team</x:v>
      </x:c>
      <x:c r="I619" s="145" t="str">
        <x:v>Google DeepMind</x:v>
      </x:c>
      <x:c r="J619" s="145" t="str">
        <x:v>Course Lecture</x:v>
      </x:c>
      <x:c r="K619" s="147" t="n">
        <x:v>104</x:v>
      </x:c>
      <x:c r="L619" s="144" t="str">
        <x:v>https://www.youtube.com/watch?v=zSOMeug_i_M</x:v>
      </x:c>
      <x:c r="M619" s="144" t="str">
        <x:v>YouTube</x:v>
      </x:c>
      <x:c r="N619" s="149" t="n">
        <x:v>61499</x:v>
      </x:c>
      <x:c r="O619" s="144" t="str">
        <x:v>A | Official / Original Creator / Organizer</x:v>
      </x:c>
      <x:c r="P619" s="144" t="str">
        <x:v>Recommended</x:v>
      </x:c>
      <x:c r="Q619" s="144" t="str">
        <x:v>Verified</x:v>
      </x:c>
      <x:c r="R619" s="146" t="n">
        <x:v>46249</x:v>
      </x:c>
      <x:c r="S619" s="144" t="str">
        <x:v>Added from an official university, research institution, conference, or original creator source; public YouTube metadata verified.</x:v>
      </x:c>
      <x:c r="T619" s="144" t="str">
        <x:v>zSOMeug_i_M</x:v>
      </x:c>
      <x:c r="U619" s="144" t="str">
        <x:v>DeepMind × UCL Reinforcement Learning Lecture Series — 2021</x:v>
      </x:c>
      <x:c r="V619" s="147" t="n">
        <x:v>3</x:v>
      </x:c>
      <x:c r="W619" s="144" t="str">
        <x:v>deepmind-ucl-rl-2021</x:v>
      </x:c>
    </x:row>
    <x:row r="620" ht="42" customHeight="1">
      <x:c r="A620" s="144" t="str">
        <x:v>ST-619</x:v>
      </x:c>
      <x:c r="B620" s="144" t="str">
        <x:v>Course</x:v>
      </x:c>
      <x:c r="C620" s="144" t="str">
        <x:v>Other</x:v>
      </x:c>
      <x:c r="D620" s="145" t="str">
        <x:v>Deep Reinforcement Learning</x:v>
      </x:c>
      <x:c r="E620" s="145" t="str">
        <x:v>Reinforcement Learning; Dynamic Programming; Policy Learning; Deep Learning</x:v>
      </x:c>
      <x:c r="F620" s="145" t="str">
        <x:v>English</x:v>
      </x:c>
      <x:c r="G620" s="145" t="str">
        <x:v>DeepMind x UCL RL Lecture Series - Theoretical Fund. of Dynamic Programming Algorithms [4/13]</x:v>
      </x:c>
      <x:c r="H620" s="145" t="str">
        <x:v>DeepMind and UCL course team</x:v>
      </x:c>
      <x:c r="I620" s="145" t="str">
        <x:v>Google DeepMind</x:v>
      </x:c>
      <x:c r="J620" s="145" t="str">
        <x:v>Course Lecture</x:v>
      </x:c>
      <x:c r="K620" s="147" t="n">
        <x:v>74</x:v>
      </x:c>
      <x:c r="L620" s="144" t="str">
        <x:v>https://www.youtube.com/watch?v=XpbLq7rIJAA</x:v>
      </x:c>
      <x:c r="M620" s="144" t="str">
        <x:v>YouTube</x:v>
      </x:c>
      <x:c r="N620" s="149" t="n">
        <x:v>34930</x:v>
      </x:c>
      <x:c r="O620" s="144" t="str">
        <x:v>A | Official / Original Creator / Organizer</x:v>
      </x:c>
      <x:c r="P620" s="144" t="str">
        <x:v>Recommended</x:v>
      </x:c>
      <x:c r="Q620" s="144" t="str">
        <x:v>Verified</x:v>
      </x:c>
      <x:c r="R620" s="146" t="n">
        <x:v>46249</x:v>
      </x:c>
      <x:c r="S620" s="144" t="str">
        <x:v>Added from an official university, research institution, conference, or original creator source; public YouTube metadata verified.</x:v>
      </x:c>
      <x:c r="T620" s="144" t="str">
        <x:v>XpbLq7rIJAA</x:v>
      </x:c>
      <x:c r="U620" s="144" t="str">
        <x:v>DeepMind × UCL Reinforcement Learning Lecture Series — 2021</x:v>
      </x:c>
      <x:c r="V620" s="147" t="n">
        <x:v>4</x:v>
      </x:c>
      <x:c r="W620" s="144" t="str">
        <x:v>deepmind-ucl-rl-2021</x:v>
      </x:c>
    </x:row>
    <x:row r="621" ht="42" customHeight="1">
      <x:c r="A621" s="144" t="str">
        <x:v>ST-620</x:v>
      </x:c>
      <x:c r="B621" s="144" t="str">
        <x:v>Course</x:v>
      </x:c>
      <x:c r="C621" s="144" t="str">
        <x:v>Other</x:v>
      </x:c>
      <x:c r="D621" s="145" t="str">
        <x:v>Deep Reinforcement Learning</x:v>
      </x:c>
      <x:c r="E621" s="145" t="str">
        <x:v>Reinforcement Learning; Dynamic Programming; Policy Learning; Deep Learning</x:v>
      </x:c>
      <x:c r="F621" s="145" t="str">
        <x:v>English</x:v>
      </x:c>
      <x:c r="G621" s="145" t="str">
        <x:v>DeepMind x UCL RL Lecture Series - Model-free Prediction [5/13]</x:v>
      </x:c>
      <x:c r="H621" s="145" t="str">
        <x:v>DeepMind and UCL course team</x:v>
      </x:c>
      <x:c r="I621" s="145" t="str">
        <x:v>Google DeepMind</x:v>
      </x:c>
      <x:c r="J621" s="145" t="str">
        <x:v>Course Lecture</x:v>
      </x:c>
      <x:c r="K621" s="147" t="n">
        <x:v>102</x:v>
      </x:c>
      <x:c r="L621" s="144" t="str">
        <x:v>https://www.youtube.com/watch?v=eaWfWoVUTEw</x:v>
      </x:c>
      <x:c r="M621" s="144" t="str">
        <x:v>YouTube</x:v>
      </x:c>
      <x:c r="N621" s="149" t="n">
        <x:v>38863</x:v>
      </x:c>
      <x:c r="O621" s="144" t="str">
        <x:v>A | Official / Original Creator / Organizer</x:v>
      </x:c>
      <x:c r="P621" s="144" t="str">
        <x:v>Recommended</x:v>
      </x:c>
      <x:c r="Q621" s="144" t="str">
        <x:v>Verified</x:v>
      </x:c>
      <x:c r="R621" s="146" t="n">
        <x:v>46249</x:v>
      </x:c>
      <x:c r="S621" s="144" t="str">
        <x:v>Added from an official university, research institution, conference, or original creator source; public YouTube metadata verified.</x:v>
      </x:c>
      <x:c r="T621" s="144" t="str">
        <x:v>eaWfWoVUTEw</x:v>
      </x:c>
      <x:c r="U621" s="144" t="str">
        <x:v>DeepMind × UCL Reinforcement Learning Lecture Series — 2021</x:v>
      </x:c>
      <x:c r="V621" s="147" t="n">
        <x:v>5</x:v>
      </x:c>
      <x:c r="W621" s="144" t="str">
        <x:v>deepmind-ucl-rl-2021</x:v>
      </x:c>
    </x:row>
    <x:row r="622" ht="42" customHeight="1">
      <x:c r="A622" s="144" t="str">
        <x:v>ST-621</x:v>
      </x:c>
      <x:c r="B622" s="144" t="str">
        <x:v>Course</x:v>
      </x:c>
      <x:c r="C622" s="144" t="str">
        <x:v>Other</x:v>
      </x:c>
      <x:c r="D622" s="145" t="str">
        <x:v>Deep Reinforcement Learning</x:v>
      </x:c>
      <x:c r="E622" s="145" t="str">
        <x:v>Reinforcement Learning; Dynamic Programming; Policy Learning; Deep Learning</x:v>
      </x:c>
      <x:c r="F622" s="145" t="str">
        <x:v>English</x:v>
      </x:c>
      <x:c r="G622" s="145" t="str">
        <x:v>DeepMind x UCL RL Lecture Series - Model-free Control [6/13]</x:v>
      </x:c>
      <x:c r="H622" s="145" t="str">
        <x:v>DeepMind and UCL course team</x:v>
      </x:c>
      <x:c r="I622" s="145" t="str">
        <x:v>Google DeepMind</x:v>
      </x:c>
      <x:c r="J622" s="145" t="str">
        <x:v>Course Lecture</x:v>
      </x:c>
      <x:c r="K622" s="147" t="n">
        <x:v>101</x:v>
      </x:c>
      <x:c r="L622" s="144" t="str">
        <x:v>https://www.youtube.com/watch?v=t9uf9cuogBo</x:v>
      </x:c>
      <x:c r="M622" s="144" t="str">
        <x:v>YouTube</x:v>
      </x:c>
      <x:c r="N622" s="149" t="n">
        <x:v>27939</x:v>
      </x:c>
      <x:c r="O622" s="144" t="str">
        <x:v>A | Official / Original Creator / Organizer</x:v>
      </x:c>
      <x:c r="P622" s="144" t="str">
        <x:v>Recommended</x:v>
      </x:c>
      <x:c r="Q622" s="144" t="str">
        <x:v>Verified</x:v>
      </x:c>
      <x:c r="R622" s="146" t="n">
        <x:v>46249</x:v>
      </x:c>
      <x:c r="S622" s="144" t="str">
        <x:v>Added from an official university, research institution, conference, or original creator source; public YouTube metadata verified.</x:v>
      </x:c>
      <x:c r="T622" s="144" t="str">
        <x:v>t9uf9cuogBo</x:v>
      </x:c>
      <x:c r="U622" s="144" t="str">
        <x:v>DeepMind × UCL Reinforcement Learning Lecture Series — 2021</x:v>
      </x:c>
      <x:c r="V622" s="147" t="n">
        <x:v>6</x:v>
      </x:c>
      <x:c r="W622" s="144" t="str">
        <x:v>deepmind-ucl-rl-2021</x:v>
      </x:c>
    </x:row>
    <x:row r="623" ht="42" customHeight="1">
      <x:c r="A623" s="144" t="str">
        <x:v>ST-622</x:v>
      </x:c>
      <x:c r="B623" s="144" t="str">
        <x:v>Course</x:v>
      </x:c>
      <x:c r="C623" s="144" t="str">
        <x:v>Other</x:v>
      </x:c>
      <x:c r="D623" s="145" t="str">
        <x:v>Deep Reinforcement Learning</x:v>
      </x:c>
      <x:c r="E623" s="145" t="str">
        <x:v>Reinforcement Learning; Dynamic Programming; Policy Learning; Deep Learning</x:v>
      </x:c>
      <x:c r="F623" s="145" t="str">
        <x:v>English</x:v>
      </x:c>
      <x:c r="G623" s="145" t="str">
        <x:v>DeepMind x UCL RL Lecture Series - Function Approximation [7/13]</x:v>
      </x:c>
      <x:c r="H623" s="145" t="str">
        <x:v>DeepMind and UCL course team</x:v>
      </x:c>
      <x:c r="I623" s="145" t="str">
        <x:v>Google DeepMind</x:v>
      </x:c>
      <x:c r="J623" s="145" t="str">
        <x:v>Course Lecture</x:v>
      </x:c>
      <x:c r="K623" s="147" t="n">
        <x:v>150</x:v>
      </x:c>
      <x:c r="L623" s="144" t="str">
        <x:v>https://www.youtube.com/watch?v=ook46h2Jfb4</x:v>
      </x:c>
      <x:c r="M623" s="144" t="str">
        <x:v>YouTube</x:v>
      </x:c>
      <x:c r="N623" s="149" t="n">
        <x:v>31581</x:v>
      </x:c>
      <x:c r="O623" s="144" t="str">
        <x:v>A | Official / Original Creator / Organizer</x:v>
      </x:c>
      <x:c r="P623" s="144" t="str">
        <x:v>Recommended</x:v>
      </x:c>
      <x:c r="Q623" s="144" t="str">
        <x:v>Verified</x:v>
      </x:c>
      <x:c r="R623" s="146" t="n">
        <x:v>46249</x:v>
      </x:c>
      <x:c r="S623" s="144" t="str">
        <x:v>Added from an official university, research institution, conference, or original creator source; public YouTube metadata verified.</x:v>
      </x:c>
      <x:c r="T623" s="144" t="str">
        <x:v>ook46h2Jfb4</x:v>
      </x:c>
      <x:c r="U623" s="144" t="str">
        <x:v>DeepMind × UCL Reinforcement Learning Lecture Series — 2021</x:v>
      </x:c>
      <x:c r="V623" s="147" t="n">
        <x:v>7</x:v>
      </x:c>
      <x:c r="W623" s="144" t="str">
        <x:v>deepmind-ucl-rl-2021</x:v>
      </x:c>
    </x:row>
    <x:row r="624" ht="42" customHeight="1">
      <x:c r="A624" s="144" t="str">
        <x:v>ST-623</x:v>
      </x:c>
      <x:c r="B624" s="144" t="str">
        <x:v>Course</x:v>
      </x:c>
      <x:c r="C624" s="144" t="str">
        <x:v>World Model</x:v>
      </x:c>
      <x:c r="D624" s="145" t="str">
        <x:v>World Models</x:v>
      </x:c>
      <x:c r="E624" s="145" t="str">
        <x:v>Reinforcement Learning; Planning; Models; World Models</x:v>
      </x:c>
      <x:c r="F624" s="145" t="str">
        <x:v>English</x:v>
      </x:c>
      <x:c r="G624" s="145" t="str">
        <x:v>DeepMind x UCL RL Lecture Series - Planning &amp; models [8/13]</x:v>
      </x:c>
      <x:c r="H624" s="145" t="str">
        <x:v>DeepMind and UCL course team</x:v>
      </x:c>
      <x:c r="I624" s="145" t="str">
        <x:v>Google DeepMind</x:v>
      </x:c>
      <x:c r="J624" s="145" t="str">
        <x:v>Course Lecture</x:v>
      </x:c>
      <x:c r="K624" s="147" t="n">
        <x:v>58</x:v>
      </x:c>
      <x:c r="L624" s="144" t="str">
        <x:v>https://www.youtube.com/watch?v=FKl8kM4finE</x:v>
      </x:c>
      <x:c r="M624" s="144" t="str">
        <x:v>YouTube</x:v>
      </x:c>
      <x:c r="N624" s="149" t="n">
        <x:v>20172</x:v>
      </x:c>
      <x:c r="O624" s="144" t="str">
        <x:v>A | Official / Original Creator / Organizer</x:v>
      </x:c>
      <x:c r="P624" s="144" t="str">
        <x:v>Recommended</x:v>
      </x:c>
      <x:c r="Q624" s="144" t="str">
        <x:v>Verified</x:v>
      </x:c>
      <x:c r="R624" s="146" t="n">
        <x:v>46249</x:v>
      </x:c>
      <x:c r="S624" s="144" t="str">
        <x:v>Added from an official university, research institution, conference, or original creator source; public YouTube metadata verified.</x:v>
      </x:c>
      <x:c r="T624" s="144" t="str">
        <x:v>FKl8kM4finE</x:v>
      </x:c>
      <x:c r="U624" s="144" t="str">
        <x:v>DeepMind × UCL Reinforcement Learning Lecture Series — 2021</x:v>
      </x:c>
      <x:c r="V624" s="147" t="n">
        <x:v>8</x:v>
      </x:c>
      <x:c r="W624" s="144" t="str">
        <x:v>deepmind-ucl-rl-2021</x:v>
      </x:c>
    </x:row>
    <x:row r="625" ht="42" customHeight="1">
      <x:c r="A625" s="144" t="str">
        <x:v>ST-624</x:v>
      </x:c>
      <x:c r="B625" s="144" t="str">
        <x:v>Course</x:v>
      </x:c>
      <x:c r="C625" s="144" t="str">
        <x:v>Other</x:v>
      </x:c>
      <x:c r="D625" s="145" t="str">
        <x:v>Deep Reinforcement Learning</x:v>
      </x:c>
      <x:c r="E625" s="145" t="str">
        <x:v>Reinforcement Learning; Dynamic Programming; Policy Learning; Deep Learning</x:v>
      </x:c>
      <x:c r="F625" s="145" t="str">
        <x:v>English</x:v>
      </x:c>
      <x:c r="G625" s="145" t="str">
        <x:v>DeepMind x UCL RL Lecture Series - Policy-Gradient and Actor-Critic methods [9/13]</x:v>
      </x:c>
      <x:c r="H625" s="145" t="str">
        <x:v>DeepMind and UCL course team</x:v>
      </x:c>
      <x:c r="I625" s="145" t="str">
        <x:v>Google DeepMind</x:v>
      </x:c>
      <x:c r="J625" s="145" t="str">
        <x:v>Course Lecture</x:v>
      </x:c>
      <x:c r="K625" s="147" t="n">
        <x:v>99</x:v>
      </x:c>
      <x:c r="L625" s="144" t="str">
        <x:v>https://www.youtube.com/watch?v=y3oqOjHilio</x:v>
      </x:c>
      <x:c r="M625" s="144" t="str">
        <x:v>YouTube</x:v>
      </x:c>
      <x:c r="N625" s="149" t="n">
        <x:v>50227</x:v>
      </x:c>
      <x:c r="O625" s="144" t="str">
        <x:v>A | Official / Original Creator / Organizer</x:v>
      </x:c>
      <x:c r="P625" s="144" t="str">
        <x:v>Recommended</x:v>
      </x:c>
      <x:c r="Q625" s="144" t="str">
        <x:v>Verified</x:v>
      </x:c>
      <x:c r="R625" s="146" t="n">
        <x:v>46249</x:v>
      </x:c>
      <x:c r="S625" s="144" t="str">
        <x:v>Added from an official university, research institution, conference, or original creator source; public YouTube metadata verified.</x:v>
      </x:c>
      <x:c r="T625" s="144" t="str">
        <x:v>y3oqOjHilio</x:v>
      </x:c>
      <x:c r="U625" s="144" t="str">
        <x:v>DeepMind × UCL Reinforcement Learning Lecture Series — 2021</x:v>
      </x:c>
      <x:c r="V625" s="147" t="n">
        <x:v>9</x:v>
      </x:c>
      <x:c r="W625" s="144" t="str">
        <x:v>deepmind-ucl-rl-2021</x:v>
      </x:c>
    </x:row>
    <x:row r="626" ht="42" customHeight="1">
      <x:c r="A626" s="144" t="str">
        <x:v>ST-625</x:v>
      </x:c>
      <x:c r="B626" s="144" t="str">
        <x:v>Course</x:v>
      </x:c>
      <x:c r="C626" s="144" t="str">
        <x:v>Other</x:v>
      </x:c>
      <x:c r="D626" s="145" t="str">
        <x:v>Deep Reinforcement Learning</x:v>
      </x:c>
      <x:c r="E626" s="145" t="str">
        <x:v>Reinforcement Learning; Dynamic Programming; Policy Learning; Deep Learning</x:v>
      </x:c>
      <x:c r="F626" s="145" t="str">
        <x:v>English</x:v>
      </x:c>
      <x:c r="G626" s="145" t="str">
        <x:v>DeepMind x UCL RL Lecture Series - Approximate Dynamic Programming [10/13]</x:v>
      </x:c>
      <x:c r="H626" s="145" t="str">
        <x:v>DeepMind and UCL course team</x:v>
      </x:c>
      <x:c r="I626" s="145" t="str">
        <x:v>Google DeepMind</x:v>
      </x:c>
      <x:c r="J626" s="145" t="str">
        <x:v>Course Lecture</x:v>
      </x:c>
      <x:c r="K626" s="147" t="n">
        <x:v>102</x:v>
      </x:c>
      <x:c r="L626" s="144" t="str">
        <x:v>https://www.youtube.com/watch?v=AJejcug2brU</x:v>
      </x:c>
      <x:c r="M626" s="144" t="str">
        <x:v>YouTube</x:v>
      </x:c>
      <x:c r="N626" s="149" t="n">
        <x:v>18861</x:v>
      </x:c>
      <x:c r="O626" s="144" t="str">
        <x:v>A | Official / Original Creator / Organizer</x:v>
      </x:c>
      <x:c r="P626" s="144" t="str">
        <x:v>Recommended</x:v>
      </x:c>
      <x:c r="Q626" s="144" t="str">
        <x:v>Verified</x:v>
      </x:c>
      <x:c r="R626" s="146" t="n">
        <x:v>46249</x:v>
      </x:c>
      <x:c r="S626" s="144" t="str">
        <x:v>Added from an official university, research institution, conference, or original creator source; public YouTube metadata verified.</x:v>
      </x:c>
      <x:c r="T626" s="144" t="str">
        <x:v>AJejcug2brU</x:v>
      </x:c>
      <x:c r="U626" s="144" t="str">
        <x:v>DeepMind × UCL Reinforcement Learning Lecture Series — 2021</x:v>
      </x:c>
      <x:c r="V626" s="147" t="n">
        <x:v>10</x:v>
      </x:c>
      <x:c r="W626" s="144" t="str">
        <x:v>deepmind-ucl-rl-2021</x:v>
      </x:c>
    </x:row>
    <x:row r="627" ht="42" customHeight="1">
      <x:c r="A627" s="144" t="str">
        <x:v>ST-626</x:v>
      </x:c>
      <x:c r="B627" s="144" t="str">
        <x:v>Course</x:v>
      </x:c>
      <x:c r="C627" s="144" t="str">
        <x:v>Other</x:v>
      </x:c>
      <x:c r="D627" s="145" t="str">
        <x:v>Deep Reinforcement Learning</x:v>
      </x:c>
      <x:c r="E627" s="145" t="str">
        <x:v>Reinforcement Learning; Dynamic Programming; Policy Learning; Deep Learning</x:v>
      </x:c>
      <x:c r="F627" s="145" t="str">
        <x:v>English</x:v>
      </x:c>
      <x:c r="G627" s="145" t="str">
        <x:v>DeepMind x UCL RL Lecture Series - Multi-step &amp; Off Policy [11/13]</x:v>
      </x:c>
      <x:c r="H627" s="145" t="str">
        <x:v>DeepMind and UCL course team</x:v>
      </x:c>
      <x:c r="I627" s="145" t="str">
        <x:v>Google DeepMind</x:v>
      </x:c>
      <x:c r="J627" s="145" t="str">
        <x:v>Course Lecture</x:v>
      </x:c>
      <x:c r="K627" s="147" t="n">
        <x:v>92</x:v>
      </x:c>
      <x:c r="L627" s="144" t="str">
        <x:v>https://www.youtube.com/watch?v=u84MFu1nG4g</x:v>
      </x:c>
      <x:c r="M627" s="144" t="str">
        <x:v>YouTube</x:v>
      </x:c>
      <x:c r="N627" s="149" t="n">
        <x:v>18795</x:v>
      </x:c>
      <x:c r="O627" s="144" t="str">
        <x:v>A | Official / Original Creator / Organizer</x:v>
      </x:c>
      <x:c r="P627" s="144" t="str">
        <x:v>Recommended</x:v>
      </x:c>
      <x:c r="Q627" s="144" t="str">
        <x:v>Verified</x:v>
      </x:c>
      <x:c r="R627" s="146" t="n">
        <x:v>46249</x:v>
      </x:c>
      <x:c r="S627" s="144" t="str">
        <x:v>Added from an official university, research institution, conference, or original creator source; public YouTube metadata verified.</x:v>
      </x:c>
      <x:c r="T627" s="144" t="str">
        <x:v>u84MFu1nG4g</x:v>
      </x:c>
      <x:c r="U627" s="144" t="str">
        <x:v>DeepMind × UCL Reinforcement Learning Lecture Series — 2021</x:v>
      </x:c>
      <x:c r="V627" s="147" t="n">
        <x:v>11</x:v>
      </x:c>
      <x:c r="W627" s="144" t="str">
        <x:v>deepmind-ucl-rl-2021</x:v>
      </x:c>
    </x:row>
    <x:row r="628" ht="42" customHeight="1">
      <x:c r="A628" s="144" t="str">
        <x:v>ST-627</x:v>
      </x:c>
      <x:c r="B628" s="144" t="str">
        <x:v>Course</x:v>
      </x:c>
      <x:c r="C628" s="144" t="str">
        <x:v>Other</x:v>
      </x:c>
      <x:c r="D628" s="145" t="str">
        <x:v>Deep Reinforcement Learning</x:v>
      </x:c>
      <x:c r="E628" s="145" t="str">
        <x:v>Reinforcement Learning; Dynamic Programming; Policy Learning; Deep Learning</x:v>
      </x:c>
      <x:c r="F628" s="145" t="str">
        <x:v>English</x:v>
      </x:c>
      <x:c r="G628" s="145" t="str">
        <x:v>DeepMind x UCL RL Lecture Series - Deep Reinforcement Learning #1 [12/13]</x:v>
      </x:c>
      <x:c r="H628" s="145" t="str">
        <x:v>DeepMind and UCL course team</x:v>
      </x:c>
      <x:c r="I628" s="145" t="str">
        <x:v>Google DeepMind</x:v>
      </x:c>
      <x:c r="J628" s="145" t="str">
        <x:v>Course Lecture</x:v>
      </x:c>
      <x:c r="K628" s="147" t="n">
        <x:v>47</x:v>
      </x:c>
      <x:c r="L628" s="144" t="str">
        <x:v>https://www.youtube.com/watch?v=cVzvNZOBaJ4</x:v>
      </x:c>
      <x:c r="M628" s="144" t="str">
        <x:v>YouTube</x:v>
      </x:c>
      <x:c r="N628" s="149" t="n">
        <x:v>26508</x:v>
      </x:c>
      <x:c r="O628" s="144" t="str">
        <x:v>A | Official / Original Creator / Organizer</x:v>
      </x:c>
      <x:c r="P628" s="144" t="str">
        <x:v>Recommended</x:v>
      </x:c>
      <x:c r="Q628" s="144" t="str">
        <x:v>Verified</x:v>
      </x:c>
      <x:c r="R628" s="146" t="n">
        <x:v>46249</x:v>
      </x:c>
      <x:c r="S628" s="144" t="str">
        <x:v>Added from an official university, research institution, conference, or original creator source; public YouTube metadata verified.</x:v>
      </x:c>
      <x:c r="T628" s="144" t="str">
        <x:v>cVzvNZOBaJ4</x:v>
      </x:c>
      <x:c r="U628" s="144" t="str">
        <x:v>DeepMind × UCL Reinforcement Learning Lecture Series — 2021</x:v>
      </x:c>
      <x:c r="V628" s="147" t="n">
        <x:v>12</x:v>
      </x:c>
      <x:c r="W628" s="144" t="str">
        <x:v>deepmind-ucl-rl-2021</x:v>
      </x:c>
    </x:row>
    <x:row r="629" ht="42" customHeight="1">
      <x:c r="A629" s="144" t="str">
        <x:v>ST-628</x:v>
      </x:c>
      <x:c r="B629" s="144" t="str">
        <x:v>Course</x:v>
      </x:c>
      <x:c r="C629" s="144" t="str">
        <x:v>Other</x:v>
      </x:c>
      <x:c r="D629" s="145" t="str">
        <x:v>Deep Reinforcement Learning</x:v>
      </x:c>
      <x:c r="E629" s="145" t="str">
        <x:v>Reinforcement Learning; Dynamic Programming; Policy Learning; Deep Learning</x:v>
      </x:c>
      <x:c r="F629" s="145" t="str">
        <x:v>English</x:v>
      </x:c>
      <x:c r="G629" s="145" t="str">
        <x:v>DeepMind x UCL RL Lecture Series - Deep Reinforcement Learning #2 [13/13]</x:v>
      </x:c>
      <x:c r="H629" s="145" t="str">
        <x:v>DeepMind and UCL course team</x:v>
      </x:c>
      <x:c r="I629" s="145" t="str">
        <x:v>Google DeepMind</x:v>
      </x:c>
      <x:c r="J629" s="145" t="str">
        <x:v>Course Lecture</x:v>
      </x:c>
      <x:c r="K629" s="147" t="n">
        <x:v>47</x:v>
      </x:c>
      <x:c r="L629" s="144" t="str">
        <x:v>https://www.youtube.com/watch?v=siDtNqlPoLk</x:v>
      </x:c>
      <x:c r="M629" s="144" t="str">
        <x:v>YouTube</x:v>
      </x:c>
      <x:c r="N629" s="149" t="n">
        <x:v>21318</x:v>
      </x:c>
      <x:c r="O629" s="144" t="str">
        <x:v>A | Official / Original Creator / Organizer</x:v>
      </x:c>
      <x:c r="P629" s="144" t="str">
        <x:v>Recommended</x:v>
      </x:c>
      <x:c r="Q629" s="144" t="str">
        <x:v>Verified</x:v>
      </x:c>
      <x:c r="R629" s="146" t="n">
        <x:v>46249</x:v>
      </x:c>
      <x:c r="S629" s="144" t="str">
        <x:v>Added from an official university, research institution, conference, or original creator source; public YouTube metadata verified.</x:v>
      </x:c>
      <x:c r="T629" s="144" t="str">
        <x:v>siDtNqlPoLk</x:v>
      </x:c>
      <x:c r="U629" s="144" t="str">
        <x:v>DeepMind × UCL Reinforcement Learning Lecture Series — 2021</x:v>
      </x:c>
      <x:c r="V629" s="147" t="n">
        <x:v>13</x:v>
      </x:c>
      <x:c r="W629" s="144" t="str">
        <x:v>deepmind-ucl-rl-2021</x:v>
      </x:c>
    </x:row>
    <x:row r="630" ht="42" customHeight="1">
      <x:c r="A630" s="144" t="str">
        <x:v>ST-629</x:v>
      </x:c>
      <x:c r="B630" s="144" t="str">
        <x:v>Course</x:v>
      </x:c>
      <x:c r="C630" s="144" t="str">
        <x:v>Robotics</x:v>
      </x:c>
      <x:c r="D630" s="145" t="str">
        <x:v>Robotics</x:v>
      </x:c>
      <x:c r="E630" s="145" t="str">
        <x:v>Robotics; Control; Dynamics; Motion Planning; Robot Learning</x:v>
      </x:c>
      <x:c r="F630" s="145" t="str">
        <x:v>English</x:v>
      </x:c>
      <x:c r="G630" s="145" t="str">
        <x:v>6.8210 Spring 2024 Lecture 1: Robot dynamics and model-based control</x:v>
      </x:c>
      <x:c r="H630" s="145" t="str">
        <x:v>Russ Tedrake</x:v>
      </x:c>
      <x:c r="I630" s="145" t="str">
        <x:v>underactuated</x:v>
      </x:c>
      <x:c r="J630" s="145" t="str">
        <x:v>Course Lecture</x:v>
      </x:c>
      <x:c r="K630" s="147" t="n">
        <x:v>85</x:v>
      </x:c>
      <x:c r="L630" s="144" t="str">
        <x:v>https://www.youtube.com/watch?v=uyyBT-MHhLE</x:v>
      </x:c>
      <x:c r="M630" s="144" t="str">
        <x:v>YouTube</x:v>
      </x:c>
      <x:c r="N630" s="149" t="n">
        <x:v>43082</x:v>
      </x:c>
      <x:c r="O630" s="144" t="str">
        <x:v>A | Official / Original Creator / Organizer</x:v>
      </x:c>
      <x:c r="P630" s="144" t="str">
        <x:v>Recommended</x:v>
      </x:c>
      <x:c r="Q630" s="144" t="str">
        <x:v>Verified</x:v>
      </x:c>
      <x:c r="R630" s="146" t="n">
        <x:v>46249</x:v>
      </x:c>
      <x:c r="S630" s="144" t="str">
        <x:v>Added from an official university, research institution, conference, or original creator source; public YouTube metadata verified.</x:v>
      </x:c>
      <x:c r="T630" s="144" t="str">
        <x:v>uyyBT-MHhLE</x:v>
      </x:c>
      <x:c r="U630" s="144" t="str">
        <x:v>MIT 6.8210: Underactuated Robotics — Spring 2024</x:v>
      </x:c>
      <x:c r="V630" s="147" t="n">
        <x:v>1</x:v>
      </x:c>
      <x:c r="W630" s="144" t="str">
        <x:v>mit-6-8210-underactuated-robotics-spring-2024</x:v>
      </x:c>
    </x:row>
    <x:row r="631" ht="42" customHeight="1">
      <x:c r="A631" s="144" t="str">
        <x:v>ST-630</x:v>
      </x:c>
      <x:c r="B631" s="144" t="str">
        <x:v>Course</x:v>
      </x:c>
      <x:c r="C631" s="144" t="str">
        <x:v>Robotics</x:v>
      </x:c>
      <x:c r="D631" s="145" t="str">
        <x:v>Robotics</x:v>
      </x:c>
      <x:c r="E631" s="145" t="str">
        <x:v>Robotics; Control; Dynamics; Motion Planning; Robot Learning</x:v>
      </x:c>
      <x:c r="F631" s="145" t="str">
        <x:v>English</x:v>
      </x:c>
      <x:c r="G631" s="145" t="str">
        <x:v>Spring 2023 6.8210 Lecture 2: Nonlinear Dynamics</x:v>
      </x:c>
      <x:c r="H631" s="145" t="str">
        <x:v>Russ Tedrake</x:v>
      </x:c>
      <x:c r="I631" s="145" t="str">
        <x:v>underactuated</x:v>
      </x:c>
      <x:c r="J631" s="145" t="str">
        <x:v>Course Lecture</x:v>
      </x:c>
      <x:c r="K631" s="147" t="n">
        <x:v>73</x:v>
      </x:c>
      <x:c r="L631" s="144" t="str">
        <x:v>https://www.youtube.com/watch?v=l2CwE3Wf7ww</x:v>
      </x:c>
      <x:c r="M631" s="144" t="str">
        <x:v>YouTube</x:v>
      </x:c>
      <x:c r="N631" s="149" t="n">
        <x:v>16240</x:v>
      </x:c>
      <x:c r="O631" s="144" t="str">
        <x:v>A | Official / Original Creator / Organizer</x:v>
      </x:c>
      <x:c r="P631" s="144" t="str">
        <x:v>Recommended</x:v>
      </x:c>
      <x:c r="Q631" s="144" t="str">
        <x:v>Verified</x:v>
      </x:c>
      <x:c r="R631" s="146" t="n">
        <x:v>46249</x:v>
      </x:c>
      <x:c r="S631" s="144" t="str">
        <x:v>Added from an official university, research institution, conference, or original creator source; public YouTube metadata verified.</x:v>
      </x:c>
      <x:c r="T631" s="144" t="str">
        <x:v>l2CwE3Wf7ww</x:v>
      </x:c>
      <x:c r="U631" s="144" t="str">
        <x:v>MIT 6.8210: Underactuated Robotics — Spring 2024</x:v>
      </x:c>
      <x:c r="V631" s="147" t="n">
        <x:v>2</x:v>
      </x:c>
      <x:c r="W631" s="144" t="str">
        <x:v>mit-6-8210-underactuated-robotics-spring-2024</x:v>
      </x:c>
    </x:row>
    <x:row r="632" ht="42" customHeight="1">
      <x:c r="A632" s="144" t="str">
        <x:v>ST-631</x:v>
      </x:c>
      <x:c r="B632" s="144" t="str">
        <x:v>Course</x:v>
      </x:c>
      <x:c r="C632" s="144" t="str">
        <x:v>Robotics</x:v>
      </x:c>
      <x:c r="D632" s="145" t="str">
        <x:v>Robotics</x:v>
      </x:c>
      <x:c r="E632" s="145" t="str">
        <x:v>Robotics; Control; Dynamics; Motion Planning; Robot Learning</x:v>
      </x:c>
      <x:c r="F632" s="145" t="str">
        <x:v>English</x:v>
      </x:c>
      <x:c r="G632" s="145" t="str">
        <x:v>Lecture 3 | MIT 6.832 (Underactuated Robotics), Spring 2020 | Dynamic Programming I</x:v>
      </x:c>
      <x:c r="H632" s="145" t="str">
        <x:v>Russ Tedrake</x:v>
      </x:c>
      <x:c r="I632" s="145" t="str">
        <x:v>underactuated</x:v>
      </x:c>
      <x:c r="J632" s="145" t="str">
        <x:v>Course Lecture</x:v>
      </x:c>
      <x:c r="K632" s="147" t="n">
        <x:v>81</x:v>
      </x:c>
      <x:c r="L632" s="144" t="str">
        <x:v>https://www.youtube.com/watch?v=GPvw92IKO44</x:v>
      </x:c>
      <x:c r="M632" s="144" t="str">
        <x:v>YouTube</x:v>
      </x:c>
      <x:c r="N632" s="149" t="n">
        <x:v>18732</x:v>
      </x:c>
      <x:c r="O632" s="144" t="str">
        <x:v>A | Official / Original Creator / Organizer</x:v>
      </x:c>
      <x:c r="P632" s="144" t="str">
        <x:v>Recommended</x:v>
      </x:c>
      <x:c r="Q632" s="144" t="str">
        <x:v>Verified</x:v>
      </x:c>
      <x:c r="R632" s="146" t="n">
        <x:v>46249</x:v>
      </x:c>
      <x:c r="S632" s="144" t="str">
        <x:v>Added from an official university, research institution, conference, or original creator source; public YouTube metadata verified.</x:v>
      </x:c>
      <x:c r="T632" s="144" t="str">
        <x:v>GPvw92IKO44</x:v>
      </x:c>
      <x:c r="U632" s="144" t="str">
        <x:v>MIT 6.8210: Underactuated Robotics — Spring 2024</x:v>
      </x:c>
      <x:c r="V632" s="147" t="n">
        <x:v>3</x:v>
      </x:c>
      <x:c r="W632" s="144" t="str">
        <x:v>mit-6-8210-underactuated-robotics-spring-2024</x:v>
      </x:c>
    </x:row>
    <x:row r="633" ht="42" customHeight="1">
      <x:c r="A633" s="144" t="str">
        <x:v>ST-632</x:v>
      </x:c>
      <x:c r="B633" s="144" t="str">
        <x:v>Course</x:v>
      </x:c>
      <x:c r="C633" s="144" t="str">
        <x:v>Robotics</x:v>
      </x:c>
      <x:c r="D633" s="145" t="str">
        <x:v>Robotics</x:v>
      </x:c>
      <x:c r="E633" s="145" t="str">
        <x:v>Robotics; Control; Dynamics; Motion Planning; Robot Learning</x:v>
      </x:c>
      <x:c r="F633" s="145" t="str">
        <x:v>English</x:v>
      </x:c>
      <x:c r="G633" s="145" t="str">
        <x:v>6.8210 Spring 2024 Lecture 4: Dynamic Programming II</x:v>
      </x:c>
      <x:c r="H633" s="145" t="str">
        <x:v>Russ Tedrake</x:v>
      </x:c>
      <x:c r="I633" s="145" t="str">
        <x:v>underactuated</x:v>
      </x:c>
      <x:c r="J633" s="145" t="str">
        <x:v>Course Lecture</x:v>
      </x:c>
      <x:c r="K633" s="147" t="n">
        <x:v>82</x:v>
      </x:c>
      <x:c r="L633" s="144" t="str">
        <x:v>https://www.youtube.com/watch?v=GElVy0WTOys</x:v>
      </x:c>
      <x:c r="M633" s="144" t="str">
        <x:v>YouTube</x:v>
      </x:c>
      <x:c r="N633" s="149" t="n">
        <x:v>6645</x:v>
      </x:c>
      <x:c r="O633" s="144" t="str">
        <x:v>A | Official / Original Creator / Organizer</x:v>
      </x:c>
      <x:c r="P633" s="144" t="str">
        <x:v>Recommended</x:v>
      </x:c>
      <x:c r="Q633" s="144" t="str">
        <x:v>Verified</x:v>
      </x:c>
      <x:c r="R633" s="146" t="n">
        <x:v>46249</x:v>
      </x:c>
      <x:c r="S633" s="144" t="str">
        <x:v>Added from an official university, research institution, conference, or original creator source; public YouTube metadata verified.</x:v>
      </x:c>
      <x:c r="T633" s="144" t="str">
        <x:v>GElVy0WTOys</x:v>
      </x:c>
      <x:c r="U633" s="144" t="str">
        <x:v>MIT 6.8210: Underactuated Robotics — Spring 2024</x:v>
      </x:c>
      <x:c r="V633" s="147" t="n">
        <x:v>4</x:v>
      </x:c>
      <x:c r="W633" s="144" t="str">
        <x:v>mit-6-8210-underactuated-robotics-spring-2024</x:v>
      </x:c>
    </x:row>
    <x:row r="634" ht="42" customHeight="1">
      <x:c r="A634" s="144" t="str">
        <x:v>ST-633</x:v>
      </x:c>
      <x:c r="B634" s="144" t="str">
        <x:v>Course</x:v>
      </x:c>
      <x:c r="C634" s="144" t="str">
        <x:v>Robotics</x:v>
      </x:c>
      <x:c r="D634" s="145" t="str">
        <x:v>Robotics</x:v>
      </x:c>
      <x:c r="E634" s="145" t="str">
        <x:v>Robotics; Control; Dynamics; Motion Planning; Robot Learning</x:v>
      </x:c>
      <x:c r="F634" s="145" t="str">
        <x:v>English</x:v>
      </x:c>
      <x:c r="G634" s="145" t="str">
        <x:v>6.8210 Spring 2024 Lecture 5: Acrobots, Cart-poles, and Quadrotors I</x:v>
      </x:c>
      <x:c r="H634" s="145" t="str">
        <x:v>Russ Tedrake</x:v>
      </x:c>
      <x:c r="I634" s="145" t="str">
        <x:v>underactuated</x:v>
      </x:c>
      <x:c r="J634" s="145" t="str">
        <x:v>Course Lecture</x:v>
      </x:c>
      <x:c r="K634" s="147" t="n">
        <x:v>81</x:v>
      </x:c>
      <x:c r="L634" s="144" t="str">
        <x:v>https://www.youtube.com/watch?v=UBPL0IbyJy4</x:v>
      </x:c>
      <x:c r="M634" s="144" t="str">
        <x:v>YouTube</x:v>
      </x:c>
      <x:c r="N634" s="149" t="n">
        <x:v>5505</x:v>
      </x:c>
      <x:c r="O634" s="144" t="str">
        <x:v>A | Official / Original Creator / Organizer</x:v>
      </x:c>
      <x:c r="P634" s="144" t="str">
        <x:v>Recommended</x:v>
      </x:c>
      <x:c r="Q634" s="144" t="str">
        <x:v>Verified</x:v>
      </x:c>
      <x:c r="R634" s="146" t="n">
        <x:v>46249</x:v>
      </x:c>
      <x:c r="S634" s="144" t="str">
        <x:v>Added from an official university, research institution, conference, or original creator source; public YouTube metadata verified.</x:v>
      </x:c>
      <x:c r="T634" s="144" t="str">
        <x:v>UBPL0IbyJy4</x:v>
      </x:c>
      <x:c r="U634" s="144" t="str">
        <x:v>MIT 6.8210: Underactuated Robotics — Spring 2024</x:v>
      </x:c>
      <x:c r="V634" s="147" t="n">
        <x:v>5</x:v>
      </x:c>
      <x:c r="W634" s="144" t="str">
        <x:v>mit-6-8210-underactuated-robotics-spring-2024</x:v>
      </x:c>
    </x:row>
    <x:row r="635" ht="42" customHeight="1">
      <x:c r="A635" s="144" t="str">
        <x:v>ST-634</x:v>
      </x:c>
      <x:c r="B635" s="144" t="str">
        <x:v>Course</x:v>
      </x:c>
      <x:c r="C635" s="144" t="str">
        <x:v>Robotics</x:v>
      </x:c>
      <x:c r="D635" s="145" t="str">
        <x:v>Robotics</x:v>
      </x:c>
      <x:c r="E635" s="145" t="str">
        <x:v>Robotics; Control; Dynamics; Motion Planning; Robot Learning</x:v>
      </x:c>
      <x:c r="F635" s="145" t="str">
        <x:v>English</x:v>
      </x:c>
      <x:c r="G635" s="145" t="str">
        <x:v>6.8210 Spring 2024 Lecture 6: Dynamic Programming III</x:v>
      </x:c>
      <x:c r="H635" s="145" t="str">
        <x:v>Russ Tedrake</x:v>
      </x:c>
      <x:c r="I635" s="145" t="str">
        <x:v>underactuated</x:v>
      </x:c>
      <x:c r="J635" s="145" t="str">
        <x:v>Course Lecture</x:v>
      </x:c>
      <x:c r="K635" s="147" t="n">
        <x:v>80</x:v>
      </x:c>
      <x:c r="L635" s="144" t="str">
        <x:v>https://www.youtube.com/watch?v=ZBS9-4LkSIQ</x:v>
      </x:c>
      <x:c r="M635" s="144" t="str">
        <x:v>YouTube</x:v>
      </x:c>
      <x:c r="N635" s="149" t="n">
        <x:v>4224</x:v>
      </x:c>
      <x:c r="O635" s="144" t="str">
        <x:v>A | Official / Original Creator / Organizer</x:v>
      </x:c>
      <x:c r="P635" s="144" t="str">
        <x:v>Recommended</x:v>
      </x:c>
      <x:c r="Q635" s="144" t="str">
        <x:v>Verified</x:v>
      </x:c>
      <x:c r="R635" s="146" t="n">
        <x:v>46249</x:v>
      </x:c>
      <x:c r="S635" s="144" t="str">
        <x:v>Added from an official university, research institution, conference, or original creator source; public YouTube metadata verified.</x:v>
      </x:c>
      <x:c r="T635" s="144" t="str">
        <x:v>ZBS9-4LkSIQ</x:v>
      </x:c>
      <x:c r="U635" s="144" t="str">
        <x:v>MIT 6.8210: Underactuated Robotics — Spring 2024</x:v>
      </x:c>
      <x:c r="V635" s="147" t="n">
        <x:v>6</x:v>
      </x:c>
      <x:c r="W635" s="144" t="str">
        <x:v>mit-6-8210-underactuated-robotics-spring-2024</x:v>
      </x:c>
    </x:row>
    <x:row r="636" ht="42" customHeight="1">
      <x:c r="A636" s="144" t="str">
        <x:v>ST-635</x:v>
      </x:c>
      <x:c r="B636" s="144" t="str">
        <x:v>Course</x:v>
      </x:c>
      <x:c r="C636" s="144" t="str">
        <x:v>Robotics</x:v>
      </x:c>
      <x:c r="D636" s="145" t="str">
        <x:v>Robotics</x:v>
      </x:c>
      <x:c r="E636" s="145" t="str">
        <x:v>Robotics; Control; Dynamics; Motion Planning; Robot Learning</x:v>
      </x:c>
      <x:c r="F636" s="145" t="str">
        <x:v>English</x:v>
      </x:c>
      <x:c r="G636" s="145" t="str">
        <x:v>6.8210 Spring 2024 Lecture 7: Lyapunov Analysis I</x:v>
      </x:c>
      <x:c r="H636" s="145" t="str">
        <x:v>Russ Tedrake</x:v>
      </x:c>
      <x:c r="I636" s="145" t="str">
        <x:v>underactuated</x:v>
      </x:c>
      <x:c r="J636" s="145" t="str">
        <x:v>Course Lecture</x:v>
      </x:c>
      <x:c r="K636" s="147" t="n">
        <x:v>81</x:v>
      </x:c>
      <x:c r="L636" s="144" t="str">
        <x:v>https://www.youtube.com/watch?v=qbuyy7ZcP9M</x:v>
      </x:c>
      <x:c r="M636" s="144" t="str">
        <x:v>YouTube</x:v>
      </x:c>
      <x:c r="N636" s="149" t="n">
        <x:v>4128</x:v>
      </x:c>
      <x:c r="O636" s="144" t="str">
        <x:v>A | Official / Original Creator / Organizer</x:v>
      </x:c>
      <x:c r="P636" s="144" t="str">
        <x:v>Recommended</x:v>
      </x:c>
      <x:c r="Q636" s="144" t="str">
        <x:v>Verified</x:v>
      </x:c>
      <x:c r="R636" s="146" t="n">
        <x:v>46249</x:v>
      </x:c>
      <x:c r="S636" s="144" t="str">
        <x:v>Added from an official university, research institution, conference, or original creator source; public YouTube metadata verified.</x:v>
      </x:c>
      <x:c r="T636" s="144" t="str">
        <x:v>qbuyy7ZcP9M</x:v>
      </x:c>
      <x:c r="U636" s="144" t="str">
        <x:v>MIT 6.8210: Underactuated Robotics — Spring 2024</x:v>
      </x:c>
      <x:c r="V636" s="147" t="n">
        <x:v>7</x:v>
      </x:c>
      <x:c r="W636" s="144" t="str">
        <x:v>mit-6-8210-underactuated-robotics-spring-2024</x:v>
      </x:c>
    </x:row>
    <x:row r="637" ht="42" customHeight="1">
      <x:c r="A637" s="144" t="str">
        <x:v>ST-636</x:v>
      </x:c>
      <x:c r="B637" s="144" t="str">
        <x:v>Course</x:v>
      </x:c>
      <x:c r="C637" s="144" t="str">
        <x:v>Robotics</x:v>
      </x:c>
      <x:c r="D637" s="145" t="str">
        <x:v>Robotics</x:v>
      </x:c>
      <x:c r="E637" s="145" t="str">
        <x:v>Robotics; Control; Dynamics; Motion Planning; Robot Learning</x:v>
      </x:c>
      <x:c r="F637" s="145" t="str">
        <x:v>English</x:v>
      </x:c>
      <x:c r="G637" s="145" t="str">
        <x:v>6.8210 Spring 2024 Lecture 8: Computing Lyapunov Functions I</x:v>
      </x:c>
      <x:c r="H637" s="145" t="str">
        <x:v>Russ Tedrake</x:v>
      </x:c>
      <x:c r="I637" s="145" t="str">
        <x:v>underactuated</x:v>
      </x:c>
      <x:c r="J637" s="145" t="str">
        <x:v>Course Lecture</x:v>
      </x:c>
      <x:c r="K637" s="147" t="n">
        <x:v>84</x:v>
      </x:c>
      <x:c r="L637" s="144" t="str">
        <x:v>https://www.youtube.com/watch?v=ywFpp1dy0zQ</x:v>
      </x:c>
      <x:c r="M637" s="144" t="str">
        <x:v>YouTube</x:v>
      </x:c>
      <x:c r="N637" s="149" t="n">
        <x:v>3177</x:v>
      </x:c>
      <x:c r="O637" s="144" t="str">
        <x:v>A | Official / Original Creator / Organizer</x:v>
      </x:c>
      <x:c r="P637" s="144" t="str">
        <x:v>Recommended</x:v>
      </x:c>
      <x:c r="Q637" s="144" t="str">
        <x:v>Verified</x:v>
      </x:c>
      <x:c r="R637" s="146" t="n">
        <x:v>46249</x:v>
      </x:c>
      <x:c r="S637" s="144" t="str">
        <x:v>Added from an official university, research institution, conference, or original creator source; public YouTube metadata verified.</x:v>
      </x:c>
      <x:c r="T637" s="144" t="str">
        <x:v>ywFpp1dy0zQ</x:v>
      </x:c>
      <x:c r="U637" s="144" t="str">
        <x:v>MIT 6.8210: Underactuated Robotics — Spring 2024</x:v>
      </x:c>
      <x:c r="V637" s="147" t="n">
        <x:v>8</x:v>
      </x:c>
      <x:c r="W637" s="144" t="str">
        <x:v>mit-6-8210-underactuated-robotics-spring-2024</x:v>
      </x:c>
    </x:row>
    <x:row r="638" ht="42" customHeight="1">
      <x:c r="A638" s="144" t="str">
        <x:v>ST-637</x:v>
      </x:c>
      <x:c r="B638" s="144" t="str">
        <x:v>Course</x:v>
      </x:c>
      <x:c r="C638" s="144" t="str">
        <x:v>Robotics</x:v>
      </x:c>
      <x:c r="D638" s="145" t="str">
        <x:v>Robotics</x:v>
      </x:c>
      <x:c r="E638" s="145" t="str">
        <x:v>Robotics; Control; Dynamics; Motion Planning; Robot Learning</x:v>
      </x:c>
      <x:c r="F638" s="145" t="str">
        <x:v>English</x:v>
      </x:c>
      <x:c r="G638" s="145" t="str">
        <x:v>6.8210 Spring 2024 Lecture 9: Computing Lyapunov Functions II</x:v>
      </x:c>
      <x:c r="H638" s="145" t="str">
        <x:v>Russ Tedrake</x:v>
      </x:c>
      <x:c r="I638" s="145" t="str">
        <x:v>underactuated</x:v>
      </x:c>
      <x:c r="J638" s="145" t="str">
        <x:v>Course Lecture</x:v>
      </x:c>
      <x:c r="K638" s="147" t="n">
        <x:v>81</x:v>
      </x:c>
      <x:c r="L638" s="144" t="str">
        <x:v>https://www.youtube.com/watch?v=e1BXMe64xJ8</x:v>
      </x:c>
      <x:c r="M638" s="144" t="str">
        <x:v>YouTube</x:v>
      </x:c>
      <x:c r="N638" s="149" t="n">
        <x:v>2229</x:v>
      </x:c>
      <x:c r="O638" s="144" t="str">
        <x:v>A | Official / Original Creator / Organizer</x:v>
      </x:c>
      <x:c r="P638" s="144" t="str">
        <x:v>Recommended</x:v>
      </x:c>
      <x:c r="Q638" s="144" t="str">
        <x:v>Verified</x:v>
      </x:c>
      <x:c r="R638" s="146" t="n">
        <x:v>46249</x:v>
      </x:c>
      <x:c r="S638" s="144" t="str">
        <x:v>Added from an official university, research institution, conference, or original creator source; public YouTube metadata verified.</x:v>
      </x:c>
      <x:c r="T638" s="144" t="str">
        <x:v>e1BXMe64xJ8</x:v>
      </x:c>
      <x:c r="U638" s="144" t="str">
        <x:v>MIT 6.8210: Underactuated Robotics — Spring 2024</x:v>
      </x:c>
      <x:c r="V638" s="147" t="n">
        <x:v>9</x:v>
      </x:c>
      <x:c r="W638" s="144" t="str">
        <x:v>mit-6-8210-underactuated-robotics-spring-2024</x:v>
      </x:c>
    </x:row>
    <x:row r="639" ht="42" customHeight="1">
      <x:c r="A639" s="144" t="str">
        <x:v>ST-638</x:v>
      </x:c>
      <x:c r="B639" s="144" t="str">
        <x:v>Course</x:v>
      </x:c>
      <x:c r="C639" s="144" t="str">
        <x:v>Robotics</x:v>
      </x:c>
      <x:c r="D639" s="145" t="str">
        <x:v>Robotics</x:v>
      </x:c>
      <x:c r="E639" s="145" t="str">
        <x:v>Robotics; Control; Dynamics; Motion Planning; Robot Learning</x:v>
      </x:c>
      <x:c r="F639" s="145" t="str">
        <x:v>English</x:v>
      </x:c>
      <x:c r="G639" s="145" t="str">
        <x:v>6.8210 Spring 2024 Lecture 10: Trajectory Optimization I</x:v>
      </x:c>
      <x:c r="H639" s="145" t="str">
        <x:v>Russ Tedrake</x:v>
      </x:c>
      <x:c r="I639" s="145" t="str">
        <x:v>underactuated</x:v>
      </x:c>
      <x:c r="J639" s="145" t="str">
        <x:v>Course Lecture</x:v>
      </x:c>
      <x:c r="K639" s="147" t="n">
        <x:v>79</x:v>
      </x:c>
      <x:c r="L639" s="144" t="str">
        <x:v>https://www.youtube.com/watch?v=wND0k16gCdk</x:v>
      </x:c>
      <x:c r="M639" s="144" t="str">
        <x:v>YouTube</x:v>
      </x:c>
      <x:c r="N639" s="149" t="n">
        <x:v>6731</x:v>
      </x:c>
      <x:c r="O639" s="144" t="str">
        <x:v>A | Official / Original Creator / Organizer</x:v>
      </x:c>
      <x:c r="P639" s="144" t="str">
        <x:v>Recommended</x:v>
      </x:c>
      <x:c r="Q639" s="144" t="str">
        <x:v>Verified</x:v>
      </x:c>
      <x:c r="R639" s="146" t="n">
        <x:v>46249</x:v>
      </x:c>
      <x:c r="S639" s="144" t="str">
        <x:v>Added from an official university, research institution, conference, or original creator source; public YouTube metadata verified.</x:v>
      </x:c>
      <x:c r="T639" s="144" t="str">
        <x:v>wND0k16gCdk</x:v>
      </x:c>
      <x:c r="U639" s="144" t="str">
        <x:v>MIT 6.8210: Underactuated Robotics — Spring 2024</x:v>
      </x:c>
      <x:c r="V639" s="147" t="n">
        <x:v>10</x:v>
      </x:c>
      <x:c r="W639" s="144" t="str">
        <x:v>mit-6-8210-underactuated-robotics-spring-2024</x:v>
      </x:c>
    </x:row>
    <x:row r="640" ht="42" customHeight="1">
      <x:c r="A640" s="144" t="str">
        <x:v>ST-639</x:v>
      </x:c>
      <x:c r="B640" s="144" t="str">
        <x:v>Course</x:v>
      </x:c>
      <x:c r="C640" s="144" t="str">
        <x:v>Robotics</x:v>
      </x:c>
      <x:c r="D640" s="145" t="str">
        <x:v>Robotics</x:v>
      </x:c>
      <x:c r="E640" s="145" t="str">
        <x:v>Robotics; Control; Dynamics; Motion Planning; Robot Learning</x:v>
      </x:c>
      <x:c r="F640" s="145" t="str">
        <x:v>English</x:v>
      </x:c>
      <x:c r="G640" s="145" t="str">
        <x:v>6.8210 Spring 2024 Lecture 11: Trajectory Optimization II</x:v>
      </x:c>
      <x:c r="H640" s="145" t="str">
        <x:v>Russ Tedrake</x:v>
      </x:c>
      <x:c r="I640" s="145" t="str">
        <x:v>underactuated</x:v>
      </x:c>
      <x:c r="J640" s="145" t="str">
        <x:v>Course Lecture</x:v>
      </x:c>
      <x:c r="K640" s="147" t="n">
        <x:v>83</x:v>
      </x:c>
      <x:c r="L640" s="144" t="str">
        <x:v>https://www.youtube.com/watch?v=IQlwn9wLnJs</x:v>
      </x:c>
      <x:c r="M640" s="144" t="str">
        <x:v>YouTube</x:v>
      </x:c>
      <x:c r="N640" s="149" t="n">
        <x:v>2811</x:v>
      </x:c>
      <x:c r="O640" s="144" t="str">
        <x:v>A | Official / Original Creator / Organizer</x:v>
      </x:c>
      <x:c r="P640" s="144" t="str">
        <x:v>Recommended</x:v>
      </x:c>
      <x:c r="Q640" s="144" t="str">
        <x:v>Verified</x:v>
      </x:c>
      <x:c r="R640" s="146" t="n">
        <x:v>46249</x:v>
      </x:c>
      <x:c r="S640" s="144" t="str">
        <x:v>Added from an official university, research institution, conference, or original creator source; public YouTube metadata verified.</x:v>
      </x:c>
      <x:c r="T640" s="144" t="str">
        <x:v>IQlwn9wLnJs</x:v>
      </x:c>
      <x:c r="U640" s="144" t="str">
        <x:v>MIT 6.8210: Underactuated Robotics — Spring 2024</x:v>
      </x:c>
      <x:c r="V640" s="147" t="n">
        <x:v>11</x:v>
      </x:c>
      <x:c r="W640" s="144" t="str">
        <x:v>mit-6-8210-underactuated-robotics-spring-2024</x:v>
      </x:c>
    </x:row>
    <x:row r="641" ht="42" customHeight="1">
      <x:c r="A641" s="144" t="str">
        <x:v>ST-640</x:v>
      </x:c>
      <x:c r="B641" s="144" t="str">
        <x:v>Course</x:v>
      </x:c>
      <x:c r="C641" s="144" t="str">
        <x:v>Robotics</x:v>
      </x:c>
      <x:c r="D641" s="145" t="str">
        <x:v>Robotics</x:v>
      </x:c>
      <x:c r="E641" s="145" t="str">
        <x:v>Robotics; Control; Dynamics; Motion Planning; Robot Learning</x:v>
      </x:c>
      <x:c r="F641" s="145" t="str">
        <x:v>English</x:v>
      </x:c>
      <x:c r="G641" s="145" t="str">
        <x:v>6.8210 Spring 2024 Lecture 12: Trajectory Stabilization</x:v>
      </x:c>
      <x:c r="H641" s="145" t="str">
        <x:v>Russ Tedrake</x:v>
      </x:c>
      <x:c r="I641" s="145" t="str">
        <x:v>underactuated</x:v>
      </x:c>
      <x:c r="J641" s="145" t="str">
        <x:v>Course Lecture</x:v>
      </x:c>
      <x:c r="K641" s="147" t="n">
        <x:v>78</x:v>
      </x:c>
      <x:c r="L641" s="144" t="str">
        <x:v>https://www.youtube.com/watch?v=j0Phrs3ATK0</x:v>
      </x:c>
      <x:c r="M641" s="144" t="str">
        <x:v>YouTube</x:v>
      </x:c>
      <x:c r="N641" s="149" t="n">
        <x:v>2335</x:v>
      </x:c>
      <x:c r="O641" s="144" t="str">
        <x:v>A | Official / Original Creator / Organizer</x:v>
      </x:c>
      <x:c r="P641" s="144" t="str">
        <x:v>Recommended</x:v>
      </x:c>
      <x:c r="Q641" s="144" t="str">
        <x:v>Verified</x:v>
      </x:c>
      <x:c r="R641" s="146" t="n">
        <x:v>46249</x:v>
      </x:c>
      <x:c r="S641" s="144" t="str">
        <x:v>Added from an official university, research institution, conference, or original creator source; public YouTube metadata verified.</x:v>
      </x:c>
      <x:c r="T641" s="144" t="str">
        <x:v>j0Phrs3ATK0</x:v>
      </x:c>
      <x:c r="U641" s="144" t="str">
        <x:v>MIT 6.8210: Underactuated Robotics — Spring 2024</x:v>
      </x:c>
      <x:c r="V641" s="147" t="n">
        <x:v>12</x:v>
      </x:c>
      <x:c r="W641" s="144" t="str">
        <x:v>mit-6-8210-underactuated-robotics-spring-2024</x:v>
      </x:c>
    </x:row>
    <x:row r="642" ht="42" customHeight="1">
      <x:c r="A642" s="144" t="str">
        <x:v>ST-641</x:v>
      </x:c>
      <x:c r="B642" s="144" t="str">
        <x:v>Course</x:v>
      </x:c>
      <x:c r="C642" s="144" t="str">
        <x:v>Robotics</x:v>
      </x:c>
      <x:c r="D642" s="145" t="str">
        <x:v>Robotics</x:v>
      </x:c>
      <x:c r="E642" s="145" t="str">
        <x:v>Robotics; Control; Dynamics; Motion Planning; Robot Learning</x:v>
      </x:c>
      <x:c r="F642" s="145" t="str">
        <x:v>English</x:v>
      </x:c>
      <x:c r="G642" s="145" t="str">
        <x:v>Lecture 15: MIT 6.832 Underactuated Robotics (Spring 2022) | "Simple Models of Walking"</x:v>
      </x:c>
      <x:c r="H642" s="145" t="str">
        <x:v>Russ Tedrake</x:v>
      </x:c>
      <x:c r="I642" s="145" t="str">
        <x:v>underactuated</x:v>
      </x:c>
      <x:c r="J642" s="145" t="str">
        <x:v>Course Lecture</x:v>
      </x:c>
      <x:c r="K642" s="147" t="n">
        <x:v>70</x:v>
      </x:c>
      <x:c r="L642" s="144" t="str">
        <x:v>https://www.youtube.com/watch?v=N37FMfOioK0</x:v>
      </x:c>
      <x:c r="M642" s="144" t="str">
        <x:v>YouTube</x:v>
      </x:c>
      <x:c r="N642" s="149" t="n">
        <x:v>4464</x:v>
      </x:c>
      <x:c r="O642" s="144" t="str">
        <x:v>A | Official / Original Creator / Organizer</x:v>
      </x:c>
      <x:c r="P642" s="144" t="str">
        <x:v>Recommended</x:v>
      </x:c>
      <x:c r="Q642" s="144" t="str">
        <x:v>Verified</x:v>
      </x:c>
      <x:c r="R642" s="146" t="n">
        <x:v>46249</x:v>
      </x:c>
      <x:c r="S642" s="144" t="str">
        <x:v>Added from an official university, research institution, conference, or original creator source; public YouTube metadata verified.</x:v>
      </x:c>
      <x:c r="T642" s="144" t="str">
        <x:v>N37FMfOioK0</x:v>
      </x:c>
      <x:c r="U642" s="144" t="str">
        <x:v>MIT 6.8210: Underactuated Robotics — Spring 2024</x:v>
      </x:c>
      <x:c r="V642" s="147" t="n">
        <x:v>13</x:v>
      </x:c>
      <x:c r="W642" s="144" t="str">
        <x:v>mit-6-8210-underactuated-robotics-spring-2024</x:v>
      </x:c>
    </x:row>
    <x:row r="643" ht="42" customHeight="1">
      <x:c r="A643" s="144" t="str">
        <x:v>ST-642</x:v>
      </x:c>
      <x:c r="B643" s="144" t="str">
        <x:v>Course</x:v>
      </x:c>
      <x:c r="C643" s="144" t="str">
        <x:v>Robotics</x:v>
      </x:c>
      <x:c r="D643" s="145" t="str">
        <x:v>Robotics</x:v>
      </x:c>
      <x:c r="E643" s="145" t="str">
        <x:v>Robotics; Control; Dynamics; Motion Planning; Robot Learning</x:v>
      </x:c>
      <x:c r="F643" s="145" t="str">
        <x:v>English</x:v>
      </x:c>
      <x:c r="G643" s="145" t="str">
        <x:v>6.8210 Spring 2024 Lecture 14: Hybrid Trajectory Optimization</x:v>
      </x:c>
      <x:c r="H643" s="145" t="str">
        <x:v>Russ Tedrake</x:v>
      </x:c>
      <x:c r="I643" s="145" t="str">
        <x:v>underactuated</x:v>
      </x:c>
      <x:c r="J643" s="145" t="str">
        <x:v>Course Lecture</x:v>
      </x:c>
      <x:c r="K643" s="147" t="n">
        <x:v>80</x:v>
      </x:c>
      <x:c r="L643" s="144" t="str">
        <x:v>https://www.youtube.com/watch?v=P64JhXLsjwY</x:v>
      </x:c>
      <x:c r="M643" s="144" t="str">
        <x:v>YouTube</x:v>
      </x:c>
      <x:c r="N643" s="149" t="n">
        <x:v>1965</x:v>
      </x:c>
      <x:c r="O643" s="144" t="str">
        <x:v>A | Official / Original Creator / Organizer</x:v>
      </x:c>
      <x:c r="P643" s="144" t="str">
        <x:v>Recommended</x:v>
      </x:c>
      <x:c r="Q643" s="144" t="str">
        <x:v>Verified</x:v>
      </x:c>
      <x:c r="R643" s="146" t="n">
        <x:v>46249</x:v>
      </x:c>
      <x:c r="S643" s="144" t="str">
        <x:v>Added from an official university, research institution, conference, or original creator source; public YouTube metadata verified.</x:v>
      </x:c>
      <x:c r="T643" s="144" t="str">
        <x:v>P64JhXLsjwY</x:v>
      </x:c>
      <x:c r="U643" s="144" t="str">
        <x:v>MIT 6.8210: Underactuated Robotics — Spring 2024</x:v>
      </x:c>
      <x:c r="V643" s="147" t="n">
        <x:v>14</x:v>
      </x:c>
      <x:c r="W643" s="144" t="str">
        <x:v>mit-6-8210-underactuated-robotics-spring-2024</x:v>
      </x:c>
    </x:row>
    <x:row r="644" ht="42" customHeight="1">
      <x:c r="A644" s="144" t="str">
        <x:v>ST-643</x:v>
      </x:c>
      <x:c r="B644" s="144" t="str">
        <x:v>Course</x:v>
      </x:c>
      <x:c r="C644" s="144" t="str">
        <x:v>Robotics</x:v>
      </x:c>
      <x:c r="D644" s="145" t="str">
        <x:v>Robotics</x:v>
      </x:c>
      <x:c r="E644" s="145" t="str">
        <x:v>Robotics; Control; Dynamics; Motion Planning; Robot Learning</x:v>
      </x:c>
      <x:c r="F644" s="145" t="str">
        <x:v>English</x:v>
      </x:c>
      <x:c r="G644" s="145" t="str">
        <x:v>6.8210 Spring 2024 Lecture 15: Planning + Control Through Contact</x:v>
      </x:c>
      <x:c r="H644" s="145" t="str">
        <x:v>Russ Tedrake</x:v>
      </x:c>
      <x:c r="I644" s="145" t="str">
        <x:v>underactuated</x:v>
      </x:c>
      <x:c r="J644" s="145" t="str">
        <x:v>Course Lecture</x:v>
      </x:c>
      <x:c r="K644" s="147" t="n">
        <x:v>77</x:v>
      </x:c>
      <x:c r="L644" s="144" t="str">
        <x:v>https://www.youtube.com/watch?v=LF6IkHSRtaY</x:v>
      </x:c>
      <x:c r="M644" s="144" t="str">
        <x:v>YouTube</x:v>
      </x:c>
      <x:c r="N644" s="149" t="n">
        <x:v>1915</x:v>
      </x:c>
      <x:c r="O644" s="144" t="str">
        <x:v>A | Official / Original Creator / Organizer</x:v>
      </x:c>
      <x:c r="P644" s="144" t="str">
        <x:v>Recommended</x:v>
      </x:c>
      <x:c r="Q644" s="144" t="str">
        <x:v>Verified</x:v>
      </x:c>
      <x:c r="R644" s="146" t="n">
        <x:v>46249</x:v>
      </x:c>
      <x:c r="S644" s="144" t="str">
        <x:v>Added from an official university, research institution, conference, or original creator source; public YouTube metadata verified.</x:v>
      </x:c>
      <x:c r="T644" s="144" t="str">
        <x:v>LF6IkHSRtaY</x:v>
      </x:c>
      <x:c r="U644" s="144" t="str">
        <x:v>MIT 6.8210: Underactuated Robotics — Spring 2024</x:v>
      </x:c>
      <x:c r="V644" s="147" t="n">
        <x:v>15</x:v>
      </x:c>
      <x:c r="W644" s="144" t="str">
        <x:v>mit-6-8210-underactuated-robotics-spring-2024</x:v>
      </x:c>
    </x:row>
    <x:row r="645" ht="42" customHeight="1">
      <x:c r="A645" s="144" t="str">
        <x:v>ST-644</x:v>
      </x:c>
      <x:c r="B645" s="144" t="str">
        <x:v>Course</x:v>
      </x:c>
      <x:c r="C645" s="144" t="str">
        <x:v>Robotics</x:v>
      </x:c>
      <x:c r="D645" s="145" t="str">
        <x:v>Robotics</x:v>
      </x:c>
      <x:c r="E645" s="145" t="str">
        <x:v>Robotics; Control; Dynamics; Motion Planning; Robot Learning</x:v>
      </x:c>
      <x:c r="F645" s="145" t="str">
        <x:v>English</x:v>
      </x:c>
      <x:c r="G645" s="145" t="str">
        <x:v>6.8210 Spring 2024 Lecture 17: Mixed-discrete (combinatorial) and continuous optimization</x:v>
      </x:c>
      <x:c r="H645" s="145" t="str">
        <x:v>Russ Tedrake</x:v>
      </x:c>
      <x:c r="I645" s="145" t="str">
        <x:v>underactuated</x:v>
      </x:c>
      <x:c r="J645" s="145" t="str">
        <x:v>Course Lecture</x:v>
      </x:c>
      <x:c r="K645" s="147" t="n">
        <x:v>81</x:v>
      </x:c>
      <x:c r="L645" s="144" t="str">
        <x:v>https://www.youtube.com/watch?v=mqyAs9CKVGw</x:v>
      </x:c>
      <x:c r="M645" s="144" t="str">
        <x:v>YouTube</x:v>
      </x:c>
      <x:c r="N645" s="149" t="n">
        <x:v>1610</x:v>
      </x:c>
      <x:c r="O645" s="144" t="str">
        <x:v>A | Official / Original Creator / Organizer</x:v>
      </x:c>
      <x:c r="P645" s="144" t="str">
        <x:v>Recommended</x:v>
      </x:c>
      <x:c r="Q645" s="144" t="str">
        <x:v>Verified</x:v>
      </x:c>
      <x:c r="R645" s="146" t="n">
        <x:v>46249</x:v>
      </x:c>
      <x:c r="S645" s="144" t="str">
        <x:v>Added from an official university, research institution, conference, or original creator source; public YouTube metadata verified.</x:v>
      </x:c>
      <x:c r="T645" s="144" t="str">
        <x:v>mqyAs9CKVGw</x:v>
      </x:c>
      <x:c r="U645" s="144" t="str">
        <x:v>MIT 6.8210: Underactuated Robotics — Spring 2024</x:v>
      </x:c>
      <x:c r="V645" s="147" t="n">
        <x:v>17</x:v>
      </x:c>
      <x:c r="W645" s="144" t="str">
        <x:v>mit-6-8210-underactuated-robotics-spring-2024</x:v>
      </x:c>
    </x:row>
    <x:row r="646" ht="42" customHeight="1">
      <x:c r="A646" s="144" t="str">
        <x:v>ST-645</x:v>
      </x:c>
      <x:c r="B646" s="144" t="str">
        <x:v>Course</x:v>
      </x:c>
      <x:c r="C646" s="144" t="str">
        <x:v>Robotics</x:v>
      </x:c>
      <x:c r="D646" s="145" t="str">
        <x:v>Robotics</x:v>
      </x:c>
      <x:c r="E646" s="145" t="str">
        <x:v>Robotics; Control; Dynamics; Motion Planning; Robot Learning</x:v>
      </x:c>
      <x:c r="F646" s="145" t="str">
        <x:v>English</x:v>
      </x:c>
      <x:c r="G646" s="145" t="str">
        <x:v>6.8210 Spring 2024 Lecture 18: Sampling-based (kinodynamic) motion planning</x:v>
      </x:c>
      <x:c r="H646" s="145" t="str">
        <x:v>Russ Tedrake</x:v>
      </x:c>
      <x:c r="I646" s="145" t="str">
        <x:v>underactuated</x:v>
      </x:c>
      <x:c r="J646" s="145" t="str">
        <x:v>Course Lecture</x:v>
      </x:c>
      <x:c r="K646" s="147" t="n">
        <x:v>81</x:v>
      </x:c>
      <x:c r="L646" s="144" t="str">
        <x:v>https://www.youtube.com/watch?v=ChiQgvVvgKM</x:v>
      </x:c>
      <x:c r="M646" s="144" t="str">
        <x:v>YouTube</x:v>
      </x:c>
      <x:c r="N646" s="149" t="n">
        <x:v>1946</x:v>
      </x:c>
      <x:c r="O646" s="144" t="str">
        <x:v>A | Official / Original Creator / Organizer</x:v>
      </x:c>
      <x:c r="P646" s="144" t="str">
        <x:v>Recommended</x:v>
      </x:c>
      <x:c r="Q646" s="144" t="str">
        <x:v>Verified</x:v>
      </x:c>
      <x:c r="R646" s="146" t="n">
        <x:v>46249</x:v>
      </x:c>
      <x:c r="S646" s="144" t="str">
        <x:v>Added from an official university, research institution, conference, or original creator source; public YouTube metadata verified.</x:v>
      </x:c>
      <x:c r="T646" s="144" t="str">
        <x:v>ChiQgvVvgKM</x:v>
      </x:c>
      <x:c r="U646" s="144" t="str">
        <x:v>MIT 6.8210: Underactuated Robotics — Spring 2024</x:v>
      </x:c>
      <x:c r="V646" s="147" t="n">
        <x:v>18</x:v>
      </x:c>
      <x:c r="W646" s="144" t="str">
        <x:v>mit-6-8210-underactuated-robotics-spring-2024</x:v>
      </x:c>
    </x:row>
    <x:row r="647" ht="42" customHeight="1">
      <x:c r="A647" s="144" t="str">
        <x:v>ST-646</x:v>
      </x:c>
      <x:c r="B647" s="144" t="str">
        <x:v>Course</x:v>
      </x:c>
      <x:c r="C647" s="144" t="str">
        <x:v>Robotics</x:v>
      </x:c>
      <x:c r="D647" s="145" t="str">
        <x:v>Robotics</x:v>
      </x:c>
      <x:c r="E647" s="145" t="str">
        <x:v>Robotics; Control; Dynamics; Motion Planning; Robot Learning</x:v>
      </x:c>
      <x:c r="F647" s="145" t="str">
        <x:v>English</x:v>
      </x:c>
      <x:c r="G647" s="145" t="str">
        <x:v>6.8210 Spring 2024 Lecture 19: Stochastic dynamics</x:v>
      </x:c>
      <x:c r="H647" s="145" t="str">
        <x:v>Russ Tedrake</x:v>
      </x:c>
      <x:c r="I647" s="145" t="str">
        <x:v>underactuated</x:v>
      </x:c>
      <x:c r="J647" s="145" t="str">
        <x:v>Course Lecture</x:v>
      </x:c>
      <x:c r="K647" s="147" t="n">
        <x:v>79</x:v>
      </x:c>
      <x:c r="L647" s="144" t="str">
        <x:v>https://www.youtube.com/watch?v=Nj8FvDZ4d9I</x:v>
      </x:c>
      <x:c r="M647" s="144" t="str">
        <x:v>YouTube</x:v>
      </x:c>
      <x:c r="N647" s="149" t="n">
        <x:v>2759</x:v>
      </x:c>
      <x:c r="O647" s="144" t="str">
        <x:v>A | Official / Original Creator / Organizer</x:v>
      </x:c>
      <x:c r="P647" s="144" t="str">
        <x:v>Recommended</x:v>
      </x:c>
      <x:c r="Q647" s="144" t="str">
        <x:v>Verified</x:v>
      </x:c>
      <x:c r="R647" s="146" t="n">
        <x:v>46249</x:v>
      </x:c>
      <x:c r="S647" s="144" t="str">
        <x:v>Added from an official university, research institution, conference, or original creator source; public YouTube metadata verified.</x:v>
      </x:c>
      <x:c r="T647" s="144" t="str">
        <x:v>Nj8FvDZ4d9I</x:v>
      </x:c>
      <x:c r="U647" s="144" t="str">
        <x:v>MIT 6.8210: Underactuated Robotics — Spring 2024</x:v>
      </x:c>
      <x:c r="V647" s="147" t="n">
        <x:v>19</x:v>
      </x:c>
      <x:c r="W647" s="144" t="str">
        <x:v>mit-6-8210-underactuated-robotics-spring-2024</x:v>
      </x:c>
    </x:row>
    <x:row r="648" ht="42" customHeight="1">
      <x:c r="A648" s="144" t="str">
        <x:v>ST-647</x:v>
      </x:c>
      <x:c r="B648" s="144" t="str">
        <x:v>Course</x:v>
      </x:c>
      <x:c r="C648" s="144" t="str">
        <x:v>Robotics</x:v>
      </x:c>
      <x:c r="D648" s="145" t="str">
        <x:v>Robotics</x:v>
      </x:c>
      <x:c r="E648" s="145" t="str">
        <x:v>Robotics; Control; Dynamics; Motion Planning; Robot Learning</x:v>
      </x:c>
      <x:c r="F648" s="145" t="str">
        <x:v>English</x:v>
      </x:c>
      <x:c r="G648" s="145" t="str">
        <x:v>6.8210 Spring 2024 Lecture 20: Stochastic Control</x:v>
      </x:c>
      <x:c r="H648" s="145" t="str">
        <x:v>Russ Tedrake</x:v>
      </x:c>
      <x:c r="I648" s="145" t="str">
        <x:v>underactuated</x:v>
      </x:c>
      <x:c r="J648" s="145" t="str">
        <x:v>Course Lecture</x:v>
      </x:c>
      <x:c r="K648" s="147" t="n">
        <x:v>79</x:v>
      </x:c>
      <x:c r="L648" s="144" t="str">
        <x:v>https://www.youtube.com/watch?v=QYDsB0qs_x8</x:v>
      </x:c>
      <x:c r="M648" s="144" t="str">
        <x:v>YouTube</x:v>
      </x:c>
      <x:c r="N648" s="149" t="n">
        <x:v>1808</x:v>
      </x:c>
      <x:c r="O648" s="144" t="str">
        <x:v>A | Official / Original Creator / Organizer</x:v>
      </x:c>
      <x:c r="P648" s="144" t="str">
        <x:v>Recommended</x:v>
      </x:c>
      <x:c r="Q648" s="144" t="str">
        <x:v>Verified</x:v>
      </x:c>
      <x:c r="R648" s="146" t="n">
        <x:v>46249</x:v>
      </x:c>
      <x:c r="S648" s="144" t="str">
        <x:v>Added from an official university, research institution, conference, or original creator source; public YouTube metadata verified.</x:v>
      </x:c>
      <x:c r="T648" s="144" t="str">
        <x:v>QYDsB0qs_x8</x:v>
      </x:c>
      <x:c r="U648" s="144" t="str">
        <x:v>MIT 6.8210: Underactuated Robotics — Spring 2024</x:v>
      </x:c>
      <x:c r="V648" s="147" t="n">
        <x:v>20</x:v>
      </x:c>
      <x:c r="W648" s="144" t="str">
        <x:v>mit-6-8210-underactuated-robotics-spring-2024</x:v>
      </x:c>
    </x:row>
    <x:row r="649" ht="42" customHeight="1">
      <x:c r="A649" s="144" t="str">
        <x:v>ST-648</x:v>
      </x:c>
      <x:c r="B649" s="144" t="str">
        <x:v>Course</x:v>
      </x:c>
      <x:c r="C649" s="144" t="str">
        <x:v>Robotics</x:v>
      </x:c>
      <x:c r="D649" s="145" t="str">
        <x:v>Robotics</x:v>
      </x:c>
      <x:c r="E649" s="145" t="str">
        <x:v>Robotics; Control; Dynamics; Motion Planning; Robot Learning</x:v>
      </x:c>
      <x:c r="F649" s="145" t="str">
        <x:v>English</x:v>
      </x:c>
      <x:c r="G649" s="145" t="str">
        <x:v>6.8210 Spring 2024 Lecture 21: Robust Control &amp; Policy Search</x:v>
      </x:c>
      <x:c r="H649" s="145" t="str">
        <x:v>Russ Tedrake</x:v>
      </x:c>
      <x:c r="I649" s="145" t="str">
        <x:v>underactuated</x:v>
      </x:c>
      <x:c r="J649" s="145" t="str">
        <x:v>Course Lecture</x:v>
      </x:c>
      <x:c r="K649" s="147" t="n">
        <x:v>77</x:v>
      </x:c>
      <x:c r="L649" s="144" t="str">
        <x:v>https://www.youtube.com/watch?v=eEOmmpA1GAw</x:v>
      </x:c>
      <x:c r="M649" s="144" t="str">
        <x:v>YouTube</x:v>
      </x:c>
      <x:c r="N649" s="149" t="n">
        <x:v>1460</x:v>
      </x:c>
      <x:c r="O649" s="144" t="str">
        <x:v>A | Official / Original Creator / Organizer</x:v>
      </x:c>
      <x:c r="P649" s="144" t="str">
        <x:v>Recommended</x:v>
      </x:c>
      <x:c r="Q649" s="144" t="str">
        <x:v>Verified</x:v>
      </x:c>
      <x:c r="R649" s="146" t="n">
        <x:v>46249</x:v>
      </x:c>
      <x:c r="S649" s="144" t="str">
        <x:v>Added from an official university, research institution, conference, or original creator source; public YouTube metadata verified.</x:v>
      </x:c>
      <x:c r="T649" s="144" t="str">
        <x:v>eEOmmpA1GAw</x:v>
      </x:c>
      <x:c r="U649" s="144" t="str">
        <x:v>MIT 6.8210: Underactuated Robotics — Spring 2024</x:v>
      </x:c>
      <x:c r="V649" s="147" t="n">
        <x:v>21</x:v>
      </x:c>
      <x:c r="W649" s="144" t="str">
        <x:v>mit-6-8210-underactuated-robotics-spring-2024</x:v>
      </x:c>
    </x:row>
    <x:row r="650" ht="42" customHeight="1">
      <x:c r="A650" s="144" t="str">
        <x:v>ST-649</x:v>
      </x:c>
      <x:c r="B650" s="144" t="str">
        <x:v>Course</x:v>
      </x:c>
      <x:c r="C650" s="144" t="str">
        <x:v>Robotics</x:v>
      </x:c>
      <x:c r="D650" s="145" t="str">
        <x:v>Robotics</x:v>
      </x:c>
      <x:c r="E650" s="145" t="str">
        <x:v>Robotics; Control; Dynamics; Motion Planning; Robot Learning</x:v>
      </x:c>
      <x:c r="F650" s="145" t="str">
        <x:v>English</x:v>
      </x:c>
      <x:c r="G650" s="145" t="str">
        <x:v>6.8210 Spring 2024 Lecture 22: Output feedback</x:v>
      </x:c>
      <x:c r="H650" s="145" t="str">
        <x:v>Russ Tedrake</x:v>
      </x:c>
      <x:c r="I650" s="145" t="str">
        <x:v>underactuated</x:v>
      </x:c>
      <x:c r="J650" s="145" t="str">
        <x:v>Course Lecture</x:v>
      </x:c>
      <x:c r="K650" s="147" t="n">
        <x:v>71</x:v>
      </x:c>
      <x:c r="L650" s="144" t="str">
        <x:v>https://www.youtube.com/watch?v=QIDisUxobFk</x:v>
      </x:c>
      <x:c r="M650" s="144" t="str">
        <x:v>YouTube</x:v>
      </x:c>
      <x:c r="N650" s="149" t="n">
        <x:v>1090</x:v>
      </x:c>
      <x:c r="O650" s="144" t="str">
        <x:v>A | Official / Original Creator / Organizer</x:v>
      </x:c>
      <x:c r="P650" s="144" t="str">
        <x:v>Recommended</x:v>
      </x:c>
      <x:c r="Q650" s="144" t="str">
        <x:v>Verified</x:v>
      </x:c>
      <x:c r="R650" s="146" t="n">
        <x:v>46249</x:v>
      </x:c>
      <x:c r="S650" s="144" t="str">
        <x:v>Added from an official university, research institution, conference, or original creator source; public YouTube metadata verified.</x:v>
      </x:c>
      <x:c r="T650" s="144" t="str">
        <x:v>QIDisUxobFk</x:v>
      </x:c>
      <x:c r="U650" s="144" t="str">
        <x:v>MIT 6.8210: Underactuated Robotics — Spring 2024</x:v>
      </x:c>
      <x:c r="V650" s="147" t="n">
        <x:v>22</x:v>
      </x:c>
      <x:c r="W650" s="144" t="str">
        <x:v>mit-6-8210-underactuated-robotics-spring-2024</x:v>
      </x:c>
    </x:row>
    <x:row r="651" ht="42" customHeight="1">
      <x:c r="A651" s="144" t="str">
        <x:v>ST-650</x:v>
      </x:c>
      <x:c r="B651" s="144" t="str">
        <x:v>Course</x:v>
      </x:c>
      <x:c r="C651" s="144" t="str">
        <x:v>Robotics</x:v>
      </x:c>
      <x:c r="D651" s="145" t="str">
        <x:v>Robotics</x:v>
      </x:c>
      <x:c r="E651" s="145" t="str">
        <x:v>Robotics; Control; Dynamics; Motion Planning; Robot Learning</x:v>
      </x:c>
      <x:c r="F651" s="145" t="str">
        <x:v>English</x:v>
      </x:c>
      <x:c r="G651" s="145" t="str">
        <x:v>6.8210 Spring 2024 Lecture 23: Feedback motion planning</x:v>
      </x:c>
      <x:c r="H651" s="145" t="str">
        <x:v>Russ Tedrake</x:v>
      </x:c>
      <x:c r="I651" s="145" t="str">
        <x:v>underactuated</x:v>
      </x:c>
      <x:c r="J651" s="145" t="str">
        <x:v>Course Lecture</x:v>
      </x:c>
      <x:c r="K651" s="147" t="n">
        <x:v>78</x:v>
      </x:c>
      <x:c r="L651" s="144" t="str">
        <x:v>https://www.youtube.com/watch?v=5fYG1JLwBSc</x:v>
      </x:c>
      <x:c r="M651" s="144" t="str">
        <x:v>YouTube</x:v>
      </x:c>
      <x:c r="N651" s="149" t="n">
        <x:v>1599</x:v>
      </x:c>
      <x:c r="O651" s="144" t="str">
        <x:v>A | Official / Original Creator / Organizer</x:v>
      </x:c>
      <x:c r="P651" s="144" t="str">
        <x:v>Recommended</x:v>
      </x:c>
      <x:c r="Q651" s="144" t="str">
        <x:v>Verified</x:v>
      </x:c>
      <x:c r="R651" s="146" t="n">
        <x:v>46249</x:v>
      </x:c>
      <x:c r="S651" s="144" t="str">
        <x:v>Added from an official university, research institution, conference, or original creator source; public YouTube metadata verified.</x:v>
      </x:c>
      <x:c r="T651" s="144" t="str">
        <x:v>5fYG1JLwBSc</x:v>
      </x:c>
      <x:c r="U651" s="144" t="str">
        <x:v>MIT 6.8210: Underactuated Robotics — Spring 2024</x:v>
      </x:c>
      <x:c r="V651" s="147" t="n">
        <x:v>23</x:v>
      </x:c>
      <x:c r="W651" s="144" t="str">
        <x:v>mit-6-8210-underactuated-robotics-spring-2024</x:v>
      </x:c>
    </x:row>
    <x:row r="652" ht="42" customHeight="1">
      <x:c r="A652" s="144" t="str">
        <x:v>ST-651</x:v>
      </x:c>
      <x:c r="B652" s="144" t="str">
        <x:v>Course</x:v>
      </x:c>
      <x:c r="C652" s="144" t="str">
        <x:v>Robotics</x:v>
      </x:c>
      <x:c r="D652" s="145" t="str">
        <x:v>Robotics</x:v>
      </x:c>
      <x:c r="E652" s="145" t="str">
        <x:v>Robotics; Control; Dynamics; Motion Planning; Robot Learning</x:v>
      </x:c>
      <x:c r="F652" s="145" t="str">
        <x:v>English</x:v>
      </x:c>
      <x:c r="G652" s="145" t="str">
        <x:v>6.8210 Spring 2024 Lecture 24: Imitation learning / Foundation models / Course wrap-up</x:v>
      </x:c>
      <x:c r="H652" s="145" t="str">
        <x:v>Russ Tedrake</x:v>
      </x:c>
      <x:c r="I652" s="145" t="str">
        <x:v>underactuated</x:v>
      </x:c>
      <x:c r="J652" s="145" t="str">
        <x:v>Course Lecture</x:v>
      </x:c>
      <x:c r="K652" s="147" t="n">
        <x:v>82</x:v>
      </x:c>
      <x:c r="L652" s="144" t="str">
        <x:v>https://www.youtube.com/watch?v=ww1flzLixHo</x:v>
      </x:c>
      <x:c r="M652" s="144" t="str">
        <x:v>YouTube</x:v>
      </x:c>
      <x:c r="N652" s="149" t="n">
        <x:v>4475</x:v>
      </x:c>
      <x:c r="O652" s="144" t="str">
        <x:v>A | Official / Original Creator / Organizer</x:v>
      </x:c>
      <x:c r="P652" s="144" t="str">
        <x:v>Recommended</x:v>
      </x:c>
      <x:c r="Q652" s="144" t="str">
        <x:v>Verified</x:v>
      </x:c>
      <x:c r="R652" s="146" t="n">
        <x:v>46249</x:v>
      </x:c>
      <x:c r="S652" s="144" t="str">
        <x:v>Added from an official university, research institution, conference, or original creator source; public YouTube metadata verified.</x:v>
      </x:c>
      <x:c r="T652" s="144" t="str">
        <x:v>ww1flzLixHo</x:v>
      </x:c>
      <x:c r="U652" s="144" t="str">
        <x:v>MIT 6.8210: Underactuated Robotics — Spring 2024</x:v>
      </x:c>
      <x:c r="V652" s="147" t="n">
        <x:v>24</x:v>
      </x:c>
      <x:c r="W652" s="144" t="str">
        <x:v>mit-6-8210-underactuated-robotics-spring-2024</x:v>
      </x:c>
    </x:row>
    <x:row r="653" ht="42" customHeight="1">
      <x:c r="A653" s="144" t="str">
        <x:v>ST-653</x:v>
      </x:c>
      <x:c r="B653" s="144" t="str">
        <x:v>Talk</x:v>
      </x:c>
      <x:c r="C653" s="144" t="str">
        <x:v>World Model</x:v>
      </x:c>
      <x:c r="D653" s="145" t="str">
        <x:v>World Models / Predictive Intelligence</x:v>
      </x:c>
      <x:c r="E653" s="145" t="str">
        <x:v>World Foundation Models; Physical AI; Video Generation; NVIDIA Cosmos</x:v>
      </x:c>
      <x:c r="F653" s="145" t="str">
        <x:v>English</x:v>
      </x:c>
      <x:c r="G653" s="145" t="str">
        <x:v>An Introduction to NVIDIA Cosmos World Foundational Models | NVIDIA GTC 2025</x:v>
      </x:c>
      <x:c r="H653" s="145" t="str">
        <x:v>NVIDIA Developer team</x:v>
      </x:c>
      <x:c r="I653" s="145" t="str">
        <x:v>NVIDIA Developer</x:v>
      </x:c>
      <x:c r="J653" s="145" t="str">
        <x:v>Technical Talk</x:v>
      </x:c>
      <x:c r="K653" s="147" t="n">
        <x:v>36</x:v>
      </x:c>
      <x:c r="L653" s="144" t="str">
        <x:v>https://www.youtube.com/watch?v=kChwwFb5gMU</x:v>
      </x:c>
      <x:c r="M653" s="144" t="str">
        <x:v>YouTube</x:v>
      </x:c>
      <x:c r="N653" s="149" t="n">
        <x:v>18787</x:v>
      </x:c>
      <x:c r="O653" s="144" t="str">
        <x:v>A | Official / Original Creator / Organizer</x:v>
      </x:c>
      <x:c r="P653" s="144" t="str">
        <x:v>Core</x:v>
      </x:c>
      <x:c r="Q653" s="144" t="str">
        <x:v>Verified</x:v>
      </x:c>
      <x:c r="R653" s="146" t="n">
        <x:v>46249</x:v>
      </x:c>
      <x:c r="S653" s="144" t="str">
        <x:v>Added from an official university, research institution, conference, or original creator source; public YouTube metadata verified.</x:v>
      </x:c>
      <x:c r="T653" s="144" t="str">
        <x:v>kChwwFb5gMU</x:v>
      </x:c>
      <x:c r="U653" s="144" t="str"/>
      <x:c r="V653" s="147"/>
      <x:c r="W653" s="144" t="str"/>
    </x:row>
    <x:row r="654" ht="42" customHeight="1">
      <x:c r="A654" s="144" t="str">
        <x:v>ST-654</x:v>
      </x:c>
      <x:c r="B654" s="144" t="str">
        <x:v>Interview</x:v>
      </x:c>
      <x:c r="C654" s="144" t="str">
        <x:v>World Model</x:v>
      </x:c>
      <x:c r="D654" s="145" t="str">
        <x:v>World Models / Predictive Intelligence</x:v>
      </x:c>
      <x:c r="E654" s="145" t="str">
        <x:v>World Models; Interactive Environments; Simulation; Google DeepMind Genie</x:v>
      </x:c>
      <x:c r="F654" s="145" t="str">
        <x:v>English</x:v>
      </x:c>
      <x:c r="G654" s="145" t="str">
        <x:v>Genie 3: An infinite world model | Shlomi Fruchter and Jack Parker-Holder</x:v>
      </x:c>
      <x:c r="H654" s="145" t="str">
        <x:v>Shlomi Fruchter and Jack Parker-Holder</x:v>
      </x:c>
      <x:c r="I654" s="145" t="str">
        <x:v>Google DeepMind</x:v>
      </x:c>
      <x:c r="J654" s="145" t="str">
        <x:v>Research Interview</x:v>
      </x:c>
      <x:c r="K654" s="147" t="n">
        <x:v>61</x:v>
      </x:c>
      <x:c r="L654" s="144" t="str">
        <x:v>https://www.youtube.com/watch?v=n5x6yXDj0uo</x:v>
      </x:c>
      <x:c r="M654" s="144" t="str">
        <x:v>YouTube</x:v>
      </x:c>
      <x:c r="N654" s="149" t="n">
        <x:v>407567</x:v>
      </x:c>
      <x:c r="O654" s="144" t="str">
        <x:v>A | Official / Original Creator / Organizer</x:v>
      </x:c>
      <x:c r="P654" s="144" t="str">
        <x:v>Core</x:v>
      </x:c>
      <x:c r="Q654" s="144" t="str">
        <x:v>Verified</x:v>
      </x:c>
      <x:c r="R654" s="146" t="n">
        <x:v>46249</x:v>
      </x:c>
      <x:c r="S654" s="144" t="str">
        <x:v>Added from an official university, research institution, conference, or original creator source; public YouTube metadata verified.</x:v>
      </x:c>
      <x:c r="T654" s="144" t="str">
        <x:v>n5x6yXDj0uo</x:v>
      </x:c>
      <x:c r="U654" s="144" t="str"/>
      <x:c r="V654" s="147"/>
      <x:c r="W654" s="144" t="str"/>
    </x:row>
    <x:row r="655" ht="42" customHeight="1">
      <x:c r="A655" s="144" t="str">
        <x:v>ST-655</x:v>
      </x:c>
      <x:c r="B655" s="144" t="str">
        <x:v>Course</x:v>
      </x:c>
      <x:c r="C655" s="144" t="str">
        <x:v>Robotics</x:v>
      </x:c>
      <x:c r="D655" s="145" t="str">
        <x:v>Robotics / Embodied AI</x:v>
      </x:c>
      <x:c r="E655" s="145" t="str">
        <x:v>Robot Learning; Supervised Policy Learning; Imitation Learning; Real Robots</x:v>
      </x:c>
      <x:c r="F655" s="145" t="str">
        <x:v>English</x:v>
      </x:c>
      <x:c r="G655" s="145" t="str">
        <x:v>RSS 2024 Tutorial: Supervised Policy Learning for Real Robots</x:v>
      </x:c>
      <x:c r="H655" s="145" t="str">
        <x:v>RSS 2024 tutorial team</x:v>
      </x:c>
      <x:c r="I655" s="145" t="str">
        <x:v>Nur Muhammad “Mahi” Shafiullah</x:v>
      </x:c>
      <x:c r="J655" s="145" t="str">
        <x:v>Technical Tutorial</x:v>
      </x:c>
      <x:c r="K655" s="147" t="n">
        <x:v>188</x:v>
      </x:c>
      <x:c r="L655" s="144" t="str">
        <x:v>https://www.youtube.com/watch?v=jIB_joS7ww8</x:v>
      </x:c>
      <x:c r="M655" s="144" t="str">
        <x:v>YouTube</x:v>
      </x:c>
      <x:c r="N655" s="149" t="n">
        <x:v>5929</x:v>
      </x:c>
      <x:c r="O655" s="144" t="str">
        <x:v>A | Official / Original Creator / Organizer</x:v>
      </x:c>
      <x:c r="P655" s="144" t="str">
        <x:v>Recommended</x:v>
      </x:c>
      <x:c r="Q655" s="144" t="str">
        <x:v>Verified</x:v>
      </x:c>
      <x:c r="R655" s="146" t="n">
        <x:v>46249</x:v>
      </x:c>
      <x:c r="S655" s="144" t="str">
        <x:v>Added from an official university, research institution, conference, or original creator source; public YouTube metadata verified.</x:v>
      </x:c>
      <x:c r="T655" s="144" t="str">
        <x:v>jIB_joS7ww8</x:v>
      </x:c>
      <x:c r="U655" s="144" t="str"/>
      <x:c r="V655" s="147"/>
      <x:c r="W655" s="144" t="str"/>
    </x:row>
    <x:row r="656" ht="42" customHeight="1">
      <x:c r="A656" s="144" t="str">
        <x:v>ST-656</x:v>
      </x:c>
      <x:c r="B656" s="144" t="str">
        <x:v>Talk</x:v>
      </x:c>
      <x:c r="C656" s="144" t="str">
        <x:v>Agent</x:v>
      </x:c>
      <x:c r="D656" s="145" t="str">
        <x:v>Agents / Tool Use / Reasoning</x:v>
      </x:c>
      <x:c r="E656" s="145" t="str">
        <x:v>AI Agents; Tool Use; Agent Design; Engineering Practice</x:v>
      </x:c>
      <x:c r="F656" s="145" t="str">
        <x:v>English</x:v>
      </x:c>
      <x:c r="G656" s="145" t="str">
        <x:v>Tips for building AI agents</x:v>
      </x:c>
      <x:c r="H656" s="145" t="str">
        <x:v>Anthropic team</x:v>
      </x:c>
      <x:c r="I656" s="145" t="str">
        <x:v>Anthropic</x:v>
      </x:c>
      <x:c r="J656" s="145" t="str">
        <x:v>Engineering Talk</x:v>
      </x:c>
      <x:c r="K656" s="147" t="n">
        <x:v>18</x:v>
      </x:c>
      <x:c r="L656" s="144" t="str">
        <x:v>https://www.youtube.com/watch?v=LP5OCa20Zpg</x:v>
      </x:c>
      <x:c r="M656" s="144" t="str">
        <x:v>YouTube</x:v>
      </x:c>
      <x:c r="N656" s="149" t="n">
        <x:v>578957</x:v>
      </x:c>
      <x:c r="O656" s="144" t="str">
        <x:v>A | Official / Original Creator / Organizer</x:v>
      </x:c>
      <x:c r="P656" s="144" t="str">
        <x:v>Recommended</x:v>
      </x:c>
      <x:c r="Q656" s="144" t="str">
        <x:v>Verified</x:v>
      </x:c>
      <x:c r="R656" s="146" t="n">
        <x:v>46249</x:v>
      </x:c>
      <x:c r="S656" s="144" t="str">
        <x:v>Added from an official university, research institution, conference, or original creator source; public YouTube metadata verified.</x:v>
      </x:c>
      <x:c r="T656" s="144" t="str">
        <x:v>LP5OCa20Zpg</x:v>
      </x:c>
      <x:c r="U656" s="144" t="str"/>
      <x:c r="V656" s="147"/>
      <x:c r="W656" s="144" t="str"/>
    </x:row>
    <x:row r="657" ht="42" customHeight="1">
      <x:c r="A657" s="144" t="str">
        <x:v>ST-657</x:v>
      </x:c>
      <x:c r="B657" s="144" t="str">
        <x:v>Course</x:v>
      </x:c>
      <x:c r="C657" s="144" t="str">
        <x:v>Robotics</x:v>
      </x:c>
      <x:c r="D657" s="145" t="str">
        <x:v>Robotics</x:v>
      </x:c>
      <x:c r="E657" s="145" t="str">
        <x:v>Optimal Control; Model Predictive Control; Reinforcement Learning; Imitation Learning</x:v>
      </x:c>
      <x:c r="F657" s="145" t="str">
        <x:v>English</x:v>
      </x:c>
      <x:c r="G657" s="145" t="str">
        <x:v>Stanford AA203 Optimal and Learning-Based Control | Spring 2026 | Lecture 1: Course Overview</x:v>
      </x:c>
      <x:c r="H657" s="145" t="str">
        <x:v>Stanford AA203 course team</x:v>
      </x:c>
      <x:c r="I657" s="145" t="str">
        <x:v>Stanford Online</x:v>
      </x:c>
      <x:c r="J657" s="145" t="str">
        <x:v>Course Lecture</x:v>
      </x:c>
      <x:c r="K657" s="147" t="n">
        <x:v>73</x:v>
      </x:c>
      <x:c r="L657" s="144" t="str">
        <x:v>https://www.youtube.com/watch?v=Au2stLALZew</x:v>
      </x:c>
      <x:c r="M657" s="144" t="str">
        <x:v>YouTube</x:v>
      </x:c>
      <x:c r="N657" s="149" t="n">
        <x:v>7898</x:v>
      </x:c>
      <x:c r="O657" s="144" t="str">
        <x:v>A | Official / Original Creator / Organizer</x:v>
      </x:c>
      <x:c r="P657" s="144" t="str">
        <x:v>Core</x:v>
      </x:c>
      <x:c r="Q657" s="144" t="str">
        <x:v>Verified</x:v>
      </x:c>
      <x:c r="R657" s="146" t="n">
        <x:v>46249</x:v>
      </x:c>
      <x:c r="S657" s="144" t="str">
        <x:v>Added in the latest gap audit from an official institution or original creator; public YouTube metadata verified; short demos excluded.</x:v>
      </x:c>
      <x:c r="T657" s="144" t="str">
        <x:v>Au2stLALZew</x:v>
      </x:c>
      <x:c r="U657" s="144" t="str">
        <x:v>Stanford AA203: Optimal and Learning-Based Control — Spring 2026</x:v>
      </x:c>
      <x:c r="V657" s="147" t="n">
        <x:v>1</x:v>
      </x:c>
      <x:c r="W657" s="144" t="str">
        <x:v>stanford-aa203-spring-2026</x:v>
      </x:c>
    </x:row>
    <x:row r="658">
      <x:c r="A658" t="str">
        <x:v>ST-658</x:v>
      </x:c>
      <x:c r="B658" t="str">
        <x:v>Course</x:v>
      </x:c>
      <x:c r="C658" t="str">
        <x:v>Robotics</x:v>
      </x:c>
      <x:c r="D658" t="str">
        <x:v>Robotics</x:v>
      </x:c>
      <x:c r="E658" t="str">
        <x:v>Optimal Control; Model Predictive Control; Reinforcement Learning; Imitation Learning</x:v>
      </x:c>
      <x:c r="F658" t="str">
        <x:v>English</x:v>
      </x:c>
      <x:c r="G658" t="str">
        <x:v>Stanford AA203 Optimal and Learning-Based Control | Spring 2026 | Lecture 2: Optimization Theory</x:v>
      </x:c>
      <x:c r="H658" t="str">
        <x:v>Stanford AA203 course team</x:v>
      </x:c>
      <x:c r="I658" t="str">
        <x:v>Stanford Online</x:v>
      </x:c>
      <x:c r="J658" t="str">
        <x:v>Course Lecture</x:v>
      </x:c>
      <x:c r="K658" s="148" t="n">
        <x:v>79</x:v>
      </x:c>
      <x:c r="L658" t="str">
        <x:v>https://www.youtube.com/watch?v=FbkNYklySak</x:v>
      </x:c>
      <x:c r="M658" t="str">
        <x:v>YouTube</x:v>
      </x:c>
      <x:c r="N658" s="150" t="n">
        <x:v>676</x:v>
      </x:c>
      <x:c r="O658" t="str">
        <x:v>A | Official / Original Creator / Organizer</x:v>
      </x:c>
      <x:c r="P658" t="str">
        <x:v>Core</x:v>
      </x:c>
      <x:c r="Q658" t="str">
        <x:v>Verified</x:v>
      </x:c>
      <x:c r="R658" s="142" t="n">
        <x:v>46249</x:v>
      </x:c>
      <x:c r="S658" t="str">
        <x:v>Added in the latest gap audit from an official institution or original creator; public YouTube metadata verified; short demos excluded.</x:v>
      </x:c>
      <x:c r="T658" t="str">
        <x:v>FbkNYklySak</x:v>
      </x:c>
      <x:c r="U658" t="str">
        <x:v>Stanford AA203: Optimal and Learning-Based Control — Spring 2026</x:v>
      </x:c>
      <x:c r="V658" s="148" t="n">
        <x:v>2</x:v>
      </x:c>
      <x:c r="W658" t="str">
        <x:v>stanford-aa203-spring-2026</x:v>
      </x:c>
    </x:row>
    <x:row r="659">
      <x:c r="A659" t="str">
        <x:v>ST-659</x:v>
      </x:c>
      <x:c r="B659" t="str">
        <x:v>Course</x:v>
      </x:c>
      <x:c r="C659" t="str">
        <x:v>Robotics</x:v>
      </x:c>
      <x:c r="D659" t="str">
        <x:v>Robotics</x:v>
      </x:c>
      <x:c r="E659" t="str">
        <x:v>Optimal Control; Model Predictive Control; Reinforcement Learning; Imitation Learning</x:v>
      </x:c>
      <x:c r="F659" t="str">
        <x:v>English</x:v>
      </x:c>
      <x:c r="G659" t="str">
        <x:v>Stanford AA203 Optimal and Learning-Based Control | Spring 2026 | Lecture 3: Calculus of Variations</x:v>
      </x:c>
      <x:c r="H659" t="str">
        <x:v>Stanford AA203 course team</x:v>
      </x:c>
      <x:c r="I659" t="str">
        <x:v>Stanford Online</x:v>
      </x:c>
      <x:c r="J659" t="str">
        <x:v>Course Lecture</x:v>
      </x:c>
      <x:c r="K659" s="148" t="n">
        <x:v>83</x:v>
      </x:c>
      <x:c r="L659" t="str">
        <x:v>https://www.youtube.com/watch?v=duZJ2_ajLso</x:v>
      </x:c>
      <x:c r="M659" t="str">
        <x:v>YouTube</x:v>
      </x:c>
      <x:c r="N659" s="150" t="n">
        <x:v>774</x:v>
      </x:c>
      <x:c r="O659" t="str">
        <x:v>A | Official / Original Creator / Organizer</x:v>
      </x:c>
      <x:c r="P659" t="str">
        <x:v>Core</x:v>
      </x:c>
      <x:c r="Q659" t="str">
        <x:v>Verified</x:v>
      </x:c>
      <x:c r="R659" s="142" t="n">
        <x:v>46249</x:v>
      </x:c>
      <x:c r="S659" t="str">
        <x:v>Added in the latest gap audit from an official institution or original creator; public YouTube metadata verified; short demos excluded.</x:v>
      </x:c>
      <x:c r="T659" t="str">
        <x:v>duZJ2_ajLso</x:v>
      </x:c>
      <x:c r="U659" t="str">
        <x:v>Stanford AA203: Optimal and Learning-Based Control — Spring 2026</x:v>
      </x:c>
      <x:c r="V659" s="148" t="n">
        <x:v>3</x:v>
      </x:c>
      <x:c r="W659" t="str">
        <x:v>stanford-aa203-spring-2026</x:v>
      </x:c>
    </x:row>
    <x:row r="660">
      <x:c r="A660" t="str">
        <x:v>ST-660</x:v>
      </x:c>
      <x:c r="B660" t="str">
        <x:v>Course</x:v>
      </x:c>
      <x:c r="C660" t="str">
        <x:v>Robotics</x:v>
      </x:c>
      <x:c r="D660" t="str">
        <x:v>Robotics</x:v>
      </x:c>
      <x:c r="E660" t="str">
        <x:v>Optimal Control; Model Predictive Control; Reinforcement Learning; Imitation Learning</x:v>
      </x:c>
      <x:c r="F660" t="str">
        <x:v>English</x:v>
      </x:c>
      <x:c r="G660" t="str">
        <x:v>Stanford AA203 Optimal and Learning-Based Control | Spring 2026 | Lecture 4: Indirect Methods</x:v>
      </x:c>
      <x:c r="H660" t="str">
        <x:v>Stanford AA203 course team</x:v>
      </x:c>
      <x:c r="I660" t="str">
        <x:v>Stanford Online</x:v>
      </x:c>
      <x:c r="J660" t="str">
        <x:v>Course Lecture</x:v>
      </x:c>
      <x:c r="K660" s="148" t="n">
        <x:v>85</x:v>
      </x:c>
      <x:c r="L660" t="str">
        <x:v>https://www.youtube.com/watch?v=7rejaoMWviw</x:v>
      </x:c>
      <x:c r="M660" t="str">
        <x:v>YouTube</x:v>
      </x:c>
      <x:c r="N660" s="150" t="n">
        <x:v>663</x:v>
      </x:c>
      <x:c r="O660" t="str">
        <x:v>A | Official / Original Creator / Organizer</x:v>
      </x:c>
      <x:c r="P660" t="str">
        <x:v>Core</x:v>
      </x:c>
      <x:c r="Q660" t="str">
        <x:v>Verified</x:v>
      </x:c>
      <x:c r="R660" s="142" t="n">
        <x:v>46249</x:v>
      </x:c>
      <x:c r="S660" t="str">
        <x:v>Added in the latest gap audit from an official institution or original creator; public YouTube metadata verified; short demos excluded.</x:v>
      </x:c>
      <x:c r="T660" t="str">
        <x:v>7rejaoMWviw</x:v>
      </x:c>
      <x:c r="U660" t="str">
        <x:v>Stanford AA203: Optimal and Learning-Based Control — Spring 2026</x:v>
      </x:c>
      <x:c r="V660" s="148" t="n">
        <x:v>4</x:v>
      </x:c>
      <x:c r="W660" t="str">
        <x:v>stanford-aa203-spring-2026</x:v>
      </x:c>
    </x:row>
    <x:row r="661">
      <x:c r="A661" t="str">
        <x:v>ST-661</x:v>
      </x:c>
      <x:c r="B661" t="str">
        <x:v>Course</x:v>
      </x:c>
      <x:c r="C661" t="str">
        <x:v>Robotics</x:v>
      </x:c>
      <x:c r="D661" t="str">
        <x:v>Robotics</x:v>
      </x:c>
      <x:c r="E661" t="str">
        <x:v>Optimal Control; Model Predictive Control; Reinforcement Learning; Imitation Learning</x:v>
      </x:c>
      <x:c r="F661" t="str">
        <x:v>English</x:v>
      </x:c>
      <x:c r="G661" t="str">
        <x:v>Stanford AA203 Optimal and Learning-Based Control | Spring 2026 | Lecture 5: Computational Methods</x:v>
      </x:c>
      <x:c r="H661" t="str">
        <x:v>Stanford AA203 course team</x:v>
      </x:c>
      <x:c r="I661" t="str">
        <x:v>Stanford Online</x:v>
      </x:c>
      <x:c r="J661" t="str">
        <x:v>Course Lecture</x:v>
      </x:c>
      <x:c r="K661" s="148" t="n">
        <x:v>78</x:v>
      </x:c>
      <x:c r="L661" t="str">
        <x:v>https://www.youtube.com/watch?v=R4_fHzTo0IM</x:v>
      </x:c>
      <x:c r="M661" t="str">
        <x:v>YouTube</x:v>
      </x:c>
      <x:c r="N661" s="150" t="n">
        <x:v>1258</x:v>
      </x:c>
      <x:c r="O661" t="str">
        <x:v>A | Official / Original Creator / Organizer</x:v>
      </x:c>
      <x:c r="P661" t="str">
        <x:v>Core</x:v>
      </x:c>
      <x:c r="Q661" t="str">
        <x:v>Verified</x:v>
      </x:c>
      <x:c r="R661" s="142" t="n">
        <x:v>46249</x:v>
      </x:c>
      <x:c r="S661" t="str">
        <x:v>Added in the latest gap audit from an official institution or original creator; public YouTube metadata verified; short demos excluded.</x:v>
      </x:c>
      <x:c r="T661" t="str">
        <x:v>R4_fHzTo0IM</x:v>
      </x:c>
      <x:c r="U661" t="str">
        <x:v>Stanford AA203: Optimal and Learning-Based Control — Spring 2026</x:v>
      </x:c>
      <x:c r="V661" s="148" t="n">
        <x:v>5</x:v>
      </x:c>
      <x:c r="W661" t="str">
        <x:v>stanford-aa203-spring-2026</x:v>
      </x:c>
    </x:row>
    <x:row r="662">
      <x:c r="A662" t="str">
        <x:v>ST-662</x:v>
      </x:c>
      <x:c r="B662" t="str">
        <x:v>Course</x:v>
      </x:c>
      <x:c r="C662" t="str">
        <x:v>Robotics</x:v>
      </x:c>
      <x:c r="D662" t="str">
        <x:v>Robotics</x:v>
      </x:c>
      <x:c r="E662" t="str">
        <x:v>Optimal Control; Model Predictive Control; Reinforcement Learning; Imitation Learning</x:v>
      </x:c>
      <x:c r="F662" t="str">
        <x:v>English</x:v>
      </x:c>
      <x:c r="G662" t="str">
        <x:v>Stanford AA203 Optimal and Learning-Based Control | Spring 2026 | Lecture 6: Direct Methods</x:v>
      </x:c>
      <x:c r="H662" t="str">
        <x:v>Stanford AA203 course team</x:v>
      </x:c>
      <x:c r="I662" t="str">
        <x:v>Stanford Online</x:v>
      </x:c>
      <x:c r="J662" t="str">
        <x:v>Course Lecture</x:v>
      </x:c>
      <x:c r="K662" s="148" t="n">
        <x:v>80</x:v>
      </x:c>
      <x:c r="L662" t="str">
        <x:v>https://www.youtube.com/watch?v=zX8raxUa2DE</x:v>
      </x:c>
      <x:c r="M662" t="str">
        <x:v>YouTube</x:v>
      </x:c>
      <x:c r="N662" s="150" t="n">
        <x:v>451</x:v>
      </x:c>
      <x:c r="O662" t="str">
        <x:v>A | Official / Original Creator / Organizer</x:v>
      </x:c>
      <x:c r="P662" t="str">
        <x:v>Core</x:v>
      </x:c>
      <x:c r="Q662" t="str">
        <x:v>Verified</x:v>
      </x:c>
      <x:c r="R662" s="142" t="n">
        <x:v>46249</x:v>
      </x:c>
      <x:c r="S662" t="str">
        <x:v>Added in the latest gap audit from an official institution or original creator; public YouTube metadata verified; short demos excluded.</x:v>
      </x:c>
      <x:c r="T662" t="str">
        <x:v>zX8raxUa2DE</x:v>
      </x:c>
      <x:c r="U662" t="str">
        <x:v>Stanford AA203: Optimal and Learning-Based Control — Spring 2026</x:v>
      </x:c>
      <x:c r="V662" s="148" t="n">
        <x:v>6</x:v>
      </x:c>
      <x:c r="W662" t="str">
        <x:v>stanford-aa203-spring-2026</x:v>
      </x:c>
    </x:row>
    <x:row r="663">
      <x:c r="A663" t="str">
        <x:v>ST-663</x:v>
      </x:c>
      <x:c r="B663" t="str">
        <x:v>Course</x:v>
      </x:c>
      <x:c r="C663" t="str">
        <x:v>Robotics</x:v>
      </x:c>
      <x:c r="D663" t="str">
        <x:v>Robotics</x:v>
      </x:c>
      <x:c r="E663" t="str">
        <x:v>Optimal Control; Model Predictive Control; Reinforcement Learning; Imitation Learning</x:v>
      </x:c>
      <x:c r="F663" t="str">
        <x:v>English</x:v>
      </x:c>
      <x:c r="G663" t="str">
        <x:v>Stanford AA203 Optimal and Learning-Based Control | Spring 2026 | Lecture 7: Dynamic Programming</x:v>
      </x:c>
      <x:c r="H663" t="str">
        <x:v>Stanford AA203 course team</x:v>
      </x:c>
      <x:c r="I663" t="str">
        <x:v>Stanford Online</x:v>
      </x:c>
      <x:c r="J663" t="str">
        <x:v>Course Lecture</x:v>
      </x:c>
      <x:c r="K663" s="148" t="n">
        <x:v>75</x:v>
      </x:c>
      <x:c r="L663" t="str">
        <x:v>https://www.youtube.com/watch?v=hy-e9g4nugE</x:v>
      </x:c>
      <x:c r="M663" t="str">
        <x:v>YouTube</x:v>
      </x:c>
      <x:c r="N663" s="150" t="n">
        <x:v>466</x:v>
      </x:c>
      <x:c r="O663" t="str">
        <x:v>A | Official / Original Creator / Organizer</x:v>
      </x:c>
      <x:c r="P663" t="str">
        <x:v>Core</x:v>
      </x:c>
      <x:c r="Q663" t="str">
        <x:v>Verified</x:v>
      </x:c>
      <x:c r="R663" s="142" t="n">
        <x:v>46249</x:v>
      </x:c>
      <x:c r="S663" t="str">
        <x:v>Added in the latest gap audit from an official institution or original creator; public YouTube metadata verified; short demos excluded.</x:v>
      </x:c>
      <x:c r="T663" t="str">
        <x:v>hy-e9g4nugE</x:v>
      </x:c>
      <x:c r="U663" t="str">
        <x:v>Stanford AA203: Optimal and Learning-Based Control — Spring 2026</x:v>
      </x:c>
      <x:c r="V663" s="148" t="n">
        <x:v>7</x:v>
      </x:c>
      <x:c r="W663" t="str">
        <x:v>stanford-aa203-spring-2026</x:v>
      </x:c>
    </x:row>
    <x:row r="664">
      <x:c r="A664" t="str">
        <x:v>ST-664</x:v>
      </x:c>
      <x:c r="B664" t="str">
        <x:v>Course</x:v>
      </x:c>
      <x:c r="C664" t="str">
        <x:v>Robotics</x:v>
      </x:c>
      <x:c r="D664" t="str">
        <x:v>Robotics</x:v>
      </x:c>
      <x:c r="E664" t="str">
        <x:v>Optimal Control; Model Predictive Control; Reinforcement Learning; Imitation Learning</x:v>
      </x:c>
      <x:c r="F664" t="str">
        <x:v>English</x:v>
      </x:c>
      <x:c r="G664" t="str">
        <x:v>Stanford AA203 Optimal and Learning-Based Control | Spring 2026 | Lecture 8: LQR-Style Algorithms</x:v>
      </x:c>
      <x:c r="H664" t="str">
        <x:v>Stanford AA203 course team</x:v>
      </x:c>
      <x:c r="I664" t="str">
        <x:v>Stanford Online</x:v>
      </x:c>
      <x:c r="J664" t="str">
        <x:v>Course Lecture</x:v>
      </x:c>
      <x:c r="K664" s="148" t="n">
        <x:v>74</x:v>
      </x:c>
      <x:c r="L664" t="str">
        <x:v>https://www.youtube.com/watch?v=1YdgSwEtf_s</x:v>
      </x:c>
      <x:c r="M664" t="str">
        <x:v>YouTube</x:v>
      </x:c>
      <x:c r="N664" s="150" t="n">
        <x:v>713</x:v>
      </x:c>
      <x:c r="O664" t="str">
        <x:v>A | Official / Original Creator / Organizer</x:v>
      </x:c>
      <x:c r="P664" t="str">
        <x:v>Core</x:v>
      </x:c>
      <x:c r="Q664" t="str">
        <x:v>Verified</x:v>
      </x:c>
      <x:c r="R664" s="142" t="n">
        <x:v>46249</x:v>
      </x:c>
      <x:c r="S664" t="str">
        <x:v>Added in the latest gap audit from an official institution or original creator; public YouTube metadata verified; short demos excluded.</x:v>
      </x:c>
      <x:c r="T664" t="str">
        <x:v>1YdgSwEtf_s</x:v>
      </x:c>
      <x:c r="U664" t="str">
        <x:v>Stanford AA203: Optimal and Learning-Based Control — Spring 2026</x:v>
      </x:c>
      <x:c r="V664" s="148" t="n">
        <x:v>8</x:v>
      </x:c>
      <x:c r="W664" t="str">
        <x:v>stanford-aa203-spring-2026</x:v>
      </x:c>
    </x:row>
    <x:row r="665">
      <x:c r="A665" t="str">
        <x:v>ST-665</x:v>
      </x:c>
      <x:c r="B665" t="str">
        <x:v>Course</x:v>
      </x:c>
      <x:c r="C665" t="str">
        <x:v>Robotics</x:v>
      </x:c>
      <x:c r="D665" t="str">
        <x:v>Robotics</x:v>
      </x:c>
      <x:c r="E665" t="str">
        <x:v>Optimal Control; Model Predictive Control; Reinforcement Learning; Imitation Learning</x:v>
      </x:c>
      <x:c r="F665" t="str">
        <x:v>English</x:v>
      </x:c>
      <x:c r="G665" t="str">
        <x:v>Stanford AA203 Optimal and Learning-Based Control | Spring 2026 | Lecture 9: Stochastic Dyn. Program</x:v>
      </x:c>
      <x:c r="H665" t="str">
        <x:v>Stanford AA203 course team</x:v>
      </x:c>
      <x:c r="I665" t="str">
        <x:v>Stanford Online</x:v>
      </x:c>
      <x:c r="J665" t="str">
        <x:v>Course Lecture</x:v>
      </x:c>
      <x:c r="K665" s="148" t="n">
        <x:v>77</x:v>
      </x:c>
      <x:c r="L665" t="str">
        <x:v>https://www.youtube.com/watch?v=C9mLpI8Td9g</x:v>
      </x:c>
      <x:c r="M665" t="str">
        <x:v>YouTube</x:v>
      </x:c>
      <x:c r="N665" s="150" t="n">
        <x:v>514</x:v>
      </x:c>
      <x:c r="O665" t="str">
        <x:v>A | Official / Original Creator / Organizer</x:v>
      </x:c>
      <x:c r="P665" t="str">
        <x:v>Core</x:v>
      </x:c>
      <x:c r="Q665" t="str">
        <x:v>Verified</x:v>
      </x:c>
      <x:c r="R665" s="142" t="n">
        <x:v>46249</x:v>
      </x:c>
      <x:c r="S665" t="str">
        <x:v>Added in the latest gap audit from an official institution or original creator; public YouTube metadata verified; short demos excluded.</x:v>
      </x:c>
      <x:c r="T665" t="str">
        <x:v>C9mLpI8Td9g</x:v>
      </x:c>
      <x:c r="U665" t="str">
        <x:v>Stanford AA203: Optimal and Learning-Based Control — Spring 2026</x:v>
      </x:c>
      <x:c r="V665" s="148" t="n">
        <x:v>9</x:v>
      </x:c>
      <x:c r="W665" t="str">
        <x:v>stanford-aa203-spring-2026</x:v>
      </x:c>
    </x:row>
    <x:row r="666">
      <x:c r="A666" t="str">
        <x:v>ST-666</x:v>
      </x:c>
      <x:c r="B666" t="str">
        <x:v>Course</x:v>
      </x:c>
      <x:c r="C666" t="str">
        <x:v>Robotics</x:v>
      </x:c>
      <x:c r="D666" t="str">
        <x:v>Robotics</x:v>
      </x:c>
      <x:c r="E666" t="str">
        <x:v>Optimal Control; Model Predictive Control; Reinforcement Learning; Imitation Learning</x:v>
      </x:c>
      <x:c r="F666" t="str">
        <x:v>English</x:v>
      </x:c>
      <x:c r="G666" t="str">
        <x:v>Stanford AA203 Optimal and Learning-Based Control | Spring 2026 | Lecture 10: Reachability Analysis</x:v>
      </x:c>
      <x:c r="H666" t="str">
        <x:v>Stanford AA203 course team</x:v>
      </x:c>
      <x:c r="I666" t="str">
        <x:v>Stanford Online</x:v>
      </x:c>
      <x:c r="J666" t="str">
        <x:v>Course Lecture</x:v>
      </x:c>
      <x:c r="K666" s="148" t="n">
        <x:v>77</x:v>
      </x:c>
      <x:c r="L666" t="str">
        <x:v>https://www.youtube.com/watch?v=Fl5EjGhQjgs</x:v>
      </x:c>
      <x:c r="M666" t="str">
        <x:v>YouTube</x:v>
      </x:c>
      <x:c r="N666" s="150" t="n">
        <x:v>840</x:v>
      </x:c>
      <x:c r="O666" t="str">
        <x:v>A | Official / Original Creator / Organizer</x:v>
      </x:c>
      <x:c r="P666" t="str">
        <x:v>Core</x:v>
      </x:c>
      <x:c r="Q666" t="str">
        <x:v>Verified</x:v>
      </x:c>
      <x:c r="R666" s="142" t="n">
        <x:v>46249</x:v>
      </x:c>
      <x:c r="S666" t="str">
        <x:v>Added in the latest gap audit from an official institution or original creator; public YouTube metadata verified; short demos excluded.</x:v>
      </x:c>
      <x:c r="T666" t="str">
        <x:v>Fl5EjGhQjgs</x:v>
      </x:c>
      <x:c r="U666" t="str">
        <x:v>Stanford AA203: Optimal and Learning-Based Control — Spring 2026</x:v>
      </x:c>
      <x:c r="V666" s="148" t="n">
        <x:v>10</x:v>
      </x:c>
      <x:c r="W666" t="str">
        <x:v>stanford-aa203-spring-2026</x:v>
      </x:c>
    </x:row>
    <x:row r="667">
      <x:c r="A667" t="str">
        <x:v>ST-667</x:v>
      </x:c>
      <x:c r="B667" t="str">
        <x:v>Course</x:v>
      </x:c>
      <x:c r="C667" t="str">
        <x:v>Robotics</x:v>
      </x:c>
      <x:c r="D667" t="str">
        <x:v>Robotics</x:v>
      </x:c>
      <x:c r="E667" t="str">
        <x:v>Optimal Control; Model Predictive Control; Reinforcement Learning; Imitation Learning</x:v>
      </x:c>
      <x:c r="F667" t="str">
        <x:v>English</x:v>
      </x:c>
      <x:c r="G667" t="str">
        <x:v>Stanford AA203 Optimal and Learning-Based Control | Spring 2026 | Lecture 11: Introduction to MPC</x:v>
      </x:c>
      <x:c r="H667" t="str">
        <x:v>Stanford AA203 course team</x:v>
      </x:c>
      <x:c r="I667" t="str">
        <x:v>Stanford Online</x:v>
      </x:c>
      <x:c r="J667" t="str">
        <x:v>Course Lecture</x:v>
      </x:c>
      <x:c r="K667" s="148" t="n">
        <x:v>74</x:v>
      </x:c>
      <x:c r="L667" t="str">
        <x:v>https://www.youtube.com/watch?v=3_gxaB_Pp3k</x:v>
      </x:c>
      <x:c r="M667" t="str">
        <x:v>YouTube</x:v>
      </x:c>
      <x:c r="N667" s="150" t="n">
        <x:v>367</x:v>
      </x:c>
      <x:c r="O667" t="str">
        <x:v>A | Official / Original Creator / Organizer</x:v>
      </x:c>
      <x:c r="P667" t="str">
        <x:v>Core</x:v>
      </x:c>
      <x:c r="Q667" t="str">
        <x:v>Verified</x:v>
      </x:c>
      <x:c r="R667" s="142" t="n">
        <x:v>46249</x:v>
      </x:c>
      <x:c r="S667" t="str">
        <x:v>Added in the latest gap audit from an official institution or original creator; public YouTube metadata verified; short demos excluded.</x:v>
      </x:c>
      <x:c r="T667" t="str">
        <x:v>3_gxaB_Pp3k</x:v>
      </x:c>
      <x:c r="U667" t="str">
        <x:v>Stanford AA203: Optimal and Learning-Based Control — Spring 2026</x:v>
      </x:c>
      <x:c r="V667" s="148" t="n">
        <x:v>11</x:v>
      </x:c>
      <x:c r="W667" t="str">
        <x:v>stanford-aa203-spring-2026</x:v>
      </x:c>
    </x:row>
    <x:row r="668">
      <x:c r="A668" t="str">
        <x:v>ST-668</x:v>
      </x:c>
      <x:c r="B668" t="str">
        <x:v>Course</x:v>
      </x:c>
      <x:c r="C668" t="str">
        <x:v>Robotics</x:v>
      </x:c>
      <x:c r="D668" t="str">
        <x:v>Robotics</x:v>
      </x:c>
      <x:c r="E668" t="str">
        <x:v>Optimal Control; Model Predictive Control; Reinforcement Learning; Imitation Learning</x:v>
      </x:c>
      <x:c r="F668" t="str">
        <x:v>English</x:v>
      </x:c>
      <x:c r="G668" t="str">
        <x:v>Stanford AA203 Optimal and Learning-Based Control | Spring 2026 | Lecture 12: Feasibility of MPC</x:v>
      </x:c>
      <x:c r="H668" t="str">
        <x:v>Stanford AA203 course team</x:v>
      </x:c>
      <x:c r="I668" t="str">
        <x:v>Stanford Online</x:v>
      </x:c>
      <x:c r="J668" t="str">
        <x:v>Course Lecture</x:v>
      </x:c>
      <x:c r="K668" s="148" t="n">
        <x:v>75</x:v>
      </x:c>
      <x:c r="L668" t="str">
        <x:v>https://www.youtube.com/watch?v=8Elrw30y0tg</x:v>
      </x:c>
      <x:c r="M668" t="str">
        <x:v>YouTube</x:v>
      </x:c>
      <x:c r="N668" s="150" t="n">
        <x:v>386</x:v>
      </x:c>
      <x:c r="O668" t="str">
        <x:v>A | Official / Original Creator / Organizer</x:v>
      </x:c>
      <x:c r="P668" t="str">
        <x:v>Core</x:v>
      </x:c>
      <x:c r="Q668" t="str">
        <x:v>Verified</x:v>
      </x:c>
      <x:c r="R668" s="142" t="n">
        <x:v>46249</x:v>
      </x:c>
      <x:c r="S668" t="str">
        <x:v>Added in the latest gap audit from an official institution or original creator; public YouTube metadata verified; short demos excluded.</x:v>
      </x:c>
      <x:c r="T668" t="str">
        <x:v>8Elrw30y0tg</x:v>
      </x:c>
      <x:c r="U668" t="str">
        <x:v>Stanford AA203: Optimal and Learning-Based Control — Spring 2026</x:v>
      </x:c>
      <x:c r="V668" s="148" t="n">
        <x:v>12</x:v>
      </x:c>
      <x:c r="W668" t="str">
        <x:v>stanford-aa203-spring-2026</x:v>
      </x:c>
    </x:row>
    <x:row r="669">
      <x:c r="A669" t="str">
        <x:v>ST-669</x:v>
      </x:c>
      <x:c r="B669" t="str">
        <x:v>Course</x:v>
      </x:c>
      <x:c r="C669" t="str">
        <x:v>Robotics</x:v>
      </x:c>
      <x:c r="D669" t="str">
        <x:v>Robotics</x:v>
      </x:c>
      <x:c r="E669" t="str">
        <x:v>Optimal Control; Model Predictive Control; Reinforcement Learning; Imitation Learning</x:v>
      </x:c>
      <x:c r="F669" t="str">
        <x:v>English</x:v>
      </x:c>
      <x:c r="G669" t="str">
        <x:v>Stanford AA203 Optimal and Learning-Based Control | Spring 2026 | Lecture 13: Intro to Learning</x:v>
      </x:c>
      <x:c r="H669" t="str">
        <x:v>Stanford AA203 course team</x:v>
      </x:c>
      <x:c r="I669" t="str">
        <x:v>Stanford Online</x:v>
      </x:c>
      <x:c r="J669" t="str">
        <x:v>Course Lecture</x:v>
      </x:c>
      <x:c r="K669" s="148" t="n">
        <x:v>80</x:v>
      </x:c>
      <x:c r="L669" t="str">
        <x:v>https://www.youtube.com/watch?v=RtJSHiqOdgQ</x:v>
      </x:c>
      <x:c r="M669" t="str">
        <x:v>YouTube</x:v>
      </x:c>
      <x:c r="N669" s="150" t="n">
        <x:v>565</x:v>
      </x:c>
      <x:c r="O669" t="str">
        <x:v>A | Official / Original Creator / Organizer</x:v>
      </x:c>
      <x:c r="P669" t="str">
        <x:v>Core</x:v>
      </x:c>
      <x:c r="Q669" t="str">
        <x:v>Verified</x:v>
      </x:c>
      <x:c r="R669" s="142" t="n">
        <x:v>46249</x:v>
      </x:c>
      <x:c r="S669" t="str">
        <x:v>Added in the latest gap audit from an official institution or original creator; public YouTube metadata verified; short demos excluded.</x:v>
      </x:c>
      <x:c r="T669" t="str">
        <x:v>RtJSHiqOdgQ</x:v>
      </x:c>
      <x:c r="U669" t="str">
        <x:v>Stanford AA203: Optimal and Learning-Based Control — Spring 2026</x:v>
      </x:c>
      <x:c r="V669" s="148" t="n">
        <x:v>13</x:v>
      </x:c>
      <x:c r="W669" t="str">
        <x:v>stanford-aa203-spring-2026</x:v>
      </x:c>
    </x:row>
    <x:row r="670">
      <x:c r="A670" t="str">
        <x:v>ST-670</x:v>
      </x:c>
      <x:c r="B670" t="str">
        <x:v>Course</x:v>
      </x:c>
      <x:c r="C670" t="str">
        <x:v>Robotics</x:v>
      </x:c>
      <x:c r="D670" t="str">
        <x:v>Robotics</x:v>
      </x:c>
      <x:c r="E670" t="str">
        <x:v>Optimal Control; Model Predictive Control; Reinforcement Learning; Imitation Learning</x:v>
      </x:c>
      <x:c r="F670" t="str">
        <x:v>English</x:v>
      </x:c>
      <x:c r="G670" t="str">
        <x:v>Stanford AA203 Optimal and Learning-Based Control | Spring 2026 | Lecture 14: Intro to IL and RL</x:v>
      </x:c>
      <x:c r="H670" t="str">
        <x:v>Stanford AA203 course team</x:v>
      </x:c>
      <x:c r="I670" t="str">
        <x:v>Stanford Online</x:v>
      </x:c>
      <x:c r="J670" t="str">
        <x:v>Course Lecture</x:v>
      </x:c>
      <x:c r="K670" s="148" t="n">
        <x:v>74</x:v>
      </x:c>
      <x:c r="L670" t="str">
        <x:v>https://www.youtube.com/watch?v=7YdOx-ih0II</x:v>
      </x:c>
      <x:c r="M670" t="str">
        <x:v>YouTube</x:v>
      </x:c>
      <x:c r="N670" s="150" t="n">
        <x:v>389</x:v>
      </x:c>
      <x:c r="O670" t="str">
        <x:v>A | Official / Original Creator / Organizer</x:v>
      </x:c>
      <x:c r="P670" t="str">
        <x:v>Core</x:v>
      </x:c>
      <x:c r="Q670" t="str">
        <x:v>Verified</x:v>
      </x:c>
      <x:c r="R670" s="142" t="n">
        <x:v>46249</x:v>
      </x:c>
      <x:c r="S670" t="str">
        <x:v>Added in the latest gap audit from an official institution or original creator; public YouTube metadata verified; short demos excluded.</x:v>
      </x:c>
      <x:c r="T670" t="str">
        <x:v>7YdOx-ih0II</x:v>
      </x:c>
      <x:c r="U670" t="str">
        <x:v>Stanford AA203: Optimal and Learning-Based Control — Spring 2026</x:v>
      </x:c>
      <x:c r="V670" s="148" t="n">
        <x:v>14</x:v>
      </x:c>
      <x:c r="W670" t="str">
        <x:v>stanford-aa203-spring-2026</x:v>
      </x:c>
    </x:row>
    <x:row r="671">
      <x:c r="A671" t="str">
        <x:v>ST-671</x:v>
      </x:c>
      <x:c r="B671" t="str">
        <x:v>Course</x:v>
      </x:c>
      <x:c r="C671" t="str">
        <x:v>Robotics</x:v>
      </x:c>
      <x:c r="D671" t="str">
        <x:v>Robotics</x:v>
      </x:c>
      <x:c r="E671" t="str">
        <x:v>Optimal Control; Model Predictive Control; Reinforcement Learning; Imitation Learning</x:v>
      </x:c>
      <x:c r="F671" t="str">
        <x:v>English</x:v>
      </x:c>
      <x:c r="G671" t="str">
        <x:v>Stanford AA203 Optimal and Learning-Based Control | Spring 2026 | Lecture 15: Imitation Learning</x:v>
      </x:c>
      <x:c r="H671" t="str">
        <x:v>Stanford AA203 course team</x:v>
      </x:c>
      <x:c r="I671" t="str">
        <x:v>Stanford Online</x:v>
      </x:c>
      <x:c r="J671" t="str">
        <x:v>Course Lecture</x:v>
      </x:c>
      <x:c r="K671" s="148" t="n">
        <x:v>80</x:v>
      </x:c>
      <x:c r="L671" t="str">
        <x:v>https://www.youtube.com/watch?v=udHX5Auj7ik</x:v>
      </x:c>
      <x:c r="M671" t="str">
        <x:v>YouTube</x:v>
      </x:c>
      <x:c r="N671" s="150" t="n">
        <x:v>441</x:v>
      </x:c>
      <x:c r="O671" t="str">
        <x:v>A | Official / Original Creator / Organizer</x:v>
      </x:c>
      <x:c r="P671" t="str">
        <x:v>Core</x:v>
      </x:c>
      <x:c r="Q671" t="str">
        <x:v>Verified</x:v>
      </x:c>
      <x:c r="R671" s="142" t="n">
        <x:v>46249</x:v>
      </x:c>
      <x:c r="S671" t="str">
        <x:v>Added in the latest gap audit from an official institution or original creator; public YouTube metadata verified; short demos excluded.</x:v>
      </x:c>
      <x:c r="T671" t="str">
        <x:v>udHX5Auj7ik</x:v>
      </x:c>
      <x:c r="U671" t="str">
        <x:v>Stanford AA203: Optimal and Learning-Based Control — Spring 2026</x:v>
      </x:c>
      <x:c r="V671" s="148" t="n">
        <x:v>15</x:v>
      </x:c>
      <x:c r="W671" t="str">
        <x:v>stanford-aa203-spring-2026</x:v>
      </x:c>
    </x:row>
    <x:row r="672">
      <x:c r="A672" t="str">
        <x:v>ST-672</x:v>
      </x:c>
      <x:c r="B672" t="str">
        <x:v>Course</x:v>
      </x:c>
      <x:c r="C672" t="str">
        <x:v>Robotics</x:v>
      </x:c>
      <x:c r="D672" t="str">
        <x:v>Robotics</x:v>
      </x:c>
      <x:c r="E672" t="str">
        <x:v>Optimal Control; Model Predictive Control; Reinforcement Learning; Imitation Learning</x:v>
      </x:c>
      <x:c r="F672" t="str">
        <x:v>English</x:v>
      </x:c>
      <x:c r="G672" t="str">
        <x:v>Stanford AA203 Optimal and Learning-Based Control | Spring 2026 | Lecture 16: Fundamentals of RL</x:v>
      </x:c>
      <x:c r="H672" t="str">
        <x:v>Stanford AA203 course team</x:v>
      </x:c>
      <x:c r="I672" t="str">
        <x:v>Stanford Online</x:v>
      </x:c>
      <x:c r="J672" t="str">
        <x:v>Course Lecture</x:v>
      </x:c>
      <x:c r="K672" s="148" t="n">
        <x:v>74</x:v>
      </x:c>
      <x:c r="L672" t="str">
        <x:v>https://www.youtube.com/watch?v=cqPbt3OfRK4</x:v>
      </x:c>
      <x:c r="M672" t="str">
        <x:v>YouTube</x:v>
      </x:c>
      <x:c r="N672" s="150" t="n">
        <x:v>317</x:v>
      </x:c>
      <x:c r="O672" t="str">
        <x:v>A | Official / Original Creator / Organizer</x:v>
      </x:c>
      <x:c r="P672" t="str">
        <x:v>Core</x:v>
      </x:c>
      <x:c r="Q672" t="str">
        <x:v>Verified</x:v>
      </x:c>
      <x:c r="R672" s="142" t="n">
        <x:v>46249</x:v>
      </x:c>
      <x:c r="S672" t="str">
        <x:v>Added in the latest gap audit from an official institution or original creator; public YouTube metadata verified; short demos excluded.</x:v>
      </x:c>
      <x:c r="T672" t="str">
        <x:v>cqPbt3OfRK4</x:v>
      </x:c>
      <x:c r="U672" t="str">
        <x:v>Stanford AA203: Optimal and Learning-Based Control — Spring 2026</x:v>
      </x:c>
      <x:c r="V672" s="148" t="n">
        <x:v>16</x:v>
      </x:c>
      <x:c r="W672" t="str">
        <x:v>stanford-aa203-spring-2026</x:v>
      </x:c>
    </x:row>
    <x:row r="673">
      <x:c r="A673" t="str">
        <x:v>ST-673</x:v>
      </x:c>
      <x:c r="B673" t="str">
        <x:v>Course</x:v>
      </x:c>
      <x:c r="C673" t="str">
        <x:v>Robotics</x:v>
      </x:c>
      <x:c r="D673" t="str">
        <x:v>Robotics</x:v>
      </x:c>
      <x:c r="E673" t="str">
        <x:v>Optimal Control; Model Predictive Control; Reinforcement Learning; Imitation Learning</x:v>
      </x:c>
      <x:c r="F673" t="str">
        <x:v>English</x:v>
      </x:c>
      <x:c r="G673" t="str">
        <x:v>Stanford AA203 Optimal and Learning-Based Control | Spring 2026 | Lecture 17: RL Value-Based Methods</x:v>
      </x:c>
      <x:c r="H673" t="str">
        <x:v>Stanford AA203 course team</x:v>
      </x:c>
      <x:c r="I673" t="str">
        <x:v>Stanford Online</x:v>
      </x:c>
      <x:c r="J673" t="str">
        <x:v>Course Lecture</x:v>
      </x:c>
      <x:c r="K673" s="148" t="n">
        <x:v>78</x:v>
      </x:c>
      <x:c r="L673" t="str">
        <x:v>https://www.youtube.com/watch?v=zanXSI7zSws</x:v>
      </x:c>
      <x:c r="M673" t="str">
        <x:v>YouTube</x:v>
      </x:c>
      <x:c r="N673" s="150" t="n">
        <x:v>294</x:v>
      </x:c>
      <x:c r="O673" t="str">
        <x:v>A | Official / Original Creator / Organizer</x:v>
      </x:c>
      <x:c r="P673" t="str">
        <x:v>Core</x:v>
      </x:c>
      <x:c r="Q673" t="str">
        <x:v>Verified</x:v>
      </x:c>
      <x:c r="R673" s="142" t="n">
        <x:v>46249</x:v>
      </x:c>
      <x:c r="S673" t="str">
        <x:v>Added in the latest gap audit from an official institution or original creator; public YouTube metadata verified; short demos excluded.</x:v>
      </x:c>
      <x:c r="T673" t="str">
        <x:v>zanXSI7zSws</x:v>
      </x:c>
      <x:c r="U673" t="str">
        <x:v>Stanford AA203: Optimal and Learning-Based Control — Spring 2026</x:v>
      </x:c>
      <x:c r="V673" s="148" t="n">
        <x:v>17</x:v>
      </x:c>
      <x:c r="W673" t="str">
        <x:v>stanford-aa203-spring-2026</x:v>
      </x:c>
    </x:row>
    <x:row r="674">
      <x:c r="A674" t="str">
        <x:v>ST-674</x:v>
      </x:c>
      <x:c r="B674" t="str">
        <x:v>Course</x:v>
      </x:c>
      <x:c r="C674" t="str">
        <x:v>Robotics</x:v>
      </x:c>
      <x:c r="D674" t="str">
        <x:v>Robotics</x:v>
      </x:c>
      <x:c r="E674" t="str">
        <x:v>Optimal Control; Model Predictive Control; Reinforcement Learning; Imitation Learning</x:v>
      </x:c>
      <x:c r="F674" t="str">
        <x:v>English</x:v>
      </x:c>
      <x:c r="G674" t="str">
        <x:v>Stanford AA203 Optimal and Learning-Based Control | Spring 2026 | Lecture 18: RL Policy Optimization</x:v>
      </x:c>
      <x:c r="H674" t="str">
        <x:v>Stanford AA203 course team</x:v>
      </x:c>
      <x:c r="I674" t="str">
        <x:v>Stanford Online</x:v>
      </x:c>
      <x:c r="J674" t="str">
        <x:v>Course Lecture</x:v>
      </x:c>
      <x:c r="K674" s="148" t="n">
        <x:v>80</x:v>
      </x:c>
      <x:c r="L674" t="str">
        <x:v>https://www.youtube.com/watch?v=a1g9U_5zO54</x:v>
      </x:c>
      <x:c r="M674" t="str">
        <x:v>YouTube</x:v>
      </x:c>
      <x:c r="N674" s="150" t="n">
        <x:v>710</x:v>
      </x:c>
      <x:c r="O674" t="str">
        <x:v>A | Official / Original Creator / Organizer</x:v>
      </x:c>
      <x:c r="P674" t="str">
        <x:v>Core</x:v>
      </x:c>
      <x:c r="Q674" t="str">
        <x:v>Verified</x:v>
      </x:c>
      <x:c r="R674" s="142" t="n">
        <x:v>46249</x:v>
      </x:c>
      <x:c r="S674" t="str">
        <x:v>Added in the latest gap audit from an official institution or original creator; public YouTube metadata verified; short demos excluded.</x:v>
      </x:c>
      <x:c r="T674" t="str">
        <x:v>a1g9U_5zO54</x:v>
      </x:c>
      <x:c r="U674" t="str">
        <x:v>Stanford AA203: Optimal and Learning-Based Control — Spring 2026</x:v>
      </x:c>
      <x:c r="V674" s="148" t="n">
        <x:v>18</x:v>
      </x:c>
      <x:c r="W674" t="str">
        <x:v>stanford-aa203-spring-2026</x:v>
      </x:c>
    </x:row>
    <x:row r="675">
      <x:c r="A675" t="str">
        <x:v>ST-675</x:v>
      </x:c>
      <x:c r="B675" t="str">
        <x:v>Course</x:v>
      </x:c>
      <x:c r="C675" t="str">
        <x:v>Robotics</x:v>
      </x:c>
      <x:c r="D675" t="str">
        <x:v>Robotics</x:v>
      </x:c>
      <x:c r="E675" t="str">
        <x:v>Optimal Control; Model Predictive Control; Reinforcement Learning; Imitation Learning</x:v>
      </x:c>
      <x:c r="F675" t="str">
        <x:v>English</x:v>
      </x:c>
      <x:c r="G675" t="str">
        <x:v>Stanford AA203 Optimal and Learning-Based Control | Spring 2026 | Lecture 19: Model-Based RL</x:v>
      </x:c>
      <x:c r="H675" t="str">
        <x:v>Stanford AA203 course team</x:v>
      </x:c>
      <x:c r="I675" t="str">
        <x:v>Stanford Online</x:v>
      </x:c>
      <x:c r="J675" t="str">
        <x:v>Course Lecture</x:v>
      </x:c>
      <x:c r="K675" s="148" t="n">
        <x:v>82</x:v>
      </x:c>
      <x:c r="L675" t="str">
        <x:v>https://www.youtube.com/watch?v=ZXMThMHFD_w</x:v>
      </x:c>
      <x:c r="M675" t="str">
        <x:v>YouTube</x:v>
      </x:c>
      <x:c r="N675" s="150" t="n">
        <x:v>884</x:v>
      </x:c>
      <x:c r="O675" t="str">
        <x:v>A | Official / Original Creator / Organizer</x:v>
      </x:c>
      <x:c r="P675" t="str">
        <x:v>Core</x:v>
      </x:c>
      <x:c r="Q675" t="str">
        <x:v>Verified</x:v>
      </x:c>
      <x:c r="R675" s="142" t="n">
        <x:v>46249</x:v>
      </x:c>
      <x:c r="S675" t="str">
        <x:v>Added in the latest gap audit from an official institution or original creator; public YouTube metadata verified; short demos excluded.</x:v>
      </x:c>
      <x:c r="T675" t="str">
        <x:v>ZXMThMHFD_w</x:v>
      </x:c>
      <x:c r="U675" t="str">
        <x:v>Stanford AA203: Optimal and Learning-Based Control — Spring 2026</x:v>
      </x:c>
      <x:c r="V675" s="148" t="n">
        <x:v>19</x:v>
      </x:c>
      <x:c r="W675" t="str">
        <x:v>stanford-aa203-spring-2026</x:v>
      </x:c>
    </x:row>
    <x:row r="676">
      <x:c r="A676" t="str">
        <x:v>ST-676</x:v>
      </x:c>
      <x:c r="B676" t="str">
        <x:v>Course</x:v>
      </x:c>
      <x:c r="C676" t="str">
        <x:v>Agent</x:v>
      </x:c>
      <x:c r="D676" t="str">
        <x:v>Agents / Tool Use / Reasoning</x:v>
      </x:c>
      <x:c r="E676" t="str">
        <x:v>Self-Improving Agents; Tool Use; Reasoning; Agent Training; Agent Evaluation</x:v>
      </x:c>
      <x:c r="F676" t="str">
        <x:v>English</x:v>
      </x:c>
      <x:c r="G676" t="str">
        <x:v>Stanford CS329A Self-Improving AI Agents | Part 2 | Test-Time Compute Scaling</x:v>
      </x:c>
      <x:c r="H676" t="str">
        <x:v>Stanford CS329A course team</x:v>
      </x:c>
      <x:c r="I676" t="str">
        <x:v>Stanford Online</x:v>
      </x:c>
      <x:c r="J676" t="str">
        <x:v>Course Lecture</x:v>
      </x:c>
      <x:c r="K676" s="148" t="n">
        <x:v>63</x:v>
      </x:c>
      <x:c r="L676" t="str">
        <x:v>https://www.youtube.com/watch?v=-Ggc37xLj_Y</x:v>
      </x:c>
      <x:c r="M676" t="str">
        <x:v>YouTube</x:v>
      </x:c>
      <x:c r="N676" s="150" t="n">
        <x:v>23689</x:v>
      </x:c>
      <x:c r="O676" t="str">
        <x:v>A | Official / Original Creator / Organizer</x:v>
      </x:c>
      <x:c r="P676" t="str">
        <x:v>Core</x:v>
      </x:c>
      <x:c r="Q676" t="str">
        <x:v>Verified</x:v>
      </x:c>
      <x:c r="R676" s="142" t="n">
        <x:v>46249</x:v>
      </x:c>
      <x:c r="S676" t="str">
        <x:v>Added in the latest gap audit from an official institution or original creator; public YouTube metadata verified; short demos excluded.</x:v>
      </x:c>
      <x:c r="T676" t="str">
        <x:v>-Ggc37xLj_Y</x:v>
      </x:c>
      <x:c r="U676" t="str">
        <x:v>Stanford CS329A: Self-Improving AI Agents — 2026</x:v>
      </x:c>
      <x:c r="V676" s="148" t="n">
        <x:v>2</x:v>
      </x:c>
      <x:c r="W676" t="str">
        <x:v>stanford-cs329a-self-improving-ai-agents-2026</x:v>
      </x:c>
    </x:row>
    <x:row r="677">
      <x:c r="A677" t="str">
        <x:v>ST-677</x:v>
      </x:c>
      <x:c r="B677" t="str">
        <x:v>Course</x:v>
      </x:c>
      <x:c r="C677" t="str">
        <x:v>Agent</x:v>
      </x:c>
      <x:c r="D677" t="str">
        <x:v>Agents / Tool Use / Reasoning</x:v>
      </x:c>
      <x:c r="E677" t="str">
        <x:v>Self-Improving Agents; Tool Use; Reasoning; Agent Training; Agent Evaluation</x:v>
      </x:c>
      <x:c r="F677" t="str">
        <x:v>English</x:v>
      </x:c>
      <x:c r="G677" t="str">
        <x:v>Stanford CS329A Self-Improving AI Agents | Part 3 | Robust Verification</x:v>
      </x:c>
      <x:c r="H677" t="str">
        <x:v>Stanford CS329A course team</x:v>
      </x:c>
      <x:c r="I677" t="str">
        <x:v>Stanford Online</x:v>
      </x:c>
      <x:c r="J677" t="str">
        <x:v>Course Lecture</x:v>
      </x:c>
      <x:c r="K677" s="148" t="n">
        <x:v>73</x:v>
      </x:c>
      <x:c r="L677" t="str">
        <x:v>https://www.youtube.com/watch?v=p7TdPUcPoik</x:v>
      </x:c>
      <x:c r="M677" t="str">
        <x:v>YouTube</x:v>
      </x:c>
      <x:c r="N677" s="150" t="n">
        <x:v>8304</x:v>
      </x:c>
      <x:c r="O677" t="str">
        <x:v>A | Official / Original Creator / Organizer</x:v>
      </x:c>
      <x:c r="P677" t="str">
        <x:v>Core</x:v>
      </x:c>
      <x:c r="Q677" t="str">
        <x:v>Verified</x:v>
      </x:c>
      <x:c r="R677" s="142" t="n">
        <x:v>46249</x:v>
      </x:c>
      <x:c r="S677" t="str">
        <x:v>Added in the latest gap audit from an official institution or original creator; public YouTube metadata verified; short demos excluded.</x:v>
      </x:c>
      <x:c r="T677" t="str">
        <x:v>p7TdPUcPoik</x:v>
      </x:c>
      <x:c r="U677" t="str">
        <x:v>Stanford CS329A: Self-Improving AI Agents — 2026</x:v>
      </x:c>
      <x:c r="V677" s="148" t="n">
        <x:v>3</x:v>
      </x:c>
      <x:c r="W677" t="str">
        <x:v>stanford-cs329a-self-improving-ai-agents-2026</x:v>
      </x:c>
    </x:row>
    <x:row r="678">
      <x:c r="A678" t="str">
        <x:v>ST-678</x:v>
      </x:c>
      <x:c r="B678" t="str">
        <x:v>Course</x:v>
      </x:c>
      <x:c r="C678" t="str">
        <x:v>Agent</x:v>
      </x:c>
      <x:c r="D678" t="str">
        <x:v>Agents / Tool Use / Reasoning</x:v>
      </x:c>
      <x:c r="E678" t="str">
        <x:v>Self-Improving Agents; Tool Use; Reasoning; Agent Training; Agent Evaluation</x:v>
      </x:c>
      <x:c r="F678" t="str">
        <x:v>English</x:v>
      </x:c>
      <x:c r="G678" t="str">
        <x:v>Stanford CS329A Self-Improving AI Agents | Part 4 | Learning from Feedback with Tools/Code</x:v>
      </x:c>
      <x:c r="H678" t="str">
        <x:v>Stanford CS329A course team</x:v>
      </x:c>
      <x:c r="I678" t="str">
        <x:v>Stanford Online</x:v>
      </x:c>
      <x:c r="J678" t="str">
        <x:v>Course Lecture</x:v>
      </x:c>
      <x:c r="K678" s="148" t="n">
        <x:v>71</x:v>
      </x:c>
      <x:c r="L678" t="str">
        <x:v>https://www.youtube.com/watch?v=Lxh9RF5S-K0</x:v>
      </x:c>
      <x:c r="M678" t="str">
        <x:v>YouTube</x:v>
      </x:c>
      <x:c r="N678" s="150" t="n">
        <x:v>11453</x:v>
      </x:c>
      <x:c r="O678" t="str">
        <x:v>A | Official / Original Creator / Organizer</x:v>
      </x:c>
      <x:c r="P678" t="str">
        <x:v>Core</x:v>
      </x:c>
      <x:c r="Q678" t="str">
        <x:v>Verified</x:v>
      </x:c>
      <x:c r="R678" s="142" t="n">
        <x:v>46249</x:v>
      </x:c>
      <x:c r="S678" t="str">
        <x:v>Added in the latest gap audit from an official institution or original creator; public YouTube metadata verified; short demos excluded.</x:v>
      </x:c>
      <x:c r="T678" t="str">
        <x:v>Lxh9RF5S-K0</x:v>
      </x:c>
      <x:c r="U678" t="str">
        <x:v>Stanford CS329A: Self-Improving AI Agents — 2026</x:v>
      </x:c>
      <x:c r="V678" s="148" t="n">
        <x:v>4</x:v>
      </x:c>
      <x:c r="W678" t="str">
        <x:v>stanford-cs329a-self-improving-ai-agents-2026</x:v>
      </x:c>
    </x:row>
    <x:row r="679">
      <x:c r="A679" t="str">
        <x:v>ST-679</x:v>
      </x:c>
      <x:c r="B679" t="str">
        <x:v>Course</x:v>
      </x:c>
      <x:c r="C679" t="str">
        <x:v>Agent</x:v>
      </x:c>
      <x:c r="D679" t="str">
        <x:v>Agents / Tool Use / Reasoning</x:v>
      </x:c>
      <x:c r="E679" t="str">
        <x:v>Self-Improving Agents; Tool Use; Reasoning; Agent Training; Agent Evaluation</x:v>
      </x:c>
      <x:c r="F679" t="str">
        <x:v>English</x:v>
      </x:c>
      <x:c r="G679" t="str">
        <x:v>Stanford CS329A Self-Improving AI Agents | Part 5 | Planning and Multi-Step Reasoning</x:v>
      </x:c>
      <x:c r="H679" t="str">
        <x:v>Stanford CS329A course team</x:v>
      </x:c>
      <x:c r="I679" t="str">
        <x:v>Stanford Online</x:v>
      </x:c>
      <x:c r="J679" t="str">
        <x:v>Course Lecture</x:v>
      </x:c>
      <x:c r="K679" s="148" t="n">
        <x:v>75</x:v>
      </x:c>
      <x:c r="L679" t="str">
        <x:v>https://www.youtube.com/watch?v=Ml_fp9XkB8Y</x:v>
      </x:c>
      <x:c r="M679" t="str">
        <x:v>YouTube</x:v>
      </x:c>
      <x:c r="N679" s="150" t="n">
        <x:v>7072</x:v>
      </x:c>
      <x:c r="O679" t="str">
        <x:v>A | Official / Original Creator / Organizer</x:v>
      </x:c>
      <x:c r="P679" t="str">
        <x:v>Core</x:v>
      </x:c>
      <x:c r="Q679" t="str">
        <x:v>Verified</x:v>
      </x:c>
      <x:c r="R679" s="142" t="n">
        <x:v>46249</x:v>
      </x:c>
      <x:c r="S679" t="str">
        <x:v>Added in the latest gap audit from an official institution or original creator; public YouTube metadata verified; short demos excluded.</x:v>
      </x:c>
      <x:c r="T679" t="str">
        <x:v>Ml_fp9XkB8Y</x:v>
      </x:c>
      <x:c r="U679" t="str">
        <x:v>Stanford CS329A: Self-Improving AI Agents — 2026</x:v>
      </x:c>
      <x:c r="V679" s="148" t="n">
        <x:v>5</x:v>
      </x:c>
      <x:c r="W679" t="str">
        <x:v>stanford-cs329a-self-improving-ai-agents-2026</x:v>
      </x:c>
    </x:row>
    <x:row r="680">
      <x:c r="A680" t="str">
        <x:v>ST-680</x:v>
      </x:c>
      <x:c r="B680" t="str">
        <x:v>Course</x:v>
      </x:c>
      <x:c r="C680" t="str">
        <x:v>Agent</x:v>
      </x:c>
      <x:c r="D680" t="str">
        <x:v>Agents / Tool Use / Reasoning</x:v>
      </x:c>
      <x:c r="E680" t="str">
        <x:v>Self-Improving Agents; Tool Use; Reasoning; Agent Training; Agent Evaluation</x:v>
      </x:c>
      <x:c r="F680" t="str">
        <x:v>English</x:v>
      </x:c>
      <x:c r="G680" t="str">
        <x:v>Stanford CS329A Self-Improving AI Agents | Part 6 | Train Time Scaling/Scaling RL</x:v>
      </x:c>
      <x:c r="H680" t="str">
        <x:v>Stanford CS329A course team</x:v>
      </x:c>
      <x:c r="I680" t="str">
        <x:v>Stanford Online</x:v>
      </x:c>
      <x:c r="J680" t="str">
        <x:v>Course Lecture</x:v>
      </x:c>
      <x:c r="K680" s="148" t="n">
        <x:v>73</x:v>
      </x:c>
      <x:c r="L680" t="str">
        <x:v>https://www.youtube.com/watch?v=yVnmHSAy3ck</x:v>
      </x:c>
      <x:c r="M680" t="str">
        <x:v>YouTube</x:v>
      </x:c>
      <x:c r="N680" s="150" t="n">
        <x:v>5742</x:v>
      </x:c>
      <x:c r="O680" t="str">
        <x:v>A | Official / Original Creator / Organizer</x:v>
      </x:c>
      <x:c r="P680" t="str">
        <x:v>Core</x:v>
      </x:c>
      <x:c r="Q680" t="str">
        <x:v>Verified</x:v>
      </x:c>
      <x:c r="R680" s="142" t="n">
        <x:v>46249</x:v>
      </x:c>
      <x:c r="S680" t="str">
        <x:v>Added in the latest gap audit from an official institution or original creator; public YouTube metadata verified; short demos excluded.</x:v>
      </x:c>
      <x:c r="T680" t="str">
        <x:v>yVnmHSAy3ck</x:v>
      </x:c>
      <x:c r="U680" t="str">
        <x:v>Stanford CS329A: Self-Improving AI Agents — 2026</x:v>
      </x:c>
      <x:c r="V680" s="148" t="n">
        <x:v>6</x:v>
      </x:c>
      <x:c r="W680" t="str">
        <x:v>stanford-cs329a-self-improving-ai-agents-2026</x:v>
      </x:c>
    </x:row>
    <x:row r="681">
      <x:c r="A681" t="str">
        <x:v>ST-681</x:v>
      </x:c>
      <x:c r="B681" t="str">
        <x:v>Course</x:v>
      </x:c>
      <x:c r="C681" t="str">
        <x:v>Agent</x:v>
      </x:c>
      <x:c r="D681" t="str">
        <x:v>Agents / Tool Use / Reasoning</x:v>
      </x:c>
      <x:c r="E681" t="str">
        <x:v>Self-Improving Agents; Tool Use; Reasoning; Agent Training; Agent Evaluation</x:v>
      </x:c>
      <x:c r="F681" t="str">
        <x:v>English</x:v>
      </x:c>
      <x:c r="G681" t="str">
        <x:v>Stanford CS329A Self-Improving AI Agents | Part 7 | Self-Improvement and Deep Research Agents</x:v>
      </x:c>
      <x:c r="H681" t="str">
        <x:v>Stanford CS329A course team</x:v>
      </x:c>
      <x:c r="I681" t="str">
        <x:v>Stanford Online</x:v>
      </x:c>
      <x:c r="J681" t="str">
        <x:v>Course Lecture</x:v>
      </x:c>
      <x:c r="K681" s="148" t="n">
        <x:v>72</x:v>
      </x:c>
      <x:c r="L681" t="str">
        <x:v>https://www.youtube.com/watch?v=Uni9dqyuuDM</x:v>
      </x:c>
      <x:c r="M681" t="str">
        <x:v>YouTube</x:v>
      </x:c>
      <x:c r="N681" s="150" t="n">
        <x:v>4069</x:v>
      </x:c>
      <x:c r="O681" t="str">
        <x:v>A | Official / Original Creator / Organizer</x:v>
      </x:c>
      <x:c r="P681" t="str">
        <x:v>Core</x:v>
      </x:c>
      <x:c r="Q681" t="str">
        <x:v>Verified</x:v>
      </x:c>
      <x:c r="R681" s="142" t="n">
        <x:v>46249</x:v>
      </x:c>
      <x:c r="S681" t="str">
        <x:v>Added in the latest gap audit from an official institution or original creator; public YouTube metadata verified; short demos excluded.</x:v>
      </x:c>
      <x:c r="T681" t="str">
        <x:v>Uni9dqyuuDM</x:v>
      </x:c>
      <x:c r="U681" t="str">
        <x:v>Stanford CS329A: Self-Improving AI Agents — 2026</x:v>
      </x:c>
      <x:c r="V681" s="148" t="n">
        <x:v>7</x:v>
      </x:c>
      <x:c r="W681" t="str">
        <x:v>stanford-cs329a-self-improving-ai-agents-2026</x:v>
      </x:c>
    </x:row>
    <x:row r="682">
      <x:c r="A682" t="str">
        <x:v>ST-682</x:v>
      </x:c>
      <x:c r="B682" t="str">
        <x:v>Course</x:v>
      </x:c>
      <x:c r="C682" t="str">
        <x:v>Agent</x:v>
      </x:c>
      <x:c r="D682" t="str">
        <x:v>Agents / Tool Use / Reasoning</x:v>
      </x:c>
      <x:c r="E682" t="str">
        <x:v>Self-Improving Agents; Tool Use; Reasoning; Agent Training; Agent Evaluation</x:v>
      </x:c>
      <x:c r="F682" t="str">
        <x:v>English</x:v>
      </x:c>
      <x:c r="G682" t="str">
        <x:v>Stanford CS329A Self-Improving AI Agents | Part 8 | Agentic Evaluations and Long Horizon Tasks</x:v>
      </x:c>
      <x:c r="H682" t="str">
        <x:v>Stanford CS329A course team</x:v>
      </x:c>
      <x:c r="I682" t="str">
        <x:v>Stanford Online</x:v>
      </x:c>
      <x:c r="J682" t="str">
        <x:v>Course Lecture</x:v>
      </x:c>
      <x:c r="K682" s="148" t="n">
        <x:v>75</x:v>
      </x:c>
      <x:c r="L682" t="str">
        <x:v>https://www.youtube.com/watch?v=8JAqLnTaZu4</x:v>
      </x:c>
      <x:c r="M682" t="str">
        <x:v>YouTube</x:v>
      </x:c>
      <x:c r="N682" s="150" t="n">
        <x:v>4516</x:v>
      </x:c>
      <x:c r="O682" t="str">
        <x:v>A | Official / Original Creator / Organizer</x:v>
      </x:c>
      <x:c r="P682" t="str">
        <x:v>Core</x:v>
      </x:c>
      <x:c r="Q682" t="str">
        <x:v>Verified</x:v>
      </x:c>
      <x:c r="R682" s="142" t="n">
        <x:v>46249</x:v>
      </x:c>
      <x:c r="S682" t="str">
        <x:v>Added in the latest gap audit from an official institution or original creator; public YouTube metadata verified; short demos excluded.</x:v>
      </x:c>
      <x:c r="T682" t="str">
        <x:v>8JAqLnTaZu4</x:v>
      </x:c>
      <x:c r="U682" t="str">
        <x:v>Stanford CS329A: Self-Improving AI Agents — 2026</x:v>
      </x:c>
      <x:c r="V682" s="148" t="n">
        <x:v>8</x:v>
      </x:c>
      <x:c r="W682" t="str">
        <x:v>stanford-cs329a-self-improving-ai-agents-2026</x:v>
      </x:c>
    </x:row>
    <x:row r="683">
      <x:c r="A683" t="str">
        <x:v>ST-683</x:v>
      </x:c>
      <x:c r="B683" t="str">
        <x:v>Course</x:v>
      </x:c>
      <x:c r="C683" t="str">
        <x:v>Agent</x:v>
      </x:c>
      <x:c r="D683" t="str">
        <x:v>Agents / Tool Use / Reasoning</x:v>
      </x:c>
      <x:c r="E683" t="str">
        <x:v>Self-Improving Agents; Tool Use; Reasoning; Agent Training; Agent Evaluation</x:v>
      </x:c>
      <x:c r="F683" t="str">
        <x:v>English</x:v>
      </x:c>
      <x:c r="G683" t="str">
        <x:v>Stanford CS329A Self-Improving AI Agents | Part 9 | Future Research Areas</x:v>
      </x:c>
      <x:c r="H683" t="str">
        <x:v>Stanford CS329A course team</x:v>
      </x:c>
      <x:c r="I683" t="str">
        <x:v>Stanford Online</x:v>
      </x:c>
      <x:c r="J683" t="str">
        <x:v>Course Lecture</x:v>
      </x:c>
      <x:c r="K683" s="148" t="n">
        <x:v>68</x:v>
      </x:c>
      <x:c r="L683" t="str">
        <x:v>https://www.youtube.com/watch?v=AyO6wyu4DEg</x:v>
      </x:c>
      <x:c r="M683" t="str">
        <x:v>YouTube</x:v>
      </x:c>
      <x:c r="N683" s="150" t="n">
        <x:v>7214</x:v>
      </x:c>
      <x:c r="O683" t="str">
        <x:v>A | Official / Original Creator / Organizer</x:v>
      </x:c>
      <x:c r="P683" t="str">
        <x:v>Core</x:v>
      </x:c>
      <x:c r="Q683" t="str">
        <x:v>Verified</x:v>
      </x:c>
      <x:c r="R683" s="142" t="n">
        <x:v>46249</x:v>
      </x:c>
      <x:c r="S683" t="str">
        <x:v>Added in the latest gap audit from an official institution or original creator; public YouTube metadata verified; short demos excluded.</x:v>
      </x:c>
      <x:c r="T683" t="str">
        <x:v>AyO6wyu4DEg</x:v>
      </x:c>
      <x:c r="U683" t="str">
        <x:v>Stanford CS329A: Self-Improving AI Agents — 2026</x:v>
      </x:c>
      <x:c r="V683" s="148" t="n">
        <x:v>9</x:v>
      </x:c>
      <x:c r="W683" t="str">
        <x:v>stanford-cs329a-self-improving-ai-agents-2026</x:v>
      </x:c>
    </x:row>
    <x:row r="684">
      <x:c r="A684" t="str">
        <x:v>ST-684</x:v>
      </x:c>
      <x:c r="B684" t="str">
        <x:v>Course</x:v>
      </x:c>
      <x:c r="C684" t="str">
        <x:v>Other</x:v>
      </x:c>
      <x:c r="D684" t="str">
        <x:v>Machine Learning Foundations</x:v>
      </x:c>
      <x:c r="E684" t="str">
        <x:v>Machine Learning; Supervised Learning; Unsupervised Learning; Deep Learning</x:v>
      </x:c>
      <x:c r="F684" t="str">
        <x:v>English</x:v>
      </x:c>
      <x:c r="G684" t="str">
        <x:v>Stanford CS229 Machine Learning | Spring 2026 | Lecture 1: Introduction</x:v>
      </x:c>
      <x:c r="H684" t="str">
        <x:v>Stanford CS229 course team</x:v>
      </x:c>
      <x:c r="I684" t="str">
        <x:v>Stanford Online</x:v>
      </x:c>
      <x:c r="J684" t="str">
        <x:v>Course Lecture</x:v>
      </x:c>
      <x:c r="K684" s="148" t="n">
        <x:v>37</x:v>
      </x:c>
      <x:c r="L684" t="str">
        <x:v>https://www.youtube.com/watch?v=DATnpGoGhM8</x:v>
      </x:c>
      <x:c r="M684" t="str">
        <x:v>YouTube</x:v>
      </x:c>
      <x:c r="N684" s="150" t="n">
        <x:v>21380</x:v>
      </x:c>
      <x:c r="O684" t="str">
        <x:v>A | Official / Original Creator / Organizer</x:v>
      </x:c>
      <x:c r="P684" t="str">
        <x:v>Core</x:v>
      </x:c>
      <x:c r="Q684" t="str">
        <x:v>Verified</x:v>
      </x:c>
      <x:c r="R684" s="142" t="n">
        <x:v>46249</x:v>
      </x:c>
      <x:c r="S684" t="str">
        <x:v>Added in the latest gap audit from an official institution or original creator; public YouTube metadata verified; short demos excluded.</x:v>
      </x:c>
      <x:c r="T684" t="str">
        <x:v>DATnpGoGhM8</x:v>
      </x:c>
      <x:c r="U684" t="str">
        <x:v>Stanford CS229: Machine Learning — Spring 2026</x:v>
      </x:c>
      <x:c r="V684" s="148" t="n">
        <x:v>1</x:v>
      </x:c>
      <x:c r="W684" t="str">
        <x:v>stanford-cs229-spring-2026</x:v>
      </x:c>
    </x:row>
    <x:row r="685">
      <x:c r="A685" t="str">
        <x:v>ST-685</x:v>
      </x:c>
      <x:c r="B685" t="str">
        <x:v>Course</x:v>
      </x:c>
      <x:c r="C685" t="str">
        <x:v>Other</x:v>
      </x:c>
      <x:c r="D685" t="str">
        <x:v>Machine Learning Foundations</x:v>
      </x:c>
      <x:c r="E685" t="str">
        <x:v>Machine Learning; Supervised Learning; Unsupervised Learning; Deep Learning</x:v>
      </x:c>
      <x:c r="F685" t="str">
        <x:v>English</x:v>
      </x:c>
      <x:c r="G685" t="str">
        <x:v>Stanford CS229 Machine Learning | Spring 2026 | Lecture 2: Supervised Learning Setup</x:v>
      </x:c>
      <x:c r="H685" t="str">
        <x:v>Stanford CS229 course team</x:v>
      </x:c>
      <x:c r="I685" t="str">
        <x:v>Stanford Online</x:v>
      </x:c>
      <x:c r="J685" t="str">
        <x:v>Course Lecture</x:v>
      </x:c>
      <x:c r="K685" s="148" t="n">
        <x:v>78</x:v>
      </x:c>
      <x:c r="L685" t="str">
        <x:v>https://www.youtube.com/watch?v=cmNIMjPYdgM</x:v>
      </x:c>
      <x:c r="M685" t="str">
        <x:v>YouTube</x:v>
      </x:c>
      <x:c r="N685" s="150" t="n">
        <x:v>7339</x:v>
      </x:c>
      <x:c r="O685" t="str">
        <x:v>A | Official / Original Creator / Organizer</x:v>
      </x:c>
      <x:c r="P685" t="str">
        <x:v>Core</x:v>
      </x:c>
      <x:c r="Q685" t="str">
        <x:v>Verified</x:v>
      </x:c>
      <x:c r="R685" s="142" t="n">
        <x:v>46249</x:v>
      </x:c>
      <x:c r="S685" t="str">
        <x:v>Added in the latest gap audit from an official institution or original creator; public YouTube metadata verified; short demos excluded.</x:v>
      </x:c>
      <x:c r="T685" t="str">
        <x:v>cmNIMjPYdgM</x:v>
      </x:c>
      <x:c r="U685" t="str">
        <x:v>Stanford CS229: Machine Learning — Spring 2026</x:v>
      </x:c>
      <x:c r="V685" s="148" t="n">
        <x:v>2</x:v>
      </x:c>
      <x:c r="W685" t="str">
        <x:v>stanford-cs229-spring-2026</x:v>
      </x:c>
    </x:row>
    <x:row r="686">
      <x:c r="A686" t="str">
        <x:v>ST-686</x:v>
      </x:c>
      <x:c r="B686" t="str">
        <x:v>Course</x:v>
      </x:c>
      <x:c r="C686" t="str">
        <x:v>Other</x:v>
      </x:c>
      <x:c r="D686" t="str">
        <x:v>Machine Learning Foundations</x:v>
      </x:c>
      <x:c r="E686" t="str">
        <x:v>Machine Learning; Supervised Learning; Unsupervised Learning; Deep Learning</x:v>
      </x:c>
      <x:c r="F686" t="str">
        <x:v>English</x:v>
      </x:c>
      <x:c r="G686" t="str">
        <x:v>Stanford CS229 Machine Learning | Spring 2026 | Lecture 3: Weighted Least Squares</x:v>
      </x:c>
      <x:c r="H686" t="str">
        <x:v>Stanford CS229 course team</x:v>
      </x:c>
      <x:c r="I686" t="str">
        <x:v>Stanford Online</x:v>
      </x:c>
      <x:c r="J686" t="str">
        <x:v>Course Lecture</x:v>
      </x:c>
      <x:c r="K686" s="148" t="n">
        <x:v>62</x:v>
      </x:c>
      <x:c r="L686" t="str">
        <x:v>https://www.youtube.com/watch?v=uJF_gL3jhxI</x:v>
      </x:c>
      <x:c r="M686" t="str">
        <x:v>YouTube</x:v>
      </x:c>
      <x:c r="N686" s="150" t="n">
        <x:v>2880</x:v>
      </x:c>
      <x:c r="O686" t="str">
        <x:v>A | Official / Original Creator / Organizer</x:v>
      </x:c>
      <x:c r="P686" t="str">
        <x:v>Core</x:v>
      </x:c>
      <x:c r="Q686" t="str">
        <x:v>Verified</x:v>
      </x:c>
      <x:c r="R686" s="142" t="n">
        <x:v>46249</x:v>
      </x:c>
      <x:c r="S686" t="str">
        <x:v>Added in the latest gap audit from an official institution or original creator; public YouTube metadata verified; short demos excluded.</x:v>
      </x:c>
      <x:c r="T686" t="str">
        <x:v>uJF_gL3jhxI</x:v>
      </x:c>
      <x:c r="U686" t="str">
        <x:v>Stanford CS229: Machine Learning — Spring 2026</x:v>
      </x:c>
      <x:c r="V686" s="148" t="n">
        <x:v>3</x:v>
      </x:c>
      <x:c r="W686" t="str">
        <x:v>stanford-cs229-spring-2026</x:v>
      </x:c>
    </x:row>
    <x:row r="687">
      <x:c r="A687" t="str">
        <x:v>ST-687</x:v>
      </x:c>
      <x:c r="B687" t="str">
        <x:v>Course</x:v>
      </x:c>
      <x:c r="C687" t="str">
        <x:v>Other</x:v>
      </x:c>
      <x:c r="D687" t="str">
        <x:v>Machine Learning Foundations</x:v>
      </x:c>
      <x:c r="E687" t="str">
        <x:v>Machine Learning; Supervised Learning; Unsupervised Learning; Deep Learning</x:v>
      </x:c>
      <x:c r="F687" t="str">
        <x:v>English</x:v>
      </x:c>
      <x:c r="G687" t="str">
        <x:v>Stanford CS229 Machine Learning | Spring 2026 | Lecture 4: Exponential Family, GLMs Classification</x:v>
      </x:c>
      <x:c r="H687" t="str">
        <x:v>Stanford CS229 course team</x:v>
      </x:c>
      <x:c r="I687" t="str">
        <x:v>Stanford Online</x:v>
      </x:c>
      <x:c r="J687" t="str">
        <x:v>Course Lecture</x:v>
      </x:c>
      <x:c r="K687" s="148" t="n">
        <x:v>74</x:v>
      </x:c>
      <x:c r="L687" t="str">
        <x:v>https://www.youtube.com/watch?v=8gVi4Rk21Eg</x:v>
      </x:c>
      <x:c r="M687" t="str">
        <x:v>YouTube</x:v>
      </x:c>
      <x:c r="N687" s="150" t="n">
        <x:v>3340</x:v>
      </x:c>
      <x:c r="O687" t="str">
        <x:v>A | Official / Original Creator / Organizer</x:v>
      </x:c>
      <x:c r="P687" t="str">
        <x:v>Core</x:v>
      </x:c>
      <x:c r="Q687" t="str">
        <x:v>Verified</x:v>
      </x:c>
      <x:c r="R687" s="142" t="n">
        <x:v>46249</x:v>
      </x:c>
      <x:c r="S687" t="str">
        <x:v>Added in the latest gap audit from an official institution or original creator; public YouTube metadata verified; short demos excluded.</x:v>
      </x:c>
      <x:c r="T687" t="str">
        <x:v>8gVi4Rk21Eg</x:v>
      </x:c>
      <x:c r="U687" t="str">
        <x:v>Stanford CS229: Machine Learning — Spring 2026</x:v>
      </x:c>
      <x:c r="V687" s="148" t="n">
        <x:v>4</x:v>
      </x:c>
      <x:c r="W687" t="str">
        <x:v>stanford-cs229-spring-2026</x:v>
      </x:c>
    </x:row>
    <x:row r="688">
      <x:c r="A688" t="str">
        <x:v>ST-688</x:v>
      </x:c>
      <x:c r="B688" t="str">
        <x:v>Course</x:v>
      </x:c>
      <x:c r="C688" t="str">
        <x:v>Other</x:v>
      </x:c>
      <x:c r="D688" t="str">
        <x:v>Machine Learning Foundations</x:v>
      </x:c>
      <x:c r="E688" t="str">
        <x:v>Machine Learning; Supervised Learning; Unsupervised Learning; Deep Learning</x:v>
      </x:c>
      <x:c r="F688" t="str">
        <x:v>English</x:v>
      </x:c>
      <x:c r="G688" t="str">
        <x:v>Stanford CS229 Machine Learning | Spring 2026 | Lecture 5: Gaussian Discriminant Analysis</x:v>
      </x:c>
      <x:c r="H688" t="str">
        <x:v>Stanford CS229 course team</x:v>
      </x:c>
      <x:c r="I688" t="str">
        <x:v>Stanford Online</x:v>
      </x:c>
      <x:c r="J688" t="str">
        <x:v>Course Lecture</x:v>
      </x:c>
      <x:c r="K688" s="148" t="n">
        <x:v>82</x:v>
      </x:c>
      <x:c r="L688" t="str">
        <x:v>https://www.youtube.com/watch?v=zRdE8A4UZes</x:v>
      </x:c>
      <x:c r="M688" t="str">
        <x:v>YouTube</x:v>
      </x:c>
      <x:c r="N688" s="150" t="n">
        <x:v>3031</x:v>
      </x:c>
      <x:c r="O688" t="str">
        <x:v>A | Official / Original Creator / Organizer</x:v>
      </x:c>
      <x:c r="P688" t="str">
        <x:v>Core</x:v>
      </x:c>
      <x:c r="Q688" t="str">
        <x:v>Verified</x:v>
      </x:c>
      <x:c r="R688" s="142" t="n">
        <x:v>46249</x:v>
      </x:c>
      <x:c r="S688" t="str">
        <x:v>Added in the latest gap audit from an official institution or original creator; public YouTube metadata verified; short demos excluded.</x:v>
      </x:c>
      <x:c r="T688" t="str">
        <x:v>zRdE8A4UZes</x:v>
      </x:c>
      <x:c r="U688" t="str">
        <x:v>Stanford CS229: Machine Learning — Spring 2026</x:v>
      </x:c>
      <x:c r="V688" s="148" t="n">
        <x:v>5</x:v>
      </x:c>
      <x:c r="W688" t="str">
        <x:v>stanford-cs229-spring-2026</x:v>
      </x:c>
    </x:row>
    <x:row r="689">
      <x:c r="A689" t="str">
        <x:v>ST-689</x:v>
      </x:c>
      <x:c r="B689" t="str">
        <x:v>Course</x:v>
      </x:c>
      <x:c r="C689" t="str">
        <x:v>Other</x:v>
      </x:c>
      <x:c r="D689" t="str">
        <x:v>Machine Learning Foundations</x:v>
      </x:c>
      <x:c r="E689" t="str">
        <x:v>Machine Learning; Supervised Learning; Unsupervised Learning; Deep Learning</x:v>
      </x:c>
      <x:c r="F689" t="str">
        <x:v>English</x:v>
      </x:c>
      <x:c r="G689" t="str">
        <x:v>Stanford CS229 Machine Learning | Spring 2026 | Lecture 6: Dataset Split, ML Advice</x:v>
      </x:c>
      <x:c r="H689" t="str">
        <x:v>Stanford CS229 course team</x:v>
      </x:c>
      <x:c r="I689" t="str">
        <x:v>Stanford Online</x:v>
      </x:c>
      <x:c r="J689" t="str">
        <x:v>Course Lecture</x:v>
      </x:c>
      <x:c r="K689" s="148" t="n">
        <x:v>78</x:v>
      </x:c>
      <x:c r="L689" t="str">
        <x:v>https://www.youtube.com/watch?v=llnEgyyuYkQ</x:v>
      </x:c>
      <x:c r="M689" t="str">
        <x:v>YouTube</x:v>
      </x:c>
      <x:c r="N689" s="150" t="n">
        <x:v>1894</x:v>
      </x:c>
      <x:c r="O689" t="str">
        <x:v>A | Official / Original Creator / Organizer</x:v>
      </x:c>
      <x:c r="P689" t="str">
        <x:v>Core</x:v>
      </x:c>
      <x:c r="Q689" t="str">
        <x:v>Verified</x:v>
      </x:c>
      <x:c r="R689" s="142" t="n">
        <x:v>46249</x:v>
      </x:c>
      <x:c r="S689" t="str">
        <x:v>Added in the latest gap audit from an official institution or original creator; public YouTube metadata verified; short demos excluded.</x:v>
      </x:c>
      <x:c r="T689" t="str">
        <x:v>llnEgyyuYkQ</x:v>
      </x:c>
      <x:c r="U689" t="str">
        <x:v>Stanford CS229: Machine Learning — Spring 2026</x:v>
      </x:c>
      <x:c r="V689" s="148" t="n">
        <x:v>6</x:v>
      </x:c>
      <x:c r="W689" t="str">
        <x:v>stanford-cs229-spring-2026</x:v>
      </x:c>
    </x:row>
    <x:row r="690">
      <x:c r="A690" t="str">
        <x:v>ST-690</x:v>
      </x:c>
      <x:c r="B690" t="str">
        <x:v>Course</x:v>
      </x:c>
      <x:c r="C690" t="str">
        <x:v>Other</x:v>
      </x:c>
      <x:c r="D690" t="str">
        <x:v>Machine Learning Foundations</x:v>
      </x:c>
      <x:c r="E690" t="str">
        <x:v>Machine Learning; Supervised Learning; Unsupervised Learning; Deep Learning</x:v>
      </x:c>
      <x:c r="F690" t="str">
        <x:v>English</x:v>
      </x:c>
      <x:c r="G690" t="str">
        <x:v>Stanford CS229 Machine Learning | Spring 2026 | Lecture 7: Neural Networks 1 (Architecture)</x:v>
      </x:c>
      <x:c r="H690" t="str">
        <x:v>Stanford CS229 course team</x:v>
      </x:c>
      <x:c r="I690" t="str">
        <x:v>Stanford Online</x:v>
      </x:c>
      <x:c r="J690" t="str">
        <x:v>Course Lecture</x:v>
      </x:c>
      <x:c r="K690" s="148" t="n">
        <x:v>80</x:v>
      </x:c>
      <x:c r="L690" t="str">
        <x:v>https://www.youtube.com/watch?v=fRM41w9jzQo</x:v>
      </x:c>
      <x:c r="M690" t="str">
        <x:v>YouTube</x:v>
      </x:c>
      <x:c r="N690" s="150" t="n">
        <x:v>11278</x:v>
      </x:c>
      <x:c r="O690" t="str">
        <x:v>A | Official / Original Creator / Organizer</x:v>
      </x:c>
      <x:c r="P690" t="str">
        <x:v>Core</x:v>
      </x:c>
      <x:c r="Q690" t="str">
        <x:v>Verified</x:v>
      </x:c>
      <x:c r="R690" s="142" t="n">
        <x:v>46249</x:v>
      </x:c>
      <x:c r="S690" t="str">
        <x:v>Added in the latest gap audit from an official institution or original creator; public YouTube metadata verified; short demos excluded.</x:v>
      </x:c>
      <x:c r="T690" t="str">
        <x:v>fRM41w9jzQo</x:v>
      </x:c>
      <x:c r="U690" t="str">
        <x:v>Stanford CS229: Machine Learning — Spring 2026</x:v>
      </x:c>
      <x:c r="V690" s="148" t="n">
        <x:v>7</x:v>
      </x:c>
      <x:c r="W690" t="str">
        <x:v>stanford-cs229-spring-2026</x:v>
      </x:c>
    </x:row>
    <x:row r="691">
      <x:c r="A691" t="str">
        <x:v>ST-691</x:v>
      </x:c>
      <x:c r="B691" t="str">
        <x:v>Course</x:v>
      </x:c>
      <x:c r="C691" t="str">
        <x:v>Other</x:v>
      </x:c>
      <x:c r="D691" t="str">
        <x:v>Machine Learning Foundations</x:v>
      </x:c>
      <x:c r="E691" t="str">
        <x:v>Machine Learning; Supervised Learning; Unsupervised Learning; Deep Learning</x:v>
      </x:c>
      <x:c r="F691" t="str">
        <x:v>English</x:v>
      </x:c>
      <x:c r="G691" t="str">
        <x:v>Stanford CS229 Machine Learning | Spring 2026 | Lecture 8: Neural Networks 2 (Backprop)</x:v>
      </x:c>
      <x:c r="H691" t="str">
        <x:v>Stanford CS229 course team</x:v>
      </x:c>
      <x:c r="I691" t="str">
        <x:v>Stanford Online</x:v>
      </x:c>
      <x:c r="J691" t="str">
        <x:v>Course Lecture</x:v>
      </x:c>
      <x:c r="K691" s="148" t="n">
        <x:v>62</x:v>
      </x:c>
      <x:c r="L691" t="str">
        <x:v>https://www.youtube.com/watch?v=ne2ngVAoMG8</x:v>
      </x:c>
      <x:c r="M691" t="str">
        <x:v>YouTube</x:v>
      </x:c>
      <x:c r="N691" s="150" t="n">
        <x:v>1854</x:v>
      </x:c>
      <x:c r="O691" t="str">
        <x:v>A | Official / Original Creator / Organizer</x:v>
      </x:c>
      <x:c r="P691" t="str">
        <x:v>Core</x:v>
      </x:c>
      <x:c r="Q691" t="str">
        <x:v>Verified</x:v>
      </x:c>
      <x:c r="R691" s="142" t="n">
        <x:v>46249</x:v>
      </x:c>
      <x:c r="S691" t="str">
        <x:v>Added in the latest gap audit from an official institution or original creator; public YouTube metadata verified; short demos excluded.</x:v>
      </x:c>
      <x:c r="T691" t="str">
        <x:v>ne2ngVAoMG8</x:v>
      </x:c>
      <x:c r="U691" t="str">
        <x:v>Stanford CS229: Machine Learning — Spring 2026</x:v>
      </x:c>
      <x:c r="V691" s="148" t="n">
        <x:v>8</x:v>
      </x:c>
      <x:c r="W691" t="str">
        <x:v>stanford-cs229-spring-2026</x:v>
      </x:c>
    </x:row>
    <x:row r="692">
      <x:c r="A692" t="str">
        <x:v>ST-692</x:v>
      </x:c>
      <x:c r="B692" t="str">
        <x:v>Course</x:v>
      </x:c>
      <x:c r="C692" t="str">
        <x:v>Other</x:v>
      </x:c>
      <x:c r="D692" t="str">
        <x:v>Machine Learning Foundations</x:v>
      </x:c>
      <x:c r="E692" t="str">
        <x:v>Machine Learning; Supervised Learning; Unsupervised Learning; Deep Learning</x:v>
      </x:c>
      <x:c r="F692" t="str">
        <x:v>English</x:v>
      </x:c>
      <x:c r="G692" t="str">
        <x:v>Stanford CS229 Machine Learning | Spring 2026 | Lecture 9: K-Means and GMM (non-EM)</x:v>
      </x:c>
      <x:c r="H692" t="str">
        <x:v>Stanford CS229 course team</x:v>
      </x:c>
      <x:c r="I692" t="str">
        <x:v>Stanford Online</x:v>
      </x:c>
      <x:c r="J692" t="str">
        <x:v>Course Lecture</x:v>
      </x:c>
      <x:c r="K692" s="148" t="n">
        <x:v>77</x:v>
      </x:c>
      <x:c r="L692" t="str">
        <x:v>https://www.youtube.com/watch?v=bSmIGBCoffA</x:v>
      </x:c>
      <x:c r="M692" t="str">
        <x:v>YouTube</x:v>
      </x:c>
      <x:c r="N692" s="150" t="n">
        <x:v>1255</x:v>
      </x:c>
      <x:c r="O692" t="str">
        <x:v>A | Official / Original Creator / Organizer</x:v>
      </x:c>
      <x:c r="P692" t="str">
        <x:v>Core</x:v>
      </x:c>
      <x:c r="Q692" t="str">
        <x:v>Verified</x:v>
      </x:c>
      <x:c r="R692" s="142" t="n">
        <x:v>46249</x:v>
      </x:c>
      <x:c r="S692" t="str">
        <x:v>Added in the latest gap audit from an official institution or original creator; public YouTube metadata verified; short demos excluded.</x:v>
      </x:c>
      <x:c r="T692" t="str">
        <x:v>bSmIGBCoffA</x:v>
      </x:c>
      <x:c r="U692" t="str">
        <x:v>Stanford CS229: Machine Learning — Spring 2026</x:v>
      </x:c>
      <x:c r="V692" s="148" t="n">
        <x:v>9</x:v>
      </x:c>
      <x:c r="W692" t="str">
        <x:v>stanford-cs229-spring-2026</x:v>
      </x:c>
    </x:row>
    <x:row r="693">
      <x:c r="A693" t="str">
        <x:v>ST-693</x:v>
      </x:c>
      <x:c r="B693" t="str">
        <x:v>Course</x:v>
      </x:c>
      <x:c r="C693" t="str">
        <x:v>Other</x:v>
      </x:c>
      <x:c r="D693" t="str">
        <x:v>Machine Learning Foundations</x:v>
      </x:c>
      <x:c r="E693" t="str">
        <x:v>Machine Learning; Supervised Learning; Unsupervised Learning; Deep Learning</x:v>
      </x:c>
      <x:c r="F693" t="str">
        <x:v>English</x:v>
      </x:c>
      <x:c r="G693" t="str">
        <x:v>Stanford CS229 Machine Learning | Spring 2026 | Lecture 10: GMM (EM), PCA</x:v>
      </x:c>
      <x:c r="H693" t="str">
        <x:v>Stanford CS229 course team</x:v>
      </x:c>
      <x:c r="I693" t="str">
        <x:v>Stanford Online</x:v>
      </x:c>
      <x:c r="J693" t="str">
        <x:v>Course Lecture</x:v>
      </x:c>
      <x:c r="K693" s="148" t="n">
        <x:v>80</x:v>
      </x:c>
      <x:c r="L693" t="str">
        <x:v>https://www.youtube.com/watch?v=sUS-eTa0l6s</x:v>
      </x:c>
      <x:c r="M693" t="str">
        <x:v>YouTube</x:v>
      </x:c>
      <x:c r="N693" s="150" t="n">
        <x:v>1699</x:v>
      </x:c>
      <x:c r="O693" t="str">
        <x:v>A | Official / Original Creator / Organizer</x:v>
      </x:c>
      <x:c r="P693" t="str">
        <x:v>Core</x:v>
      </x:c>
      <x:c r="Q693" t="str">
        <x:v>Verified</x:v>
      </x:c>
      <x:c r="R693" s="142" t="n">
        <x:v>46249</x:v>
      </x:c>
      <x:c r="S693" t="str">
        <x:v>Added in the latest gap audit from an official institution or original creator; public YouTube metadata verified; short demos excluded.</x:v>
      </x:c>
      <x:c r="T693" t="str">
        <x:v>sUS-eTa0l6s</x:v>
      </x:c>
      <x:c r="U693" t="str">
        <x:v>Stanford CS229: Machine Learning — Spring 2026</x:v>
      </x:c>
      <x:c r="V693" s="148" t="n">
        <x:v>10</x:v>
      </x:c>
      <x:c r="W693" t="str">
        <x:v>stanford-cs229-spring-2026</x:v>
      </x:c>
    </x:row>
    <x:row r="694">
      <x:c r="A694" t="str">
        <x:v>ST-694</x:v>
      </x:c>
      <x:c r="B694" t="str">
        <x:v>Course</x:v>
      </x:c>
      <x:c r="C694" t="str">
        <x:v>Other</x:v>
      </x:c>
      <x:c r="D694" t="str">
        <x:v>Machine Learning Foundations</x:v>
      </x:c>
      <x:c r="E694" t="str">
        <x:v>Machine Learning; Supervised Learning; Unsupervised Learning; Deep Learning</x:v>
      </x:c>
      <x:c r="F694" t="str">
        <x:v>English</x:v>
      </x:c>
      <x:c r="G694" t="str">
        <x:v>Stanford CS229 Machine Learning | Spring 2026 | Lecture 11: Diffusion Models</x:v>
      </x:c>
      <x:c r="H694" t="str">
        <x:v>Stanford CS229 course team</x:v>
      </x:c>
      <x:c r="I694" t="str">
        <x:v>Stanford Online</x:v>
      </x:c>
      <x:c r="J694" t="str">
        <x:v>Course Lecture</x:v>
      </x:c>
      <x:c r="K694" s="148" t="n">
        <x:v>83</x:v>
      </x:c>
      <x:c r="L694" t="str">
        <x:v>https://www.youtube.com/watch?v=dqUMCzWjZSI</x:v>
      </x:c>
      <x:c r="M694" t="str">
        <x:v>YouTube</x:v>
      </x:c>
      <x:c r="N694" s="150" t="n">
        <x:v>3755</x:v>
      </x:c>
      <x:c r="O694" t="str">
        <x:v>A | Official / Original Creator / Organizer</x:v>
      </x:c>
      <x:c r="P694" t="str">
        <x:v>Core</x:v>
      </x:c>
      <x:c r="Q694" t="str">
        <x:v>Verified</x:v>
      </x:c>
      <x:c r="R694" s="142" t="n">
        <x:v>46249</x:v>
      </x:c>
      <x:c r="S694" t="str">
        <x:v>Added in the latest gap audit from an official institution or original creator; public YouTube metadata verified; short demos excluded.</x:v>
      </x:c>
      <x:c r="T694" t="str">
        <x:v>dqUMCzWjZSI</x:v>
      </x:c>
      <x:c r="U694" t="str">
        <x:v>Stanford CS229: Machine Learning — Spring 2026</x:v>
      </x:c>
      <x:c r="V694" s="148" t="n">
        <x:v>11</x:v>
      </x:c>
      <x:c r="W694" t="str">
        <x:v>stanford-cs229-spring-2026</x:v>
      </x:c>
    </x:row>
    <x:row r="695">
      <x:c r="A695" t="str">
        <x:v>ST-695</x:v>
      </x:c>
      <x:c r="B695" t="str">
        <x:v>Course</x:v>
      </x:c>
      <x:c r="C695" t="str">
        <x:v>Other</x:v>
      </x:c>
      <x:c r="D695" t="str">
        <x:v>Machine Learning Foundations</x:v>
      </x:c>
      <x:c r="E695" t="str">
        <x:v>Machine Learning; Supervised Learning; Unsupervised Learning; Deep Learning</x:v>
      </x:c>
      <x:c r="F695" t="str">
        <x:v>English</x:v>
      </x:c>
      <x:c r="G695" t="str">
        <x:v>Stanford CS229 Machine Learning | Spring 2026 | Lecture 12: Representation Learning</x:v>
      </x:c>
      <x:c r="H695" t="str">
        <x:v>Stanford CS229 course team</x:v>
      </x:c>
      <x:c r="I695" t="str">
        <x:v>Stanford Online</x:v>
      </x:c>
      <x:c r="J695" t="str">
        <x:v>Course Lecture</x:v>
      </x:c>
      <x:c r="K695" s="148" t="n">
        <x:v>76</x:v>
      </x:c>
      <x:c r="L695" t="str">
        <x:v>https://www.youtube.com/watch?v=_kREM2UAiJ8</x:v>
      </x:c>
      <x:c r="M695" t="str">
        <x:v>YouTube</x:v>
      </x:c>
      <x:c r="N695" s="150" t="n">
        <x:v>7688</x:v>
      </x:c>
      <x:c r="O695" t="str">
        <x:v>A | Official / Original Creator / Organizer</x:v>
      </x:c>
      <x:c r="P695" t="str">
        <x:v>Core</x:v>
      </x:c>
      <x:c r="Q695" t="str">
        <x:v>Verified</x:v>
      </x:c>
      <x:c r="R695" s="142" t="n">
        <x:v>46249</x:v>
      </x:c>
      <x:c r="S695" t="str">
        <x:v>Added in the latest gap audit from an official institution or original creator; public YouTube metadata verified; short demos excluded.</x:v>
      </x:c>
      <x:c r="T695" t="str">
        <x:v>_kREM2UAiJ8</x:v>
      </x:c>
      <x:c r="U695" t="str">
        <x:v>Stanford CS229: Machine Learning — Spring 2026</x:v>
      </x:c>
      <x:c r="V695" s="148" t="n">
        <x:v>12</x:v>
      </x:c>
      <x:c r="W695" t="str">
        <x:v>stanford-cs229-spring-2026</x:v>
      </x:c>
    </x:row>
    <x:row r="696">
      <x:c r="A696" t="str">
        <x:v>ST-696</x:v>
      </x:c>
      <x:c r="B696" t="str">
        <x:v>Course</x:v>
      </x:c>
      <x:c r="C696" t="str">
        <x:v>Other</x:v>
      </x:c>
      <x:c r="D696" t="str">
        <x:v>Machine Learning Foundations</x:v>
      </x:c>
      <x:c r="E696" t="str">
        <x:v>Machine Learning; Supervised Learning; Unsupervised Learning; Deep Learning</x:v>
      </x:c>
      <x:c r="F696" t="str">
        <x:v>English</x:v>
      </x:c>
      <x:c r="G696" t="str">
        <x:v>Stanford CS229 Machine Learning | Spring 2026 | Lecture 13: LLMs, Next-Word Prediction Loss</x:v>
      </x:c>
      <x:c r="H696" t="str">
        <x:v>Stanford CS229 course team</x:v>
      </x:c>
      <x:c r="I696" t="str">
        <x:v>Stanford Online</x:v>
      </x:c>
      <x:c r="J696" t="str">
        <x:v>Course Lecture</x:v>
      </x:c>
      <x:c r="K696" s="148" t="n">
        <x:v>61</x:v>
      </x:c>
      <x:c r="L696" t="str">
        <x:v>https://www.youtube.com/watch?v=lNTajqxxOn4</x:v>
      </x:c>
      <x:c r="M696" t="str">
        <x:v>YouTube</x:v>
      </x:c>
      <x:c r="N696" s="150" t="n">
        <x:v>1646</x:v>
      </x:c>
      <x:c r="O696" t="str">
        <x:v>A | Official / Original Creator / Organizer</x:v>
      </x:c>
      <x:c r="P696" t="str">
        <x:v>Core</x:v>
      </x:c>
      <x:c r="Q696" t="str">
        <x:v>Verified</x:v>
      </x:c>
      <x:c r="R696" s="142" t="n">
        <x:v>46249</x:v>
      </x:c>
      <x:c r="S696" t="str">
        <x:v>Added in the latest gap audit from an official institution or original creator; public YouTube metadata verified; short demos excluded.</x:v>
      </x:c>
      <x:c r="T696" t="str">
        <x:v>lNTajqxxOn4</x:v>
      </x:c>
      <x:c r="U696" t="str">
        <x:v>Stanford CS229: Machine Learning — Spring 2026</x:v>
      </x:c>
      <x:c r="V696" s="148" t="n">
        <x:v>13</x:v>
      </x:c>
      <x:c r="W696" t="str">
        <x:v>stanford-cs229-spring-2026</x:v>
      </x:c>
    </x:row>
    <x:row r="697">
      <x:c r="A697" t="str">
        <x:v>ST-697</x:v>
      </x:c>
      <x:c r="B697" t="str">
        <x:v>Course</x:v>
      </x:c>
      <x:c r="C697" t="str">
        <x:v>Other</x:v>
      </x:c>
      <x:c r="D697" t="str">
        <x:v>Machine Learning Foundations</x:v>
      </x:c>
      <x:c r="E697" t="str">
        <x:v>Machine Learning; Supervised Learning; Unsupervised Learning; Deep Learning</x:v>
      </x:c>
      <x:c r="F697" t="str">
        <x:v>English</x:v>
      </x:c>
      <x:c r="G697" t="str">
        <x:v>Stanford CS229 Machine Learning | Spring 2026 | Lecture 14: Transformers, In-Context Learning</x:v>
      </x:c>
      <x:c r="H697" t="str">
        <x:v>Stanford CS229 course team</x:v>
      </x:c>
      <x:c r="I697" t="str">
        <x:v>Stanford Online</x:v>
      </x:c>
      <x:c r="J697" t="str">
        <x:v>Course Lecture</x:v>
      </x:c>
      <x:c r="K697" s="148" t="n">
        <x:v>78</x:v>
      </x:c>
      <x:c r="L697" t="str">
        <x:v>https://www.youtube.com/watch?v=pwQ0l4hFCVI</x:v>
      </x:c>
      <x:c r="M697" t="str">
        <x:v>YouTube</x:v>
      </x:c>
      <x:c r="N697" s="150" t="n">
        <x:v>20492</x:v>
      </x:c>
      <x:c r="O697" t="str">
        <x:v>A | Official / Original Creator / Organizer</x:v>
      </x:c>
      <x:c r="P697" t="str">
        <x:v>Core</x:v>
      </x:c>
      <x:c r="Q697" t="str">
        <x:v>Verified</x:v>
      </x:c>
      <x:c r="R697" s="142" t="n">
        <x:v>46249</x:v>
      </x:c>
      <x:c r="S697" t="str">
        <x:v>Added in the latest gap audit from an official institution or original creator; public YouTube metadata verified; short demos excluded.</x:v>
      </x:c>
      <x:c r="T697" t="str">
        <x:v>pwQ0l4hFCVI</x:v>
      </x:c>
      <x:c r="U697" t="str">
        <x:v>Stanford CS229: Machine Learning — Spring 2026</x:v>
      </x:c>
      <x:c r="V697" s="148" t="n">
        <x:v>14</x:v>
      </x:c>
      <x:c r="W697" t="str">
        <x:v>stanford-cs229-spring-2026</x:v>
      </x:c>
    </x:row>
    <x:row r="698">
      <x:c r="A698" t="str">
        <x:v>ST-698</x:v>
      </x:c>
      <x:c r="B698" t="str">
        <x:v>Course</x:v>
      </x:c>
      <x:c r="C698" t="str">
        <x:v>Other</x:v>
      </x:c>
      <x:c r="D698" t="str">
        <x:v>Machine Learning Foundations</x:v>
      </x:c>
      <x:c r="E698" t="str">
        <x:v>Machine Learning; Supervised Learning; Unsupervised Learning; Deep Learning</x:v>
      </x:c>
      <x:c r="F698" t="str">
        <x:v>English</x:v>
      </x:c>
      <x:c r="G698" t="str">
        <x:v>Stanford CS229 Machine Learning | Spring 2026 | Lecture 16: Basic Concept in RL, Policy Gradient</x:v>
      </x:c>
      <x:c r="H698" t="str">
        <x:v>Stanford CS229 course team</x:v>
      </x:c>
      <x:c r="I698" t="str">
        <x:v>Stanford Online</x:v>
      </x:c>
      <x:c r="J698" t="str">
        <x:v>Course Lecture</x:v>
      </x:c>
      <x:c r="K698" s="148" t="n">
        <x:v>73</x:v>
      </x:c>
      <x:c r="L698" t="str">
        <x:v>https://www.youtube.com/watch?v=hHC-SF3utxg</x:v>
      </x:c>
      <x:c r="M698" t="str">
        <x:v>YouTube</x:v>
      </x:c>
      <x:c r="N698" s="150" t="n">
        <x:v>4705</x:v>
      </x:c>
      <x:c r="O698" t="str">
        <x:v>A | Official / Original Creator / Organizer</x:v>
      </x:c>
      <x:c r="P698" t="str">
        <x:v>Core</x:v>
      </x:c>
      <x:c r="Q698" t="str">
        <x:v>Verified</x:v>
      </x:c>
      <x:c r="R698" s="142" t="n">
        <x:v>46249</x:v>
      </x:c>
      <x:c r="S698" t="str">
        <x:v>Added in the latest gap audit from an official institution or original creator; public YouTube metadata verified; short demos excluded.</x:v>
      </x:c>
      <x:c r="T698" t="str">
        <x:v>hHC-SF3utxg</x:v>
      </x:c>
      <x:c r="U698" t="str">
        <x:v>Stanford CS229: Machine Learning — Spring 2026</x:v>
      </x:c>
      <x:c r="V698" s="148" t="n">
        <x:v>16</x:v>
      </x:c>
      <x:c r="W698" t="str">
        <x:v>stanford-cs229-spring-2026</x:v>
      </x:c>
    </x:row>
    <x:row r="699">
      <x:c r="A699" t="str">
        <x:v>ST-699</x:v>
      </x:c>
      <x:c r="B699" t="str">
        <x:v>Course</x:v>
      </x:c>
      <x:c r="C699" t="str">
        <x:v>Other</x:v>
      </x:c>
      <x:c r="D699" t="str">
        <x:v>Machine Learning Foundations</x:v>
      </x:c>
      <x:c r="E699" t="str">
        <x:v>Machine Learning; Supervised Learning; Unsupervised Learning; Deep Learning</x:v>
      </x:c>
      <x:c r="F699" t="str">
        <x:v>English</x:v>
      </x:c>
      <x:c r="G699" t="str">
        <x:v>Stanford CS229 Machine Learning | Spring 2026 | Lecture 18: GMM (EM), PCA</x:v>
      </x:c>
      <x:c r="H699" t="str">
        <x:v>Stanford CS229 course team</x:v>
      </x:c>
      <x:c r="I699" t="str">
        <x:v>Stanford Online</x:v>
      </x:c>
      <x:c r="J699" t="str">
        <x:v>Course Lecture</x:v>
      </x:c>
      <x:c r="K699" s="148" t="n">
        <x:v>76</x:v>
      </x:c>
      <x:c r="L699" t="str">
        <x:v>https://www.youtube.com/watch?v=xveNBYVTrqw</x:v>
      </x:c>
      <x:c r="M699" t="str">
        <x:v>YouTube</x:v>
      </x:c>
      <x:c r="N699" s="150" t="n">
        <x:v>1873</x:v>
      </x:c>
      <x:c r="O699" t="str">
        <x:v>A | Official / Original Creator / Organizer</x:v>
      </x:c>
      <x:c r="P699" t="str">
        <x:v>Core</x:v>
      </x:c>
      <x:c r="Q699" t="str">
        <x:v>Verified</x:v>
      </x:c>
      <x:c r="R699" s="142" t="n">
        <x:v>46249</x:v>
      </x:c>
      <x:c r="S699" t="str">
        <x:v>Added in the latest gap audit from an official institution or original creator; public YouTube metadata verified; short demos excluded.</x:v>
      </x:c>
      <x:c r="T699" t="str">
        <x:v>xveNBYVTrqw</x:v>
      </x:c>
      <x:c r="U699" t="str">
        <x:v>Stanford CS229: Machine Learning — Spring 2026</x:v>
      </x:c>
      <x:c r="V699" s="148" t="n">
        <x:v>18</x:v>
      </x:c>
      <x:c r="W699" t="str">
        <x:v>stanford-cs229-spring-2026</x:v>
      </x:c>
    </x:row>
    <x:row r="700">
      <x:c r="A700" t="str">
        <x:v>ST-700</x:v>
      </x:c>
      <x:c r="B700" t="str">
        <x:v>Course</x:v>
      </x:c>
      <x:c r="C700" t="str">
        <x:v>Other</x:v>
      </x:c>
      <x:c r="D700" t="str">
        <x:v>Machine Learning Foundations</x:v>
      </x:c>
      <x:c r="E700" t="str">
        <x:v>Machine Learning; Supervised Learning; Unsupervised Learning; Deep Learning</x:v>
      </x:c>
      <x:c r="F700" t="str">
        <x:v>English</x:v>
      </x:c>
      <x:c r="G700" t="str">
        <x:v>Stanford CS229 Machine Learning | Spring 2026 | Lecture 20: GMM (EM), PCA</x:v>
      </x:c>
      <x:c r="H700" t="str">
        <x:v>Stanford CS229 course team</x:v>
      </x:c>
      <x:c r="I700" t="str">
        <x:v>Stanford Online</x:v>
      </x:c>
      <x:c r="J700" t="str">
        <x:v>Course Lecture</x:v>
      </x:c>
      <x:c r="K700" s="148" t="n">
        <x:v>79</x:v>
      </x:c>
      <x:c r="L700" t="str">
        <x:v>https://www.youtube.com/watch?v=J7CossjMvEg</x:v>
      </x:c>
      <x:c r="M700" t="str">
        <x:v>YouTube</x:v>
      </x:c>
      <x:c r="N700" s="150" t="n">
        <x:v>6336</x:v>
      </x:c>
      <x:c r="O700" t="str">
        <x:v>A | Official / Original Creator / Organizer</x:v>
      </x:c>
      <x:c r="P700" t="str">
        <x:v>Core</x:v>
      </x:c>
      <x:c r="Q700" t="str">
        <x:v>Verified</x:v>
      </x:c>
      <x:c r="R700" s="142" t="n">
        <x:v>46249</x:v>
      </x:c>
      <x:c r="S700" t="str">
        <x:v>Added in the latest gap audit from an official institution or original creator; public YouTube metadata verified; short demos excluded.</x:v>
      </x:c>
      <x:c r="T700" t="str">
        <x:v>J7CossjMvEg</x:v>
      </x:c>
      <x:c r="U700" t="str">
        <x:v>Stanford CS229: Machine Learning — Spring 2026</x:v>
      </x:c>
      <x:c r="V700" s="148" t="n">
        <x:v>20</x:v>
      </x:c>
      <x:c r="W700" t="str">
        <x:v>stanford-cs229-spring-2026</x:v>
      </x:c>
    </x:row>
    <x:row r="701">
      <x:c r="A701" t="str">
        <x:v>ST-701</x:v>
      </x:c>
      <x:c r="B701" t="str">
        <x:v>Course</x:v>
      </x:c>
      <x:c r="C701" t="str">
        <x:v>Other</x:v>
      </x:c>
      <x:c r="D701" t="str">
        <x:v>Deep Learning Foundations</x:v>
      </x:c>
      <x:c r="E701" t="str">
        <x:v>Language Models; Model Training; Scaling Laws; AI Systems</x:v>
      </x:c>
      <x:c r="F701" t="str">
        <x:v>English</x:v>
      </x:c>
      <x:c r="G701" t="str">
        <x:v>Stanford CS336 Language Modeling from Scratch | Spring 2026 | Lecture 1: Overview, Tokenization</x:v>
      </x:c>
      <x:c r="H701" t="str">
        <x:v>Stanford CS336 course team</x:v>
      </x:c>
      <x:c r="I701" t="str">
        <x:v>Stanford Online</x:v>
      </x:c>
      <x:c r="J701" t="str">
        <x:v>Course Lecture</x:v>
      </x:c>
      <x:c r="K701" s="148" t="n">
        <x:v>79</x:v>
      </x:c>
      <x:c r="L701" t="str">
        <x:v>https://www.youtube.com/watch?v=JuoVZkPBiKk</x:v>
      </x:c>
      <x:c r="M701" t="str">
        <x:v>YouTube</x:v>
      </x:c>
      <x:c r="N701" s="150" t="n">
        <x:v>155550</x:v>
      </x:c>
      <x:c r="O701" t="str">
        <x:v>A | Official / Original Creator / Organizer</x:v>
      </x:c>
      <x:c r="P701" t="str">
        <x:v>Core</x:v>
      </x:c>
      <x:c r="Q701" t="str">
        <x:v>Verified</x:v>
      </x:c>
      <x:c r="R701" s="142" t="n">
        <x:v>46249</x:v>
      </x:c>
      <x:c r="S701" t="str">
        <x:v>Added in the latest gap audit from an official institution or original creator; public YouTube metadata verified; short demos excluded.</x:v>
      </x:c>
      <x:c r="T701" t="str">
        <x:v>JuoVZkPBiKk</x:v>
      </x:c>
      <x:c r="U701" t="str">
        <x:v>Stanford CS336: Language Modeling from Scratch — Spring 2026</x:v>
      </x:c>
      <x:c r="V701" s="148" t="n">
        <x:v>1</x:v>
      </x:c>
      <x:c r="W701" t="str">
        <x:v>stanford-cs336-spring-2026</x:v>
      </x:c>
    </x:row>
    <x:row r="702">
      <x:c r="A702" t="str">
        <x:v>ST-702</x:v>
      </x:c>
      <x:c r="B702" t="str">
        <x:v>Course</x:v>
      </x:c>
      <x:c r="C702" t="str">
        <x:v>Other</x:v>
      </x:c>
      <x:c r="D702" t="str">
        <x:v>Deep Learning Foundations</x:v>
      </x:c>
      <x:c r="E702" t="str">
        <x:v>Language Models; Model Training; Scaling Laws; AI Systems</x:v>
      </x:c>
      <x:c r="F702" t="str">
        <x:v>English</x:v>
      </x:c>
      <x:c r="G702" t="str">
        <x:v>Stanford CS336 Language Modeling from Scratch | Spring 2026 | Lecture 2: PyTorch (einops)</x:v>
      </x:c>
      <x:c r="H702" t="str">
        <x:v>Stanford CS336 course team</x:v>
      </x:c>
      <x:c r="I702" t="str">
        <x:v>Stanford Online</x:v>
      </x:c>
      <x:c r="J702" t="str">
        <x:v>Course Lecture</x:v>
      </x:c>
      <x:c r="K702" s="148" t="n">
        <x:v>77</x:v>
      </x:c>
      <x:c r="L702" t="str">
        <x:v>https://www.youtube.com/watch?v=kuYAsz7zspQ</x:v>
      </x:c>
      <x:c r="M702" t="str">
        <x:v>YouTube</x:v>
      </x:c>
      <x:c r="N702" s="150" t="n">
        <x:v>43893</x:v>
      </x:c>
      <x:c r="O702" t="str">
        <x:v>A | Official / Original Creator / Organizer</x:v>
      </x:c>
      <x:c r="P702" t="str">
        <x:v>Core</x:v>
      </x:c>
      <x:c r="Q702" t="str">
        <x:v>Verified</x:v>
      </x:c>
      <x:c r="R702" s="142" t="n">
        <x:v>46249</x:v>
      </x:c>
      <x:c r="S702" t="str">
        <x:v>Added in the latest gap audit from an official institution or original creator; public YouTube metadata verified; short demos excluded.</x:v>
      </x:c>
      <x:c r="T702" t="str">
        <x:v>kuYAsz7zspQ</x:v>
      </x:c>
      <x:c r="U702" t="str">
        <x:v>Stanford CS336: Language Modeling from Scratch — Spring 2026</x:v>
      </x:c>
      <x:c r="V702" s="148" t="n">
        <x:v>2</x:v>
      </x:c>
      <x:c r="W702" t="str">
        <x:v>stanford-cs336-spring-2026</x:v>
      </x:c>
    </x:row>
    <x:row r="703">
      <x:c r="A703" t="str">
        <x:v>ST-703</x:v>
      </x:c>
      <x:c r="B703" t="str">
        <x:v>Course</x:v>
      </x:c>
      <x:c r="C703" t="str">
        <x:v>Other</x:v>
      </x:c>
      <x:c r="D703" t="str">
        <x:v>Deep Learning Foundations</x:v>
      </x:c>
      <x:c r="E703" t="str">
        <x:v>Language Models; Model Training; Scaling Laws; AI Systems</x:v>
      </x:c>
      <x:c r="F703" t="str">
        <x:v>English</x:v>
      </x:c>
      <x:c r="G703" t="str">
        <x:v>Stanford CS336 Language Modeling from Scratch | Spring 2026 | Lecture 3: Architectures</x:v>
      </x:c>
      <x:c r="H703" t="str">
        <x:v>Stanford CS336 course team</x:v>
      </x:c>
      <x:c r="I703" t="str">
        <x:v>Stanford Online</x:v>
      </x:c>
      <x:c r="J703" t="str">
        <x:v>Course Lecture</x:v>
      </x:c>
      <x:c r="K703" s="148" t="n">
        <x:v>89</x:v>
      </x:c>
      <x:c r="L703" t="str">
        <x:v>https://www.youtube.com/watch?v=lVynu4bo1rY</x:v>
      </x:c>
      <x:c r="M703" t="str">
        <x:v>YouTube</x:v>
      </x:c>
      <x:c r="N703" s="150" t="n">
        <x:v>47471</x:v>
      </x:c>
      <x:c r="O703" t="str">
        <x:v>A | Official / Original Creator / Organizer</x:v>
      </x:c>
      <x:c r="P703" t="str">
        <x:v>Core</x:v>
      </x:c>
      <x:c r="Q703" t="str">
        <x:v>Verified</x:v>
      </x:c>
      <x:c r="R703" s="142" t="n">
        <x:v>46249</x:v>
      </x:c>
      <x:c r="S703" t="str">
        <x:v>Added in the latest gap audit from an official institution or original creator; public YouTube metadata verified; short demos excluded.</x:v>
      </x:c>
      <x:c r="T703" t="str">
        <x:v>lVynu4bo1rY</x:v>
      </x:c>
      <x:c r="U703" t="str">
        <x:v>Stanford CS336: Language Modeling from Scratch — Spring 2026</x:v>
      </x:c>
      <x:c r="V703" s="148" t="n">
        <x:v>3</x:v>
      </x:c>
      <x:c r="W703" t="str">
        <x:v>stanford-cs336-spring-2026</x:v>
      </x:c>
    </x:row>
    <x:row r="704">
      <x:c r="A704" t="str">
        <x:v>ST-704</x:v>
      </x:c>
      <x:c r="B704" t="str">
        <x:v>Course</x:v>
      </x:c>
      <x:c r="C704" t="str">
        <x:v>Other</x:v>
      </x:c>
      <x:c r="D704" t="str">
        <x:v>Deep Learning Foundations</x:v>
      </x:c>
      <x:c r="E704" t="str">
        <x:v>Language Models; Model Training; Scaling Laws; AI Systems</x:v>
      </x:c>
      <x:c r="F704" t="str">
        <x:v>English</x:v>
      </x:c>
      <x:c r="G704" t="str">
        <x:v>Stanford CS336 Language Modeling from Scratch | Spring 2026 | Lecture 4: Attention Alternatives</x:v>
      </x:c>
      <x:c r="H704" t="str">
        <x:v>Stanford CS336 course team</x:v>
      </x:c>
      <x:c r="I704" t="str">
        <x:v>Stanford Online</x:v>
      </x:c>
      <x:c r="J704" t="str">
        <x:v>Course Lecture</x:v>
      </x:c>
      <x:c r="K704" s="148" t="n">
        <x:v>86</x:v>
      </x:c>
      <x:c r="L704" t="str">
        <x:v>https://www.youtube.com/watch?v=cKSwj_qZ8Jg</x:v>
      </x:c>
      <x:c r="M704" t="str">
        <x:v>YouTube</x:v>
      </x:c>
      <x:c r="N704" s="150" t="n">
        <x:v>25605</x:v>
      </x:c>
      <x:c r="O704" t="str">
        <x:v>A | Official / Original Creator / Organizer</x:v>
      </x:c>
      <x:c r="P704" t="str">
        <x:v>Core</x:v>
      </x:c>
      <x:c r="Q704" t="str">
        <x:v>Verified</x:v>
      </x:c>
      <x:c r="R704" s="142" t="n">
        <x:v>46249</x:v>
      </x:c>
      <x:c r="S704" t="str">
        <x:v>Added in the latest gap audit from an official institution or original creator; public YouTube metadata verified; short demos excluded.</x:v>
      </x:c>
      <x:c r="T704" t="str">
        <x:v>cKSwj_qZ8Jg</x:v>
      </x:c>
      <x:c r="U704" t="str">
        <x:v>Stanford CS336: Language Modeling from Scratch — Spring 2026</x:v>
      </x:c>
      <x:c r="V704" s="148" t="n">
        <x:v>4</x:v>
      </x:c>
      <x:c r="W704" t="str">
        <x:v>stanford-cs336-spring-2026</x:v>
      </x:c>
    </x:row>
    <x:row r="705">
      <x:c r="A705" t="str">
        <x:v>ST-705</x:v>
      </x:c>
      <x:c r="B705" t="str">
        <x:v>Course</x:v>
      </x:c>
      <x:c r="C705" t="str">
        <x:v>Other</x:v>
      </x:c>
      <x:c r="D705" t="str">
        <x:v>Deep Learning Foundations</x:v>
      </x:c>
      <x:c r="E705" t="str">
        <x:v>Language Models; Model Training; Scaling Laws; AI Systems</x:v>
      </x:c>
      <x:c r="F705" t="str">
        <x:v>English</x:v>
      </x:c>
      <x:c r="G705" t="str">
        <x:v>Stanford CS336 Language Modeling from Scratch | Spring 2026 | Lecture 5: GPUs, TPUs</x:v>
      </x:c>
      <x:c r="H705" t="str">
        <x:v>Stanford CS336 course team</x:v>
      </x:c>
      <x:c r="I705" t="str">
        <x:v>Stanford Online</x:v>
      </x:c>
      <x:c r="J705" t="str">
        <x:v>Course Lecture</x:v>
      </x:c>
      <x:c r="K705" s="148" t="n">
        <x:v>79</x:v>
      </x:c>
      <x:c r="L705" t="str">
        <x:v>https://www.youtube.com/watch?v=izZba4UA7iY</x:v>
      </x:c>
      <x:c r="M705" t="str">
        <x:v>YouTube</x:v>
      </x:c>
      <x:c r="N705" s="150" t="n">
        <x:v>23418</x:v>
      </x:c>
      <x:c r="O705" t="str">
        <x:v>A | Official / Original Creator / Organizer</x:v>
      </x:c>
      <x:c r="P705" t="str">
        <x:v>Core</x:v>
      </x:c>
      <x:c r="Q705" t="str">
        <x:v>Verified</x:v>
      </x:c>
      <x:c r="R705" s="142" t="n">
        <x:v>46249</x:v>
      </x:c>
      <x:c r="S705" t="str">
        <x:v>Added in the latest gap audit from an official institution or original creator; public YouTube metadata verified; short demos excluded.</x:v>
      </x:c>
      <x:c r="T705" t="str">
        <x:v>izZba4UA7iY</x:v>
      </x:c>
      <x:c r="U705" t="str">
        <x:v>Stanford CS336: Language Modeling from Scratch — Spring 2026</x:v>
      </x:c>
      <x:c r="V705" s="148" t="n">
        <x:v>5</x:v>
      </x:c>
      <x:c r="W705" t="str">
        <x:v>stanford-cs336-spring-2026</x:v>
      </x:c>
    </x:row>
    <x:row r="706">
      <x:c r="A706" t="str">
        <x:v>ST-706</x:v>
      </x:c>
      <x:c r="B706" t="str">
        <x:v>Course</x:v>
      </x:c>
      <x:c r="C706" t="str">
        <x:v>Other</x:v>
      </x:c>
      <x:c r="D706" t="str">
        <x:v>Deep Learning Foundations</x:v>
      </x:c>
      <x:c r="E706" t="str">
        <x:v>Language Models; Model Training; Scaling Laws; AI Systems</x:v>
      </x:c>
      <x:c r="F706" t="str">
        <x:v>English</x:v>
      </x:c>
      <x:c r="G706" t="str">
        <x:v>Stanford CS336 Language Modeling from Scratch | Spring 2026 | Lecture 6: Kernels, Triton, XLA</x:v>
      </x:c>
      <x:c r="H706" t="str">
        <x:v>Stanford CS336 course team</x:v>
      </x:c>
      <x:c r="I706" t="str">
        <x:v>Stanford Online</x:v>
      </x:c>
      <x:c r="J706" t="str">
        <x:v>Course Lecture</x:v>
      </x:c>
      <x:c r="K706" s="148" t="n">
        <x:v>87</x:v>
      </x:c>
      <x:c r="L706" t="str">
        <x:v>https://www.youtube.com/watch?v=xnDHaNUvHBg</x:v>
      </x:c>
      <x:c r="M706" t="str">
        <x:v>YouTube</x:v>
      </x:c>
      <x:c r="N706" s="150" t="n">
        <x:v>13379</x:v>
      </x:c>
      <x:c r="O706" t="str">
        <x:v>A | Official / Original Creator / Organizer</x:v>
      </x:c>
      <x:c r="P706" t="str">
        <x:v>Core</x:v>
      </x:c>
      <x:c r="Q706" t="str">
        <x:v>Verified</x:v>
      </x:c>
      <x:c r="R706" s="142" t="n">
        <x:v>46249</x:v>
      </x:c>
      <x:c r="S706" t="str">
        <x:v>Added in the latest gap audit from an official institution or original creator; public YouTube metadata verified; short demos excluded.</x:v>
      </x:c>
      <x:c r="T706" t="str">
        <x:v>xnDHaNUvHBg</x:v>
      </x:c>
      <x:c r="U706" t="str">
        <x:v>Stanford CS336: Language Modeling from Scratch — Spring 2026</x:v>
      </x:c>
      <x:c r="V706" s="148" t="n">
        <x:v>6</x:v>
      </x:c>
      <x:c r="W706" t="str">
        <x:v>stanford-cs336-spring-2026</x:v>
      </x:c>
    </x:row>
    <x:row r="707">
      <x:c r="A707" t="str">
        <x:v>ST-707</x:v>
      </x:c>
      <x:c r="B707" t="str">
        <x:v>Course</x:v>
      </x:c>
      <x:c r="C707" t="str">
        <x:v>Other</x:v>
      </x:c>
      <x:c r="D707" t="str">
        <x:v>Deep Learning Foundations</x:v>
      </x:c>
      <x:c r="E707" t="str">
        <x:v>Language Models; Model Training; Scaling Laws; AI Systems</x:v>
      </x:c>
      <x:c r="F707" t="str">
        <x:v>English</x:v>
      </x:c>
      <x:c r="G707" t="str">
        <x:v>Stanford CS336 Language Modeling from Scratch | Spring 2026 | Lecture 7: Parallelism</x:v>
      </x:c>
      <x:c r="H707" t="str">
        <x:v>Stanford CS336 course team</x:v>
      </x:c>
      <x:c r="I707" t="str">
        <x:v>Stanford Online</x:v>
      </x:c>
      <x:c r="J707" t="str">
        <x:v>Course Lecture</x:v>
      </x:c>
      <x:c r="K707" s="148" t="n">
        <x:v>81</x:v>
      </x:c>
      <x:c r="L707" t="str">
        <x:v>https://www.youtube.com/watch?v=SzpOcwdIL0Y</x:v>
      </x:c>
      <x:c r="M707" t="str">
        <x:v>YouTube</x:v>
      </x:c>
      <x:c r="N707" s="150" t="n">
        <x:v>9752</x:v>
      </x:c>
      <x:c r="O707" t="str">
        <x:v>A | Official / Original Creator / Organizer</x:v>
      </x:c>
      <x:c r="P707" t="str">
        <x:v>Core</x:v>
      </x:c>
      <x:c r="Q707" t="str">
        <x:v>Verified</x:v>
      </x:c>
      <x:c r="R707" s="142" t="n">
        <x:v>46249</x:v>
      </x:c>
      <x:c r="S707" t="str">
        <x:v>Added in the latest gap audit from an official institution or original creator; public YouTube metadata verified; short demos excluded.</x:v>
      </x:c>
      <x:c r="T707" t="str">
        <x:v>SzpOcwdIL0Y</x:v>
      </x:c>
      <x:c r="U707" t="str">
        <x:v>Stanford CS336: Language Modeling from Scratch — Spring 2026</x:v>
      </x:c>
      <x:c r="V707" s="148" t="n">
        <x:v>7</x:v>
      </x:c>
      <x:c r="W707" t="str">
        <x:v>stanford-cs336-spring-2026</x:v>
      </x:c>
    </x:row>
    <x:row r="708">
      <x:c r="A708" t="str">
        <x:v>ST-708</x:v>
      </x:c>
      <x:c r="B708" t="str">
        <x:v>Course</x:v>
      </x:c>
      <x:c r="C708" t="str">
        <x:v>Other</x:v>
      </x:c>
      <x:c r="D708" t="str">
        <x:v>Deep Learning Foundations</x:v>
      </x:c>
      <x:c r="E708" t="str">
        <x:v>Language Models; Model Training; Scaling Laws; AI Systems</x:v>
      </x:c>
      <x:c r="F708" t="str">
        <x:v>English</x:v>
      </x:c>
      <x:c r="G708" t="str">
        <x:v>Stanford CS336 Language Modeling from Scratch | Spring 2026 | Lecture 8: Parallelism</x:v>
      </x:c>
      <x:c r="H708" t="str">
        <x:v>Stanford CS336 course team</x:v>
      </x:c>
      <x:c r="I708" t="str">
        <x:v>Stanford Online</x:v>
      </x:c>
      <x:c r="J708" t="str">
        <x:v>Course Lecture</x:v>
      </x:c>
      <x:c r="K708" s="148" t="n">
        <x:v>80</x:v>
      </x:c>
      <x:c r="L708" t="str">
        <x:v>https://www.youtube.com/watch?v=6-cXp-aOmdg</x:v>
      </x:c>
      <x:c r="M708" t="str">
        <x:v>YouTube</x:v>
      </x:c>
      <x:c r="N708" s="150" t="n">
        <x:v>10152</x:v>
      </x:c>
      <x:c r="O708" t="str">
        <x:v>A | Official / Original Creator / Organizer</x:v>
      </x:c>
      <x:c r="P708" t="str">
        <x:v>Core</x:v>
      </x:c>
      <x:c r="Q708" t="str">
        <x:v>Verified</x:v>
      </x:c>
      <x:c r="R708" s="142" t="n">
        <x:v>46249</x:v>
      </x:c>
      <x:c r="S708" t="str">
        <x:v>Added in the latest gap audit from an official institution or original creator; public YouTube metadata verified; short demos excluded.</x:v>
      </x:c>
      <x:c r="T708" t="str">
        <x:v>6-cXp-aOmdg</x:v>
      </x:c>
      <x:c r="U708" t="str">
        <x:v>Stanford CS336: Language Modeling from Scratch — Spring 2026</x:v>
      </x:c>
      <x:c r="V708" s="148" t="n">
        <x:v>8</x:v>
      </x:c>
      <x:c r="W708" t="str">
        <x:v>stanford-cs336-spring-2026</x:v>
      </x:c>
    </x:row>
    <x:row r="709">
      <x:c r="A709" t="str">
        <x:v>ST-709</x:v>
      </x:c>
      <x:c r="B709" t="str">
        <x:v>Course</x:v>
      </x:c>
      <x:c r="C709" t="str">
        <x:v>Other</x:v>
      </x:c>
      <x:c r="D709" t="str">
        <x:v>Deep Learning Foundations</x:v>
      </x:c>
      <x:c r="E709" t="str">
        <x:v>Language Models; Model Training; Scaling Laws; AI Systems</x:v>
      </x:c>
      <x:c r="F709" t="str">
        <x:v>English</x:v>
      </x:c>
      <x:c r="G709" t="str">
        <x:v>Stanford CS336 Language Modeling from Scratch | Spring 2026 | Lecture 9: Scaling Laws</x:v>
      </x:c>
      <x:c r="H709" t="str">
        <x:v>Stanford CS336 course team</x:v>
      </x:c>
      <x:c r="I709" t="str">
        <x:v>Stanford Online</x:v>
      </x:c>
      <x:c r="J709" t="str">
        <x:v>Course Lecture</x:v>
      </x:c>
      <x:c r="K709" s="148" t="n">
        <x:v>78</x:v>
      </x:c>
      <x:c r="L709" t="str">
        <x:v>https://www.youtube.com/watch?v=Q15rhEWZPQ4</x:v>
      </x:c>
      <x:c r="M709" t="str">
        <x:v>YouTube</x:v>
      </x:c>
      <x:c r="N709" s="150" t="n">
        <x:v>10554</x:v>
      </x:c>
      <x:c r="O709" t="str">
        <x:v>A | Official / Original Creator / Organizer</x:v>
      </x:c>
      <x:c r="P709" t="str">
        <x:v>Core</x:v>
      </x:c>
      <x:c r="Q709" t="str">
        <x:v>Verified</x:v>
      </x:c>
      <x:c r="R709" s="142" t="n">
        <x:v>46249</x:v>
      </x:c>
      <x:c r="S709" t="str">
        <x:v>Added in the latest gap audit from an official institution or original creator; public YouTube metadata verified; short demos excluded.</x:v>
      </x:c>
      <x:c r="T709" t="str">
        <x:v>Q15rhEWZPQ4</x:v>
      </x:c>
      <x:c r="U709" t="str">
        <x:v>Stanford CS336: Language Modeling from Scratch — Spring 2026</x:v>
      </x:c>
      <x:c r="V709" s="148" t="n">
        <x:v>9</x:v>
      </x:c>
      <x:c r="W709" t="str">
        <x:v>stanford-cs336-spring-2026</x:v>
      </x:c>
    </x:row>
    <x:row r="710">
      <x:c r="A710" t="str">
        <x:v>ST-710</x:v>
      </x:c>
      <x:c r="B710" t="str">
        <x:v>Course</x:v>
      </x:c>
      <x:c r="C710" t="str">
        <x:v>Other</x:v>
      </x:c>
      <x:c r="D710" t="str">
        <x:v>Deep Learning Foundations</x:v>
      </x:c>
      <x:c r="E710" t="str">
        <x:v>Language Models; Model Training; Scaling Laws; AI Systems</x:v>
      </x:c>
      <x:c r="F710" t="str">
        <x:v>English</x:v>
      </x:c>
      <x:c r="G710" t="str">
        <x:v>Stanford CS336 Language Modeling from Scratch | Spring 2026 | Lecture 10: Inference</x:v>
      </x:c>
      <x:c r="H710" t="str">
        <x:v>Stanford CS336 course team</x:v>
      </x:c>
      <x:c r="I710" t="str">
        <x:v>Stanford Online</x:v>
      </x:c>
      <x:c r="J710" t="str">
        <x:v>Course Lecture</x:v>
      </x:c>
      <x:c r="K710" s="148" t="n">
        <x:v>86</x:v>
      </x:c>
      <x:c r="L710" t="str">
        <x:v>https://www.youtube.com/watch?v=EfM546A79aM</x:v>
      </x:c>
      <x:c r="M710" t="str">
        <x:v>YouTube</x:v>
      </x:c>
      <x:c r="N710" s="150" t="n">
        <x:v>10253</x:v>
      </x:c>
      <x:c r="O710" t="str">
        <x:v>A | Official / Original Creator / Organizer</x:v>
      </x:c>
      <x:c r="P710" t="str">
        <x:v>Core</x:v>
      </x:c>
      <x:c r="Q710" t="str">
        <x:v>Verified</x:v>
      </x:c>
      <x:c r="R710" s="142" t="n">
        <x:v>46249</x:v>
      </x:c>
      <x:c r="S710" t="str">
        <x:v>Added in the latest gap audit from an official institution or original creator; public YouTube metadata verified; short demos excluded.</x:v>
      </x:c>
      <x:c r="T710" t="str">
        <x:v>EfM546A79aM</x:v>
      </x:c>
      <x:c r="U710" t="str">
        <x:v>Stanford CS336: Language Modeling from Scratch — Spring 2026</x:v>
      </x:c>
      <x:c r="V710" s="148" t="n">
        <x:v>10</x:v>
      </x:c>
      <x:c r="W710" t="str">
        <x:v>stanford-cs336-spring-2026</x:v>
      </x:c>
    </x:row>
    <x:row r="711">
      <x:c r="A711" t="str">
        <x:v>ST-711</x:v>
      </x:c>
      <x:c r="B711" t="str">
        <x:v>Course</x:v>
      </x:c>
      <x:c r="C711" t="str">
        <x:v>Other</x:v>
      </x:c>
      <x:c r="D711" t="str">
        <x:v>Deep Learning Foundations</x:v>
      </x:c>
      <x:c r="E711" t="str">
        <x:v>Language Models; Model Training; Scaling Laws; AI Systems</x:v>
      </x:c>
      <x:c r="F711" t="str">
        <x:v>English</x:v>
      </x:c>
      <x:c r="G711" t="str">
        <x:v>Stanford CS336 Language Modeling from Scratch | Spring 2026 | Lecture 11:  Scaling Laws</x:v>
      </x:c>
      <x:c r="H711" t="str">
        <x:v>Stanford CS336 course team</x:v>
      </x:c>
      <x:c r="I711" t="str">
        <x:v>Stanford Online</x:v>
      </x:c>
      <x:c r="J711" t="str">
        <x:v>Course Lecture</x:v>
      </x:c>
      <x:c r="K711" s="148" t="n">
        <x:v>77</x:v>
      </x:c>
      <x:c r="L711" t="str">
        <x:v>https://www.youtube.com/watch?v=vTfEyOyzV9E</x:v>
      </x:c>
      <x:c r="M711" t="str">
        <x:v>YouTube</x:v>
      </x:c>
      <x:c r="N711" s="150" t="n">
        <x:v>6830</x:v>
      </x:c>
      <x:c r="O711" t="str">
        <x:v>A | Official / Original Creator / Organizer</x:v>
      </x:c>
      <x:c r="P711" t="str">
        <x:v>Core</x:v>
      </x:c>
      <x:c r="Q711" t="str">
        <x:v>Verified</x:v>
      </x:c>
      <x:c r="R711" s="142" t="n">
        <x:v>46249</x:v>
      </x:c>
      <x:c r="S711" t="str">
        <x:v>Added in the latest gap audit from an official institution or original creator; public YouTube metadata verified; short demos excluded.</x:v>
      </x:c>
      <x:c r="T711" t="str">
        <x:v>vTfEyOyzV9E</x:v>
      </x:c>
      <x:c r="U711" t="str">
        <x:v>Stanford CS336: Language Modeling from Scratch — Spring 2026</x:v>
      </x:c>
      <x:c r="V711" s="148" t="n">
        <x:v>11</x:v>
      </x:c>
      <x:c r="W711" t="str">
        <x:v>stanford-cs336-spring-2026</x:v>
      </x:c>
    </x:row>
    <x:row r="712">
      <x:c r="A712" t="str">
        <x:v>ST-712</x:v>
      </x:c>
      <x:c r="B712" t="str">
        <x:v>Course</x:v>
      </x:c>
      <x:c r="C712" t="str">
        <x:v>Other</x:v>
      </x:c>
      <x:c r="D712" t="str">
        <x:v>Deep Learning Foundations</x:v>
      </x:c>
      <x:c r="E712" t="str">
        <x:v>Language Models; Model Training; Scaling Laws; AI Systems</x:v>
      </x:c>
      <x:c r="F712" t="str">
        <x:v>English</x:v>
      </x:c>
      <x:c r="G712" t="str">
        <x:v>Stanford CS336 Language Modeling from Scratch | Spring 2026 | Lecture 12: Evaluation</x:v>
      </x:c>
      <x:c r="H712" t="str">
        <x:v>Stanford CS336 course team</x:v>
      </x:c>
      <x:c r="I712" t="str">
        <x:v>Stanford Online</x:v>
      </x:c>
      <x:c r="J712" t="str">
        <x:v>Course Lecture</x:v>
      </x:c>
      <x:c r="K712" s="148" t="n">
        <x:v>79</x:v>
      </x:c>
      <x:c r="L712" t="str">
        <x:v>https://www.youtube.com/watch?v=JpAxdTWQJxM</x:v>
      </x:c>
      <x:c r="M712" t="str">
        <x:v>YouTube</x:v>
      </x:c>
      <x:c r="N712" s="150" t="n">
        <x:v>5521</x:v>
      </x:c>
      <x:c r="O712" t="str">
        <x:v>A | Official / Original Creator / Organizer</x:v>
      </x:c>
      <x:c r="P712" t="str">
        <x:v>Core</x:v>
      </x:c>
      <x:c r="Q712" t="str">
        <x:v>Verified</x:v>
      </x:c>
      <x:c r="R712" s="142" t="n">
        <x:v>46249</x:v>
      </x:c>
      <x:c r="S712" t="str">
        <x:v>Added in the latest gap audit from an official institution or original creator; public YouTube metadata verified; short demos excluded.</x:v>
      </x:c>
      <x:c r="T712" t="str">
        <x:v>JpAxdTWQJxM</x:v>
      </x:c>
      <x:c r="U712" t="str">
        <x:v>Stanford CS336: Language Modeling from Scratch — Spring 2026</x:v>
      </x:c>
      <x:c r="V712" s="148" t="n">
        <x:v>12</x:v>
      </x:c>
      <x:c r="W712" t="str">
        <x:v>stanford-cs336-spring-2026</x:v>
      </x:c>
    </x:row>
    <x:row r="713">
      <x:c r="A713" t="str">
        <x:v>ST-713</x:v>
      </x:c>
      <x:c r="B713" t="str">
        <x:v>Course</x:v>
      </x:c>
      <x:c r="C713" t="str">
        <x:v>Other</x:v>
      </x:c>
      <x:c r="D713" t="str">
        <x:v>Deep Learning Foundations</x:v>
      </x:c>
      <x:c r="E713" t="str">
        <x:v>Language Models; Model Training; Scaling Laws; AI Systems</x:v>
      </x:c>
      <x:c r="F713" t="str">
        <x:v>English</x:v>
      </x:c>
      <x:c r="G713" t="str">
        <x:v>Stanford CS336 Language Modeling from Scratch | Spring 2026 | Lecture 13: Data (Sources, Datasets)</x:v>
      </x:c>
      <x:c r="H713" t="str">
        <x:v>Stanford CS336 course team</x:v>
      </x:c>
      <x:c r="I713" t="str">
        <x:v>Stanford Online</x:v>
      </x:c>
      <x:c r="J713" t="str">
        <x:v>Course Lecture</x:v>
      </x:c>
      <x:c r="K713" s="148" t="n">
        <x:v>82</x:v>
      </x:c>
      <x:c r="L713" t="str">
        <x:v>https://www.youtube.com/watch?v=-qm0ln33G24</x:v>
      </x:c>
      <x:c r="M713" t="str">
        <x:v>YouTube</x:v>
      </x:c>
      <x:c r="N713" s="150" t="n">
        <x:v>6347</x:v>
      </x:c>
      <x:c r="O713" t="str">
        <x:v>A | Official / Original Creator / Organizer</x:v>
      </x:c>
      <x:c r="P713" t="str">
        <x:v>Core</x:v>
      </x:c>
      <x:c r="Q713" t="str">
        <x:v>Verified</x:v>
      </x:c>
      <x:c r="R713" s="142" t="n">
        <x:v>46249</x:v>
      </x:c>
      <x:c r="S713" t="str">
        <x:v>Added in the latest gap audit from an official institution or original creator; public YouTube metadata verified; short demos excluded.</x:v>
      </x:c>
      <x:c r="T713" t="str">
        <x:v>-qm0ln33G24</x:v>
      </x:c>
      <x:c r="U713" t="str">
        <x:v>Stanford CS336: Language Modeling from Scratch — Spring 2026</x:v>
      </x:c>
      <x:c r="V713" s="148" t="n">
        <x:v>13</x:v>
      </x:c>
      <x:c r="W713" t="str">
        <x:v>stanford-cs336-spring-2026</x:v>
      </x:c>
    </x:row>
    <x:row r="714">
      <x:c r="A714" t="str">
        <x:v>ST-714</x:v>
      </x:c>
      <x:c r="B714" t="str">
        <x:v>Course</x:v>
      </x:c>
      <x:c r="C714" t="str">
        <x:v>Other</x:v>
      </x:c>
      <x:c r="D714" t="str">
        <x:v>Deep Learning Foundations</x:v>
      </x:c>
      <x:c r="E714" t="str">
        <x:v>Language Models; Model Training; Scaling Laws; AI Systems</x:v>
      </x:c>
      <x:c r="F714" t="str">
        <x:v>English</x:v>
      </x:c>
      <x:c r="G714" t="str">
        <x:v>Stanford CS336 Language Modeling from Scratch | Spring 2026 | Lecture 14: Data</x:v>
      </x:c>
      <x:c r="H714" t="str">
        <x:v>Stanford CS336 course team</x:v>
      </x:c>
      <x:c r="I714" t="str">
        <x:v>Stanford Online</x:v>
      </x:c>
      <x:c r="J714" t="str">
        <x:v>Course Lecture</x:v>
      </x:c>
      <x:c r="K714" s="148" t="n">
        <x:v>85</x:v>
      </x:c>
      <x:c r="L714" t="str">
        <x:v>https://www.youtube.com/watch?v=5sxHosTLPF8</x:v>
      </x:c>
      <x:c r="M714" t="str">
        <x:v>YouTube</x:v>
      </x:c>
      <x:c r="N714" s="150" t="n">
        <x:v>5755</x:v>
      </x:c>
      <x:c r="O714" t="str">
        <x:v>A | Official / Original Creator / Organizer</x:v>
      </x:c>
      <x:c r="P714" t="str">
        <x:v>Core</x:v>
      </x:c>
      <x:c r="Q714" t="str">
        <x:v>Verified</x:v>
      </x:c>
      <x:c r="R714" s="142" t="n">
        <x:v>46249</x:v>
      </x:c>
      <x:c r="S714" t="str">
        <x:v>Added in the latest gap audit from an official institution or original creator; public YouTube metadata verified; short demos excluded.</x:v>
      </x:c>
      <x:c r="T714" t="str">
        <x:v>5sxHosTLPF8</x:v>
      </x:c>
      <x:c r="U714" t="str">
        <x:v>Stanford CS336: Language Modeling from Scratch — Spring 2026</x:v>
      </x:c>
      <x:c r="V714" s="148" t="n">
        <x:v>14</x:v>
      </x:c>
      <x:c r="W714" t="str">
        <x:v>stanford-cs336-spring-2026</x:v>
      </x:c>
    </x:row>
    <x:row r="715">
      <x:c r="A715" t="str">
        <x:v>ST-715</x:v>
      </x:c>
      <x:c r="B715" t="str">
        <x:v>Course</x:v>
      </x:c>
      <x:c r="C715" t="str">
        <x:v>Agent</x:v>
      </x:c>
      <x:c r="D715" t="str">
        <x:v>Agents / Tool Use / Reasoning</x:v>
      </x:c>
      <x:c r="E715" t="str">
        <x:v>Language Models; Post-Training; Alignment; Reinforcement Learning; RLVR</x:v>
      </x:c>
      <x:c r="F715" t="str">
        <x:v>English</x:v>
      </x:c>
      <x:c r="G715" t="str">
        <x:v>Stanford CS336 Language Modeling from Scratch | Spring 2026 | Lecture 15: Mid/Post-Training</x:v>
      </x:c>
      <x:c r="H715" t="str">
        <x:v>Stanford CS336 course team</x:v>
      </x:c>
      <x:c r="I715" t="str">
        <x:v>Stanford Online</x:v>
      </x:c>
      <x:c r="J715" t="str">
        <x:v>Course Lecture</x:v>
      </x:c>
      <x:c r="K715" s="148" t="n">
        <x:v>80</x:v>
      </x:c>
      <x:c r="L715" t="str">
        <x:v>https://www.youtube.com/watch?v=2oH6PWPrYFo</x:v>
      </x:c>
      <x:c r="M715" t="str">
        <x:v>YouTube</x:v>
      </x:c>
      <x:c r="N715" s="150" t="n">
        <x:v>20519</x:v>
      </x:c>
      <x:c r="O715" t="str">
        <x:v>A | Official / Original Creator / Organizer</x:v>
      </x:c>
      <x:c r="P715" t="str">
        <x:v>Core</x:v>
      </x:c>
      <x:c r="Q715" t="str">
        <x:v>Verified</x:v>
      </x:c>
      <x:c r="R715" s="142" t="n">
        <x:v>46249</x:v>
      </x:c>
      <x:c r="S715" t="str">
        <x:v>Added in the latest gap audit from an official institution or original creator; public YouTube metadata verified; short demos excluded.</x:v>
      </x:c>
      <x:c r="T715" t="str">
        <x:v>2oH6PWPrYFo</x:v>
      </x:c>
      <x:c r="U715" t="str">
        <x:v>Stanford CS336: Language Modeling from Scratch — Spring 2026</x:v>
      </x:c>
      <x:c r="V715" s="148" t="n">
        <x:v>15</x:v>
      </x:c>
      <x:c r="W715" t="str">
        <x:v>stanford-cs336-spring-2026</x:v>
      </x:c>
    </x:row>
    <x:row r="716">
      <x:c r="A716" t="str">
        <x:v>ST-716</x:v>
      </x:c>
      <x:c r="B716" t="str">
        <x:v>Course</x:v>
      </x:c>
      <x:c r="C716" t="str">
        <x:v>Agent</x:v>
      </x:c>
      <x:c r="D716" t="str">
        <x:v>Agents / Tool Use / Reasoning</x:v>
      </x:c>
      <x:c r="E716" t="str">
        <x:v>Language Models; Post-Training; Alignment; Reinforcement Learning; RLVR</x:v>
      </x:c>
      <x:c r="F716" t="str">
        <x:v>English</x:v>
      </x:c>
      <x:c r="G716" t="str">
        <x:v>Stanford CS336 Language Modeling from Scratch | Spring 2026 | Lecture 16: Post-Training - RLVR</x:v>
      </x:c>
      <x:c r="H716" t="str">
        <x:v>Stanford CS336 course team</x:v>
      </x:c>
      <x:c r="I716" t="str">
        <x:v>Stanford Online</x:v>
      </x:c>
      <x:c r="J716" t="str">
        <x:v>Course Lecture</x:v>
      </x:c>
      <x:c r="K716" s="148" t="n">
        <x:v>76</x:v>
      </x:c>
      <x:c r="L716" t="str">
        <x:v>https://www.youtube.com/watch?v=dIFAi87Ws4E</x:v>
      </x:c>
      <x:c r="M716" t="str">
        <x:v>YouTube</x:v>
      </x:c>
      <x:c r="N716" s="150" t="n">
        <x:v>9498</x:v>
      </x:c>
      <x:c r="O716" t="str">
        <x:v>A | Official / Original Creator / Organizer</x:v>
      </x:c>
      <x:c r="P716" t="str">
        <x:v>Core</x:v>
      </x:c>
      <x:c r="Q716" t="str">
        <x:v>Verified</x:v>
      </x:c>
      <x:c r="R716" s="142" t="n">
        <x:v>46249</x:v>
      </x:c>
      <x:c r="S716" t="str">
        <x:v>Added in the latest gap audit from an official institution or original creator; public YouTube metadata verified; short demos excluded.</x:v>
      </x:c>
      <x:c r="T716" t="str">
        <x:v>dIFAi87Ws4E</x:v>
      </x:c>
      <x:c r="U716" t="str">
        <x:v>Stanford CS336: Language Modeling from Scratch — Spring 2026</x:v>
      </x:c>
      <x:c r="V716" s="148" t="n">
        <x:v>16</x:v>
      </x:c>
      <x:c r="W716" t="str">
        <x:v>stanford-cs336-spring-2026</x:v>
      </x:c>
    </x:row>
    <x:row r="717">
      <x:c r="A717" t="str">
        <x:v>ST-717</x:v>
      </x:c>
      <x:c r="B717" t="str">
        <x:v>Course</x:v>
      </x:c>
      <x:c r="C717" t="str">
        <x:v>Agent</x:v>
      </x:c>
      <x:c r="D717" t="str">
        <x:v>Agents / Tool Use / Reasoning</x:v>
      </x:c>
      <x:c r="E717" t="str">
        <x:v>Language Models; Post-Training; Alignment; Reinforcement Learning; RLVR</x:v>
      </x:c>
      <x:c r="F717" t="str">
        <x:v>English</x:v>
      </x:c>
      <x:c r="G717" t="str">
        <x:v>Stanford CS336 Language Modeling from Scratch | Spring 2026 | Lecture 17: Alignment - Multimodality</x:v>
      </x:c>
      <x:c r="H717" t="str">
        <x:v>Stanford CS336 course team</x:v>
      </x:c>
      <x:c r="I717" t="str">
        <x:v>Stanford Online</x:v>
      </x:c>
      <x:c r="J717" t="str">
        <x:v>Course Lecture</x:v>
      </x:c>
      <x:c r="K717" s="148" t="n">
        <x:v>78</x:v>
      </x:c>
      <x:c r="L717" t="str">
        <x:v>https://www.youtube.com/watch?v=26FtD08ZpOU</x:v>
      </x:c>
      <x:c r="M717" t="str">
        <x:v>YouTube</x:v>
      </x:c>
      <x:c r="N717" s="150" t="n">
        <x:v>6488</x:v>
      </x:c>
      <x:c r="O717" t="str">
        <x:v>A | Official / Original Creator / Organizer</x:v>
      </x:c>
      <x:c r="P717" t="str">
        <x:v>Core</x:v>
      </x:c>
      <x:c r="Q717" t="str">
        <x:v>Verified</x:v>
      </x:c>
      <x:c r="R717" s="142" t="n">
        <x:v>46249</x:v>
      </x:c>
      <x:c r="S717" t="str">
        <x:v>Added in the latest gap audit from an official institution or original creator; public YouTube metadata verified; short demos excluded.</x:v>
      </x:c>
      <x:c r="T717" t="str">
        <x:v>26FtD08ZpOU</x:v>
      </x:c>
      <x:c r="U717" t="str">
        <x:v>Stanford CS336: Language Modeling from Scratch — Spring 2026</x:v>
      </x:c>
      <x:c r="V717" s="148" t="n">
        <x:v>17</x:v>
      </x:c>
      <x:c r="W717" t="str">
        <x:v>stanford-cs336-spring-2026</x:v>
      </x:c>
    </x:row>
    <x:row r="718">
      <x:c r="A718" t="str">
        <x:v>ST-718</x:v>
      </x:c>
      <x:c r="B718" t="str">
        <x:v>Course</x:v>
      </x:c>
      <x:c r="C718" t="str">
        <x:v>Other</x:v>
      </x:c>
      <x:c r="D718" t="str">
        <x:v>Deep Learning Foundations</x:v>
      </x:c>
      <x:c r="E718" t="str">
        <x:v>Language Models; Model Training; Scaling Laws; AI Systems</x:v>
      </x:c>
      <x:c r="F718" t="str">
        <x:v>English</x:v>
      </x:c>
      <x:c r="G718" t="str">
        <x:v>Stanford CS336 Language Modeling from Scratch | Spring 2026 | Guest Lecture: Dan Fu</x:v>
      </x:c>
      <x:c r="H718" t="str">
        <x:v>Stanford CS336 course team</x:v>
      </x:c>
      <x:c r="I718" t="str">
        <x:v>Stanford Online</x:v>
      </x:c>
      <x:c r="J718" t="str">
        <x:v>Course Lecture</x:v>
      </x:c>
      <x:c r="K718" s="148" t="n">
        <x:v>72</x:v>
      </x:c>
      <x:c r="L718" t="str">
        <x:v>https://www.youtube.com/watch?v=9EEm4iMAF5s</x:v>
      </x:c>
      <x:c r="M718" t="str">
        <x:v>YouTube</x:v>
      </x:c>
      <x:c r="N718" s="150" t="n">
        <x:v>14849</x:v>
      </x:c>
      <x:c r="O718" t="str">
        <x:v>A | Official / Original Creator / Organizer</x:v>
      </x:c>
      <x:c r="P718" t="str">
        <x:v>Core</x:v>
      </x:c>
      <x:c r="Q718" t="str">
        <x:v>Verified</x:v>
      </x:c>
      <x:c r="R718" s="142" t="n">
        <x:v>46249</x:v>
      </x:c>
      <x:c r="S718" t="str">
        <x:v>Added in the latest gap audit from an official institution or original creator; public YouTube metadata verified; short demos excluded.</x:v>
      </x:c>
      <x:c r="T718" t="str">
        <x:v>9EEm4iMAF5s</x:v>
      </x:c>
      <x:c r="U718" t="str">
        <x:v>Stanford CS336: Language Modeling from Scratch — Spring 2026</x:v>
      </x:c>
      <x:c r="V718" s="148" t="n">
        <x:v>18</x:v>
      </x:c>
      <x:c r="W718" t="str">
        <x:v>stanford-cs336-spring-2026</x:v>
      </x:c>
    </x:row>
    <x:row r="719">
      <x:c r="A719" t="str">
        <x:v>ST-719</x:v>
      </x:c>
      <x:c r="B719" t="str">
        <x:v>Course</x:v>
      </x:c>
      <x:c r="C719" t="str">
        <x:v>Other</x:v>
      </x:c>
      <x:c r="D719" t="str">
        <x:v>Artificial Intelligence Foundations</x:v>
      </x:c>
      <x:c r="E719" t="str">
        <x:v>Artificial Intelligence; Search; Logic; Probabilistic Models; Machine Learning</x:v>
      </x:c>
      <x:c r="F719" t="str">
        <x:v>English</x:v>
      </x:c>
      <x:c r="G719" t="str">
        <x:v>Stanford CS221 | Autumn 2025 | Lecture 1: Course Overview and AI Foundations</x:v>
      </x:c>
      <x:c r="H719" t="str">
        <x:v>Stanford CS221 course team</x:v>
      </x:c>
      <x:c r="I719" t="str">
        <x:v>Stanford Online</x:v>
      </x:c>
      <x:c r="J719" t="str">
        <x:v>Course Lecture</x:v>
      </x:c>
      <x:c r="K719" s="148" t="n">
        <x:v>66</x:v>
      </x:c>
      <x:c r="L719" t="str">
        <x:v>https://www.youtube.com/watch?v=yaLEGZuIIgE</x:v>
      </x:c>
      <x:c r="M719" t="str">
        <x:v>YouTube</x:v>
      </x:c>
      <x:c r="N719" s="150" t="n">
        <x:v>53771</x:v>
      </x:c>
      <x:c r="O719" t="str">
        <x:v>A | Official / Original Creator / Organizer</x:v>
      </x:c>
      <x:c r="P719" t="str">
        <x:v>Core</x:v>
      </x:c>
      <x:c r="Q719" t="str">
        <x:v>Verified</x:v>
      </x:c>
      <x:c r="R719" s="142" t="n">
        <x:v>46249</x:v>
      </x:c>
      <x:c r="S719" t="str">
        <x:v>Added in the latest gap audit from an official institution or original creator; public YouTube metadata verified; short demos excluded.</x:v>
      </x:c>
      <x:c r="T719" t="str">
        <x:v>yaLEGZuIIgE</x:v>
      </x:c>
      <x:c r="U719" t="str">
        <x:v>Stanford CS221: Artificial Intelligence — Autumn 2025</x:v>
      </x:c>
      <x:c r="V719" s="148" t="n">
        <x:v>1</x:v>
      </x:c>
      <x:c r="W719" t="str">
        <x:v>stanford-cs221-autumn-2025</x:v>
      </x:c>
    </x:row>
    <x:row r="720">
      <x:c r="A720" t="str">
        <x:v>ST-720</x:v>
      </x:c>
      <x:c r="B720" t="str">
        <x:v>Course</x:v>
      </x:c>
      <x:c r="C720" t="str">
        <x:v>Other</x:v>
      </x:c>
      <x:c r="D720" t="str">
        <x:v>Artificial Intelligence Foundations</x:v>
      </x:c>
      <x:c r="E720" t="str">
        <x:v>Artificial Intelligence; Search; Logic; Probabilistic Models; Machine Learning</x:v>
      </x:c>
      <x:c r="F720" t="str">
        <x:v>English</x:v>
      </x:c>
      <x:c r="G720" t="str">
        <x:v>Stanford CS221 | Autumn 2025 | Lecture 2: Learning I</x:v>
      </x:c>
      <x:c r="H720" t="str">
        <x:v>Stanford CS221 course team</x:v>
      </x:c>
      <x:c r="I720" t="str">
        <x:v>Stanford Online</x:v>
      </x:c>
      <x:c r="J720" t="str">
        <x:v>Course Lecture</x:v>
      </x:c>
      <x:c r="K720" s="148" t="n">
        <x:v>73</x:v>
      </x:c>
      <x:c r="L720" t="str">
        <x:v>https://www.youtube.com/watch?v=ypZJaTqrNdk</x:v>
      </x:c>
      <x:c r="M720" t="str">
        <x:v>YouTube</x:v>
      </x:c>
      <x:c r="N720" s="150" t="n">
        <x:v>10771</x:v>
      </x:c>
      <x:c r="O720" t="str">
        <x:v>A | Official / Original Creator / Organizer</x:v>
      </x:c>
      <x:c r="P720" t="str">
        <x:v>Core</x:v>
      </x:c>
      <x:c r="Q720" t="str">
        <x:v>Verified</x:v>
      </x:c>
      <x:c r="R720" s="142" t="n">
        <x:v>46249</x:v>
      </x:c>
      <x:c r="S720" t="str">
        <x:v>Added in the latest gap audit from an official institution or original creator; public YouTube metadata verified; short demos excluded.</x:v>
      </x:c>
      <x:c r="T720" t="str">
        <x:v>ypZJaTqrNdk</x:v>
      </x:c>
      <x:c r="U720" t="str">
        <x:v>Stanford CS221: Artificial Intelligence — Autumn 2025</x:v>
      </x:c>
      <x:c r="V720" s="148" t="n">
        <x:v>2</x:v>
      </x:c>
      <x:c r="W720" t="str">
        <x:v>stanford-cs221-autumn-2025</x:v>
      </x:c>
    </x:row>
    <x:row r="721">
      <x:c r="A721" t="str">
        <x:v>ST-721</x:v>
      </x:c>
      <x:c r="B721" t="str">
        <x:v>Course</x:v>
      </x:c>
      <x:c r="C721" t="str">
        <x:v>Other</x:v>
      </x:c>
      <x:c r="D721" t="str">
        <x:v>Artificial Intelligence Foundations</x:v>
      </x:c>
      <x:c r="E721" t="str">
        <x:v>Artificial Intelligence; Search; Logic; Probabilistic Models; Machine Learning</x:v>
      </x:c>
      <x:c r="F721" t="str">
        <x:v>English</x:v>
      </x:c>
      <x:c r="G721" t="str">
        <x:v>Stanford CS221 | Autumn 2025 | Lecture 3: Learning II</x:v>
      </x:c>
      <x:c r="H721" t="str">
        <x:v>Stanford CS221 course team</x:v>
      </x:c>
      <x:c r="I721" t="str">
        <x:v>Stanford Online</x:v>
      </x:c>
      <x:c r="J721" t="str">
        <x:v>Course Lecture</x:v>
      </x:c>
      <x:c r="K721" s="148" t="n">
        <x:v>73</x:v>
      </x:c>
      <x:c r="L721" t="str">
        <x:v>https://www.youtube.com/watch?v=Mbe5ICIUw5Q</x:v>
      </x:c>
      <x:c r="M721" t="str">
        <x:v>YouTube</x:v>
      </x:c>
      <x:c r="N721" s="150" t="n">
        <x:v>4374</x:v>
      </x:c>
      <x:c r="O721" t="str">
        <x:v>A | Official / Original Creator / Organizer</x:v>
      </x:c>
      <x:c r="P721" t="str">
        <x:v>Core</x:v>
      </x:c>
      <x:c r="Q721" t="str">
        <x:v>Verified</x:v>
      </x:c>
      <x:c r="R721" s="142" t="n">
        <x:v>46249</x:v>
      </x:c>
      <x:c r="S721" t="str">
        <x:v>Added in the latest gap audit from an official institution or original creator; public YouTube metadata verified; short demos excluded.</x:v>
      </x:c>
      <x:c r="T721" t="str">
        <x:v>Mbe5ICIUw5Q</x:v>
      </x:c>
      <x:c r="U721" t="str">
        <x:v>Stanford CS221: Artificial Intelligence — Autumn 2025</x:v>
      </x:c>
      <x:c r="V721" s="148" t="n">
        <x:v>3</x:v>
      </x:c>
      <x:c r="W721" t="str">
        <x:v>stanford-cs221-autumn-2025</x:v>
      </x:c>
    </x:row>
    <x:row r="722">
      <x:c r="A722" t="str">
        <x:v>ST-722</x:v>
      </x:c>
      <x:c r="B722" t="str">
        <x:v>Course</x:v>
      </x:c>
      <x:c r="C722" t="str">
        <x:v>Other</x:v>
      </x:c>
      <x:c r="D722" t="str">
        <x:v>Artificial Intelligence Foundations</x:v>
      </x:c>
      <x:c r="E722" t="str">
        <x:v>Artificial Intelligence; Search; Logic; Probabilistic Models; Machine Learning</x:v>
      </x:c>
      <x:c r="F722" t="str">
        <x:v>English</x:v>
      </x:c>
      <x:c r="G722" t="str">
        <x:v>Stanford CS221 | Autumn 2025 | Lecture 4: Learning III</x:v>
      </x:c>
      <x:c r="H722" t="str">
        <x:v>Stanford CS221 course team</x:v>
      </x:c>
      <x:c r="I722" t="str">
        <x:v>Stanford Online</x:v>
      </x:c>
      <x:c r="J722" t="str">
        <x:v>Course Lecture</x:v>
      </x:c>
      <x:c r="K722" s="148" t="n">
        <x:v>72</x:v>
      </x:c>
      <x:c r="L722" t="str">
        <x:v>https://www.youtube.com/watch?v=89NND-Ca0yY</x:v>
      </x:c>
      <x:c r="M722" t="str">
        <x:v>YouTube</x:v>
      </x:c>
      <x:c r="N722" s="150" t="n">
        <x:v>3108</x:v>
      </x:c>
      <x:c r="O722" t="str">
        <x:v>A | Official / Original Creator / Organizer</x:v>
      </x:c>
      <x:c r="P722" t="str">
        <x:v>Core</x:v>
      </x:c>
      <x:c r="Q722" t="str">
        <x:v>Verified</x:v>
      </x:c>
      <x:c r="R722" s="142" t="n">
        <x:v>46249</x:v>
      </x:c>
      <x:c r="S722" t="str">
        <x:v>Added in the latest gap audit from an official institution or original creator; public YouTube metadata verified; short demos excluded.</x:v>
      </x:c>
      <x:c r="T722" t="str">
        <x:v>89NND-Ca0yY</x:v>
      </x:c>
      <x:c r="U722" t="str">
        <x:v>Stanford CS221: Artificial Intelligence — Autumn 2025</x:v>
      </x:c>
      <x:c r="V722" s="148" t="n">
        <x:v>4</x:v>
      </x:c>
      <x:c r="W722" t="str">
        <x:v>stanford-cs221-autumn-2025</x:v>
      </x:c>
    </x:row>
    <x:row r="723">
      <x:c r="A723" t="str">
        <x:v>ST-723</x:v>
      </x:c>
      <x:c r="B723" t="str">
        <x:v>Course</x:v>
      </x:c>
      <x:c r="C723" t="str">
        <x:v>Other</x:v>
      </x:c>
      <x:c r="D723" t="str">
        <x:v>Artificial Intelligence Foundations</x:v>
      </x:c>
      <x:c r="E723" t="str">
        <x:v>Artificial Intelligence; Search; Logic; Probabilistic Models; Machine Learning</x:v>
      </x:c>
      <x:c r="F723" t="str">
        <x:v>English</x:v>
      </x:c>
      <x:c r="G723" t="str">
        <x:v>Stanford CS221 | Autumn 2025 | Lecture 5: Search I</x:v>
      </x:c>
      <x:c r="H723" t="str">
        <x:v>Stanford CS221 course team</x:v>
      </x:c>
      <x:c r="I723" t="str">
        <x:v>Stanford Online</x:v>
      </x:c>
      <x:c r="J723" t="str">
        <x:v>Course Lecture</x:v>
      </x:c>
      <x:c r="K723" s="148" t="n">
        <x:v>82</x:v>
      </x:c>
      <x:c r="L723" t="str">
        <x:v>https://www.youtube.com/watch?v=fPESauMaJYA</x:v>
      </x:c>
      <x:c r="M723" t="str">
        <x:v>YouTube</x:v>
      </x:c>
      <x:c r="N723" s="150" t="n">
        <x:v>3121</x:v>
      </x:c>
      <x:c r="O723" t="str">
        <x:v>A | Official / Original Creator / Organizer</x:v>
      </x:c>
      <x:c r="P723" t="str">
        <x:v>Core</x:v>
      </x:c>
      <x:c r="Q723" t="str">
        <x:v>Verified</x:v>
      </x:c>
      <x:c r="R723" s="142" t="n">
        <x:v>46249</x:v>
      </x:c>
      <x:c r="S723" t="str">
        <x:v>Added in the latest gap audit from an official institution or original creator; public YouTube metadata verified; short demos excluded.</x:v>
      </x:c>
      <x:c r="T723" t="str">
        <x:v>fPESauMaJYA</x:v>
      </x:c>
      <x:c r="U723" t="str">
        <x:v>Stanford CS221: Artificial Intelligence — Autumn 2025</x:v>
      </x:c>
      <x:c r="V723" s="148" t="n">
        <x:v>5</x:v>
      </x:c>
      <x:c r="W723" t="str">
        <x:v>stanford-cs221-autumn-2025</x:v>
      </x:c>
    </x:row>
    <x:row r="724">
      <x:c r="A724" t="str">
        <x:v>ST-724</x:v>
      </x:c>
      <x:c r="B724" t="str">
        <x:v>Course</x:v>
      </x:c>
      <x:c r="C724" t="str">
        <x:v>Other</x:v>
      </x:c>
      <x:c r="D724" t="str">
        <x:v>Artificial Intelligence Foundations</x:v>
      </x:c>
      <x:c r="E724" t="str">
        <x:v>Artificial Intelligence; Search; Logic; Probabilistic Models; Machine Learning</x:v>
      </x:c>
      <x:c r="F724" t="str">
        <x:v>English</x:v>
      </x:c>
      <x:c r="G724" t="str">
        <x:v>Stanford CS221 | Autumn 2025 | Lecture 6: Search II</x:v>
      </x:c>
      <x:c r="H724" t="str">
        <x:v>Stanford CS221 course team</x:v>
      </x:c>
      <x:c r="I724" t="str">
        <x:v>Stanford Online</x:v>
      </x:c>
      <x:c r="J724" t="str">
        <x:v>Course Lecture</x:v>
      </x:c>
      <x:c r="K724" s="148" t="n">
        <x:v>80</x:v>
      </x:c>
      <x:c r="L724" t="str">
        <x:v>https://www.youtube.com/watch?v=4Iu4KPVbnAY</x:v>
      </x:c>
      <x:c r="M724" t="str">
        <x:v>YouTube</x:v>
      </x:c>
      <x:c r="N724" s="150" t="n">
        <x:v>1791</x:v>
      </x:c>
      <x:c r="O724" t="str">
        <x:v>A | Official / Original Creator / Organizer</x:v>
      </x:c>
      <x:c r="P724" t="str">
        <x:v>Core</x:v>
      </x:c>
      <x:c r="Q724" t="str">
        <x:v>Verified</x:v>
      </x:c>
      <x:c r="R724" s="142" t="n">
        <x:v>46249</x:v>
      </x:c>
      <x:c r="S724" t="str">
        <x:v>Added in the latest gap audit from an official institution or original creator; public YouTube metadata verified; short demos excluded.</x:v>
      </x:c>
      <x:c r="T724" t="str">
        <x:v>4Iu4KPVbnAY</x:v>
      </x:c>
      <x:c r="U724" t="str">
        <x:v>Stanford CS221: Artificial Intelligence — Autumn 2025</x:v>
      </x:c>
      <x:c r="V724" s="148" t="n">
        <x:v>6</x:v>
      </x:c>
      <x:c r="W724" t="str">
        <x:v>stanford-cs221-autumn-2025</x:v>
      </x:c>
    </x:row>
    <x:row r="725">
      <x:c r="A725" t="str">
        <x:v>ST-725</x:v>
      </x:c>
      <x:c r="B725" t="str">
        <x:v>Course</x:v>
      </x:c>
      <x:c r="C725" t="str">
        <x:v>Other</x:v>
      </x:c>
      <x:c r="D725" t="str">
        <x:v>Artificial Intelligence Foundations</x:v>
      </x:c>
      <x:c r="E725" t="str">
        <x:v>Artificial Intelligence; Search; Logic; Probabilistic Models; Machine Learning</x:v>
      </x:c>
      <x:c r="F725" t="str">
        <x:v>English</x:v>
      </x:c>
      <x:c r="G725" t="str">
        <x:v>Stanford CS221 | Autumn 2025 | Lecture 7: Markov Decision Processes</x:v>
      </x:c>
      <x:c r="H725" t="str">
        <x:v>Stanford CS221 course team</x:v>
      </x:c>
      <x:c r="I725" t="str">
        <x:v>Stanford Online</x:v>
      </x:c>
      <x:c r="J725" t="str">
        <x:v>Course Lecture</x:v>
      </x:c>
      <x:c r="K725" s="148" t="n">
        <x:v>80</x:v>
      </x:c>
      <x:c r="L725" t="str">
        <x:v>https://www.youtube.com/watch?v=2ZtF1j3n6XE</x:v>
      </x:c>
      <x:c r="M725" t="str">
        <x:v>YouTube</x:v>
      </x:c>
      <x:c r="N725" s="150" t="n">
        <x:v>2597</x:v>
      </x:c>
      <x:c r="O725" t="str">
        <x:v>A | Official / Original Creator / Organizer</x:v>
      </x:c>
      <x:c r="P725" t="str">
        <x:v>Core</x:v>
      </x:c>
      <x:c r="Q725" t="str">
        <x:v>Verified</x:v>
      </x:c>
      <x:c r="R725" s="142" t="n">
        <x:v>46249</x:v>
      </x:c>
      <x:c r="S725" t="str">
        <x:v>Added in the latest gap audit from an official institution or original creator; public YouTube metadata verified; short demos excluded.</x:v>
      </x:c>
      <x:c r="T725" t="str">
        <x:v>2ZtF1j3n6XE</x:v>
      </x:c>
      <x:c r="U725" t="str">
        <x:v>Stanford CS221: Artificial Intelligence — Autumn 2025</x:v>
      </x:c>
      <x:c r="V725" s="148" t="n">
        <x:v>7</x:v>
      </x:c>
      <x:c r="W725" t="str">
        <x:v>stanford-cs221-autumn-2025</x:v>
      </x:c>
    </x:row>
    <x:row r="726">
      <x:c r="A726" t="str">
        <x:v>ST-726</x:v>
      </x:c>
      <x:c r="B726" t="str">
        <x:v>Course</x:v>
      </x:c>
      <x:c r="C726" t="str">
        <x:v>Other</x:v>
      </x:c>
      <x:c r="D726" t="str">
        <x:v>Artificial Intelligence Foundations</x:v>
      </x:c>
      <x:c r="E726" t="str">
        <x:v>Artificial Intelligence; Search; Logic; Probabilistic Models; Machine Learning</x:v>
      </x:c>
      <x:c r="F726" t="str">
        <x:v>English</x:v>
      </x:c>
      <x:c r="G726" t="str">
        <x:v>Stanford CS221 | Autumn 2025 | Lecture 8: Reinforcement Learning</x:v>
      </x:c>
      <x:c r="H726" t="str">
        <x:v>Stanford CS221 course team</x:v>
      </x:c>
      <x:c r="I726" t="str">
        <x:v>Stanford Online</x:v>
      </x:c>
      <x:c r="J726" t="str">
        <x:v>Course Lecture</x:v>
      </x:c>
      <x:c r="K726" s="148" t="n">
        <x:v>78</x:v>
      </x:c>
      <x:c r="L726" t="str">
        <x:v>https://www.youtube.com/watch?v=34Hk2v2kwg4</x:v>
      </x:c>
      <x:c r="M726" t="str">
        <x:v>YouTube</x:v>
      </x:c>
      <x:c r="N726" s="150" t="n">
        <x:v>1852</x:v>
      </x:c>
      <x:c r="O726" t="str">
        <x:v>A | Official / Original Creator / Organizer</x:v>
      </x:c>
      <x:c r="P726" t="str">
        <x:v>Core</x:v>
      </x:c>
      <x:c r="Q726" t="str">
        <x:v>Verified</x:v>
      </x:c>
      <x:c r="R726" s="142" t="n">
        <x:v>46249</x:v>
      </x:c>
      <x:c r="S726" t="str">
        <x:v>Added in the latest gap audit from an official institution or original creator; public YouTube metadata verified; short demos excluded.</x:v>
      </x:c>
      <x:c r="T726" t="str">
        <x:v>34Hk2v2kwg4</x:v>
      </x:c>
      <x:c r="U726" t="str">
        <x:v>Stanford CS221: Artificial Intelligence — Autumn 2025</x:v>
      </x:c>
      <x:c r="V726" s="148" t="n">
        <x:v>8</x:v>
      </x:c>
      <x:c r="W726" t="str">
        <x:v>stanford-cs221-autumn-2025</x:v>
      </x:c>
    </x:row>
    <x:row r="727">
      <x:c r="A727" t="str">
        <x:v>ST-727</x:v>
      </x:c>
      <x:c r="B727" t="str">
        <x:v>Course</x:v>
      </x:c>
      <x:c r="C727" t="str">
        <x:v>Other</x:v>
      </x:c>
      <x:c r="D727" t="str">
        <x:v>Artificial Intelligence Foundations</x:v>
      </x:c>
      <x:c r="E727" t="str">
        <x:v>Artificial Intelligence; Search; Logic; Probabilistic Models; Machine Learning</x:v>
      </x:c>
      <x:c r="F727" t="str">
        <x:v>English</x:v>
      </x:c>
      <x:c r="G727" t="str">
        <x:v>Stanford CS221 | Autumn 2025 | Lecture 9: Policy Gradient</x:v>
      </x:c>
      <x:c r="H727" t="str">
        <x:v>Stanford CS221 course team</x:v>
      </x:c>
      <x:c r="I727" t="str">
        <x:v>Stanford Online</x:v>
      </x:c>
      <x:c r="J727" t="str">
        <x:v>Course Lecture</x:v>
      </x:c>
      <x:c r="K727" s="148" t="n">
        <x:v>74</x:v>
      </x:c>
      <x:c r="L727" t="str">
        <x:v>https://www.youtube.com/watch?v=lOMNskWVeD8</x:v>
      </x:c>
      <x:c r="M727" t="str">
        <x:v>YouTube</x:v>
      </x:c>
      <x:c r="N727" s="150" t="n">
        <x:v>1293</x:v>
      </x:c>
      <x:c r="O727" t="str">
        <x:v>A | Official / Original Creator / Organizer</x:v>
      </x:c>
      <x:c r="P727" t="str">
        <x:v>Core</x:v>
      </x:c>
      <x:c r="Q727" t="str">
        <x:v>Verified</x:v>
      </x:c>
      <x:c r="R727" s="142" t="n">
        <x:v>46249</x:v>
      </x:c>
      <x:c r="S727" t="str">
        <x:v>Added in the latest gap audit from an official institution or original creator; public YouTube metadata verified; short demos excluded.</x:v>
      </x:c>
      <x:c r="T727" t="str">
        <x:v>lOMNskWVeD8</x:v>
      </x:c>
      <x:c r="U727" t="str">
        <x:v>Stanford CS221: Artificial Intelligence — Autumn 2025</x:v>
      </x:c>
      <x:c r="V727" s="148" t="n">
        <x:v>9</x:v>
      </x:c>
      <x:c r="W727" t="str">
        <x:v>stanford-cs221-autumn-2025</x:v>
      </x:c>
    </x:row>
    <x:row r="728">
      <x:c r="A728" t="str">
        <x:v>ST-728</x:v>
      </x:c>
      <x:c r="B728" t="str">
        <x:v>Course</x:v>
      </x:c>
      <x:c r="C728" t="str">
        <x:v>Other</x:v>
      </x:c>
      <x:c r="D728" t="str">
        <x:v>Artificial Intelligence Foundations</x:v>
      </x:c>
      <x:c r="E728" t="str">
        <x:v>Artificial Intelligence; Search; Logic; Probabilistic Models; Machine Learning</x:v>
      </x:c>
      <x:c r="F728" t="str">
        <x:v>English</x:v>
      </x:c>
      <x:c r="G728" t="str">
        <x:v>Stanford CS221 | Autumn 2025 | Lecture 10: Games I</x:v>
      </x:c>
      <x:c r="H728" t="str">
        <x:v>Stanford CS221 course team</x:v>
      </x:c>
      <x:c r="I728" t="str">
        <x:v>Stanford Online</x:v>
      </x:c>
      <x:c r="J728" t="str">
        <x:v>Course Lecture</x:v>
      </x:c>
      <x:c r="K728" s="148" t="n">
        <x:v>73</x:v>
      </x:c>
      <x:c r="L728" t="str">
        <x:v>https://www.youtube.com/watch?v=SMOD_GiRzb8</x:v>
      </x:c>
      <x:c r="M728" t="str">
        <x:v>YouTube</x:v>
      </x:c>
      <x:c r="N728" s="150" t="n">
        <x:v>1440</x:v>
      </x:c>
      <x:c r="O728" t="str">
        <x:v>A | Official / Original Creator / Organizer</x:v>
      </x:c>
      <x:c r="P728" t="str">
        <x:v>Core</x:v>
      </x:c>
      <x:c r="Q728" t="str">
        <x:v>Verified</x:v>
      </x:c>
      <x:c r="R728" s="142" t="n">
        <x:v>46249</x:v>
      </x:c>
      <x:c r="S728" t="str">
        <x:v>Added in the latest gap audit from an official institution or original creator; public YouTube metadata verified; short demos excluded.</x:v>
      </x:c>
      <x:c r="T728" t="str">
        <x:v>SMOD_GiRzb8</x:v>
      </x:c>
      <x:c r="U728" t="str">
        <x:v>Stanford CS221: Artificial Intelligence — Autumn 2025</x:v>
      </x:c>
      <x:c r="V728" s="148" t="n">
        <x:v>10</x:v>
      </x:c>
      <x:c r="W728" t="str">
        <x:v>stanford-cs221-autumn-2025</x:v>
      </x:c>
    </x:row>
    <x:row r="729">
      <x:c r="A729" t="str">
        <x:v>ST-729</x:v>
      </x:c>
      <x:c r="B729" t="str">
        <x:v>Course</x:v>
      </x:c>
      <x:c r="C729" t="str">
        <x:v>Other</x:v>
      </x:c>
      <x:c r="D729" t="str">
        <x:v>Artificial Intelligence Foundations</x:v>
      </x:c>
      <x:c r="E729" t="str">
        <x:v>Artificial Intelligence; Search; Logic; Probabilistic Models; Machine Learning</x:v>
      </x:c>
      <x:c r="F729" t="str">
        <x:v>English</x:v>
      </x:c>
      <x:c r="G729" t="str">
        <x:v>Stanford CS221 | Autumn 2025 | Lecture 11: Games II</x:v>
      </x:c>
      <x:c r="H729" t="str">
        <x:v>Stanford CS221 course team</x:v>
      </x:c>
      <x:c r="I729" t="str">
        <x:v>Stanford Online</x:v>
      </x:c>
      <x:c r="J729" t="str">
        <x:v>Course Lecture</x:v>
      </x:c>
      <x:c r="K729" s="148" t="n">
        <x:v>74</x:v>
      </x:c>
      <x:c r="L729" t="str">
        <x:v>https://www.youtube.com/watch?v=9CKRoKFdS5Y</x:v>
      </x:c>
      <x:c r="M729" t="str">
        <x:v>YouTube</x:v>
      </x:c>
      <x:c r="N729" s="150" t="n">
        <x:v>1024</x:v>
      </x:c>
      <x:c r="O729" t="str">
        <x:v>A | Official / Original Creator / Organizer</x:v>
      </x:c>
      <x:c r="P729" t="str">
        <x:v>Core</x:v>
      </x:c>
      <x:c r="Q729" t="str">
        <x:v>Verified</x:v>
      </x:c>
      <x:c r="R729" s="142" t="n">
        <x:v>46249</x:v>
      </x:c>
      <x:c r="S729" t="str">
        <x:v>Added in the latest gap audit from an official institution or original creator; public YouTube metadata verified; short demos excluded.</x:v>
      </x:c>
      <x:c r="T729" t="str">
        <x:v>9CKRoKFdS5Y</x:v>
      </x:c>
      <x:c r="U729" t="str">
        <x:v>Stanford CS221: Artificial Intelligence — Autumn 2025</x:v>
      </x:c>
      <x:c r="V729" s="148" t="n">
        <x:v>11</x:v>
      </x:c>
      <x:c r="W729" t="str">
        <x:v>stanford-cs221-autumn-2025</x:v>
      </x:c>
    </x:row>
    <x:row r="730">
      <x:c r="A730" t="str">
        <x:v>ST-730</x:v>
      </x:c>
      <x:c r="B730" t="str">
        <x:v>Course</x:v>
      </x:c>
      <x:c r="C730" t="str">
        <x:v>Other</x:v>
      </x:c>
      <x:c r="D730" t="str">
        <x:v>Artificial Intelligence Foundations</x:v>
      </x:c>
      <x:c r="E730" t="str">
        <x:v>Artificial Intelligence; Search; Logic; Probabilistic Models; Machine Learning</x:v>
      </x:c>
      <x:c r="F730" t="str">
        <x:v>English</x:v>
      </x:c>
      <x:c r="G730" t="str">
        <x:v>Stanford CS221 | Autumn 2025 | Lecture 12: Bayesian Networks I</x:v>
      </x:c>
      <x:c r="H730" t="str">
        <x:v>Stanford CS221 course team</x:v>
      </x:c>
      <x:c r="I730" t="str">
        <x:v>Stanford Online</x:v>
      </x:c>
      <x:c r="J730" t="str">
        <x:v>Course Lecture</x:v>
      </x:c>
      <x:c r="K730" s="148" t="n">
        <x:v>78</x:v>
      </x:c>
      <x:c r="L730" t="str">
        <x:v>https://www.youtube.com/watch?v=ec2rCf4iIqU</x:v>
      </x:c>
      <x:c r="M730" t="str">
        <x:v>YouTube</x:v>
      </x:c>
      <x:c r="N730" s="150" t="n">
        <x:v>1524</x:v>
      </x:c>
      <x:c r="O730" t="str">
        <x:v>A | Official / Original Creator / Organizer</x:v>
      </x:c>
      <x:c r="P730" t="str">
        <x:v>Core</x:v>
      </x:c>
      <x:c r="Q730" t="str">
        <x:v>Verified</x:v>
      </x:c>
      <x:c r="R730" s="142" t="n">
        <x:v>46249</x:v>
      </x:c>
      <x:c r="S730" t="str">
        <x:v>Added in the latest gap audit from an official institution or original creator; public YouTube metadata verified; short demos excluded.</x:v>
      </x:c>
      <x:c r="T730" t="str">
        <x:v>ec2rCf4iIqU</x:v>
      </x:c>
      <x:c r="U730" t="str">
        <x:v>Stanford CS221: Artificial Intelligence — Autumn 2025</x:v>
      </x:c>
      <x:c r="V730" s="148" t="n">
        <x:v>12</x:v>
      </x:c>
      <x:c r="W730" t="str">
        <x:v>stanford-cs221-autumn-2025</x:v>
      </x:c>
    </x:row>
    <x:row r="731">
      <x:c r="A731" t="str">
        <x:v>ST-731</x:v>
      </x:c>
      <x:c r="B731" t="str">
        <x:v>Course</x:v>
      </x:c>
      <x:c r="C731" t="str">
        <x:v>Other</x:v>
      </x:c>
      <x:c r="D731" t="str">
        <x:v>Artificial Intelligence Foundations</x:v>
      </x:c>
      <x:c r="E731" t="str">
        <x:v>Artificial Intelligence; Search; Logic; Probabilistic Models; Machine Learning</x:v>
      </x:c>
      <x:c r="F731" t="str">
        <x:v>English</x:v>
      </x:c>
      <x:c r="G731" t="str">
        <x:v>Stanford CS221 | Autumn 2025 | Lecture 13: Bayesian Networks and Gibbs Sampling</x:v>
      </x:c>
      <x:c r="H731" t="str">
        <x:v>Stanford CS221 course team</x:v>
      </x:c>
      <x:c r="I731" t="str">
        <x:v>Stanford Online</x:v>
      </x:c>
      <x:c r="J731" t="str">
        <x:v>Course Lecture</x:v>
      </x:c>
      <x:c r="K731" s="148" t="n">
        <x:v>76</x:v>
      </x:c>
      <x:c r="L731" t="str">
        <x:v>https://www.youtube.com/watch?v=Dk7Kqqehzjk</x:v>
      </x:c>
      <x:c r="M731" t="str">
        <x:v>YouTube</x:v>
      </x:c>
      <x:c r="N731" s="150" t="n">
        <x:v>1224</x:v>
      </x:c>
      <x:c r="O731" t="str">
        <x:v>A | Official / Original Creator / Organizer</x:v>
      </x:c>
      <x:c r="P731" t="str">
        <x:v>Core</x:v>
      </x:c>
      <x:c r="Q731" t="str">
        <x:v>Verified</x:v>
      </x:c>
      <x:c r="R731" s="142" t="n">
        <x:v>46249</x:v>
      </x:c>
      <x:c r="S731" t="str">
        <x:v>Added in the latest gap audit from an official institution or original creator; public YouTube metadata verified; short demos excluded.</x:v>
      </x:c>
      <x:c r="T731" t="str">
        <x:v>Dk7Kqqehzjk</x:v>
      </x:c>
      <x:c r="U731" t="str">
        <x:v>Stanford CS221: Artificial Intelligence — Autumn 2025</x:v>
      </x:c>
      <x:c r="V731" s="148" t="n">
        <x:v>13</x:v>
      </x:c>
      <x:c r="W731" t="str">
        <x:v>stanford-cs221-autumn-2025</x:v>
      </x:c>
    </x:row>
    <x:row r="732">
      <x:c r="A732" t="str">
        <x:v>ST-732</x:v>
      </x:c>
      <x:c r="B732" t="str">
        <x:v>Course</x:v>
      </x:c>
      <x:c r="C732" t="str">
        <x:v>Other</x:v>
      </x:c>
      <x:c r="D732" t="str">
        <x:v>Artificial Intelligence Foundations</x:v>
      </x:c>
      <x:c r="E732" t="str">
        <x:v>Artificial Intelligence; Search; Logic; Probabilistic Models; Machine Learning</x:v>
      </x:c>
      <x:c r="F732" t="str">
        <x:v>English</x:v>
      </x:c>
      <x:c r="G732" t="str">
        <x:v>Stanford CS221 | Autumn 2025 | Lecture 14: Bayesian Networks and Learning</x:v>
      </x:c>
      <x:c r="H732" t="str">
        <x:v>Stanford CS221 course team</x:v>
      </x:c>
      <x:c r="I732" t="str">
        <x:v>Stanford Online</x:v>
      </x:c>
      <x:c r="J732" t="str">
        <x:v>Course Lecture</x:v>
      </x:c>
      <x:c r="K732" s="148" t="n">
        <x:v>81</x:v>
      </x:c>
      <x:c r="L732" t="str">
        <x:v>https://www.youtube.com/watch?v=4d9V6Sxa6gU</x:v>
      </x:c>
      <x:c r="M732" t="str">
        <x:v>YouTube</x:v>
      </x:c>
      <x:c r="N732" s="150" t="n">
        <x:v>1360</x:v>
      </x:c>
      <x:c r="O732" t="str">
        <x:v>A | Official / Original Creator / Organizer</x:v>
      </x:c>
      <x:c r="P732" t="str">
        <x:v>Core</x:v>
      </x:c>
      <x:c r="Q732" t="str">
        <x:v>Verified</x:v>
      </x:c>
      <x:c r="R732" s="142" t="n">
        <x:v>46249</x:v>
      </x:c>
      <x:c r="S732" t="str">
        <x:v>Added in the latest gap audit from an official institution or original creator; public YouTube metadata verified; short demos excluded.</x:v>
      </x:c>
      <x:c r="T732" t="str">
        <x:v>4d9V6Sxa6gU</x:v>
      </x:c>
      <x:c r="U732" t="str">
        <x:v>Stanford CS221: Artificial Intelligence — Autumn 2025</x:v>
      </x:c>
      <x:c r="V732" s="148" t="n">
        <x:v>14</x:v>
      </x:c>
      <x:c r="W732" t="str">
        <x:v>stanford-cs221-autumn-2025</x:v>
      </x:c>
    </x:row>
    <x:row r="733">
      <x:c r="A733" t="str">
        <x:v>ST-733</x:v>
      </x:c>
      <x:c r="B733" t="str">
        <x:v>Course</x:v>
      </x:c>
      <x:c r="C733" t="str">
        <x:v>Other</x:v>
      </x:c>
      <x:c r="D733" t="str">
        <x:v>Artificial Intelligence Foundations</x:v>
      </x:c>
      <x:c r="E733" t="str">
        <x:v>Artificial Intelligence; Search; Logic; Probabilistic Models; Machine Learning</x:v>
      </x:c>
      <x:c r="F733" t="str">
        <x:v>English</x:v>
      </x:c>
      <x:c r="G733" t="str">
        <x:v>Stanford CS221 | Autumn 2025 | Lecture 15: Logic I</x:v>
      </x:c>
      <x:c r="H733" t="str">
        <x:v>Stanford CS221 course team</x:v>
      </x:c>
      <x:c r="I733" t="str">
        <x:v>Stanford Online</x:v>
      </x:c>
      <x:c r="J733" t="str">
        <x:v>Course Lecture</x:v>
      </x:c>
      <x:c r="K733" s="148" t="n">
        <x:v>73</x:v>
      </x:c>
      <x:c r="L733" t="str">
        <x:v>https://www.youtube.com/watch?v=Q7V13XriJEc</x:v>
      </x:c>
      <x:c r="M733" t="str">
        <x:v>YouTube</x:v>
      </x:c>
      <x:c r="N733" s="150" t="n">
        <x:v>1477</x:v>
      </x:c>
      <x:c r="O733" t="str">
        <x:v>A | Official / Original Creator / Organizer</x:v>
      </x:c>
      <x:c r="P733" t="str">
        <x:v>Core</x:v>
      </x:c>
      <x:c r="Q733" t="str">
        <x:v>Verified</x:v>
      </x:c>
      <x:c r="R733" s="142" t="n">
        <x:v>46249</x:v>
      </x:c>
      <x:c r="S733" t="str">
        <x:v>Added in the latest gap audit from an official institution or original creator; public YouTube metadata verified; short demos excluded.</x:v>
      </x:c>
      <x:c r="T733" t="str">
        <x:v>Q7V13XriJEc</x:v>
      </x:c>
      <x:c r="U733" t="str">
        <x:v>Stanford CS221: Artificial Intelligence — Autumn 2025</x:v>
      </x:c>
      <x:c r="V733" s="148" t="n">
        <x:v>15</x:v>
      </x:c>
      <x:c r="W733" t="str">
        <x:v>stanford-cs221-autumn-2025</x:v>
      </x:c>
    </x:row>
    <x:row r="734">
      <x:c r="A734" t="str">
        <x:v>ST-734</x:v>
      </x:c>
      <x:c r="B734" t="str">
        <x:v>Course</x:v>
      </x:c>
      <x:c r="C734" t="str">
        <x:v>Other</x:v>
      </x:c>
      <x:c r="D734" t="str">
        <x:v>Artificial Intelligence Foundations</x:v>
      </x:c>
      <x:c r="E734" t="str">
        <x:v>Artificial Intelligence; Search; Logic; Probabilistic Models; Machine Learning</x:v>
      </x:c>
      <x:c r="F734" t="str">
        <x:v>English</x:v>
      </x:c>
      <x:c r="G734" t="str">
        <x:v>Stanford CS221 | Autumn 2025 | Lecture 16: Logic II</x:v>
      </x:c>
      <x:c r="H734" t="str">
        <x:v>Stanford CS221 course team</x:v>
      </x:c>
      <x:c r="I734" t="str">
        <x:v>Stanford Online</x:v>
      </x:c>
      <x:c r="J734" t="str">
        <x:v>Course Lecture</x:v>
      </x:c>
      <x:c r="K734" s="148" t="n">
        <x:v>76</x:v>
      </x:c>
      <x:c r="L734" t="str">
        <x:v>https://www.youtube.com/watch?v=x9Mbqu06OVo</x:v>
      </x:c>
      <x:c r="M734" t="str">
        <x:v>YouTube</x:v>
      </x:c>
      <x:c r="N734" s="150" t="n">
        <x:v>1534</x:v>
      </x:c>
      <x:c r="O734" t="str">
        <x:v>A | Official / Original Creator / Organizer</x:v>
      </x:c>
      <x:c r="P734" t="str">
        <x:v>Core</x:v>
      </x:c>
      <x:c r="Q734" t="str">
        <x:v>Verified</x:v>
      </x:c>
      <x:c r="R734" s="142" t="n">
        <x:v>46249</x:v>
      </x:c>
      <x:c r="S734" t="str">
        <x:v>Added in the latest gap audit from an official institution or original creator; public YouTube metadata verified; short demos excluded.</x:v>
      </x:c>
      <x:c r="T734" t="str">
        <x:v>x9Mbqu06OVo</x:v>
      </x:c>
      <x:c r="U734" t="str">
        <x:v>Stanford CS221: Artificial Intelligence — Autumn 2025</x:v>
      </x:c>
      <x:c r="V734" s="148" t="n">
        <x:v>16</x:v>
      </x:c>
      <x:c r="W734" t="str">
        <x:v>stanford-cs221-autumn-2025</x:v>
      </x:c>
    </x:row>
    <x:row r="735">
      <x:c r="A735" t="str">
        <x:v>ST-735</x:v>
      </x:c>
      <x:c r="B735" t="str">
        <x:v>Course</x:v>
      </x:c>
      <x:c r="C735" t="str">
        <x:v>Other</x:v>
      </x:c>
      <x:c r="D735" t="str">
        <x:v>Artificial Intelligence Foundations</x:v>
      </x:c>
      <x:c r="E735" t="str">
        <x:v>Artificial Intelligence; Search; Logic; Probabilistic Models; Machine Learning</x:v>
      </x:c>
      <x:c r="F735" t="str">
        <x:v>English</x:v>
      </x:c>
      <x:c r="G735" t="str">
        <x:v>Stanford CS221 | Autumn 2025 | Lecture 17: Language Models</x:v>
      </x:c>
      <x:c r="H735" t="str">
        <x:v>Stanford CS221 course team</x:v>
      </x:c>
      <x:c r="I735" t="str">
        <x:v>Stanford Online</x:v>
      </x:c>
      <x:c r="J735" t="str">
        <x:v>Course Lecture</x:v>
      </x:c>
      <x:c r="K735" s="148" t="n">
        <x:v>80</x:v>
      </x:c>
      <x:c r="L735" t="str">
        <x:v>https://www.youtube.com/watch?v=3orP3u2-jcg</x:v>
      </x:c>
      <x:c r="M735" t="str">
        <x:v>YouTube</x:v>
      </x:c>
      <x:c r="N735" s="150" t="n">
        <x:v>4930</x:v>
      </x:c>
      <x:c r="O735" t="str">
        <x:v>A | Official / Original Creator / Organizer</x:v>
      </x:c>
      <x:c r="P735" t="str">
        <x:v>Core</x:v>
      </x:c>
      <x:c r="Q735" t="str">
        <x:v>Verified</x:v>
      </x:c>
      <x:c r="R735" s="142" t="n">
        <x:v>46249</x:v>
      </x:c>
      <x:c r="S735" t="str">
        <x:v>Added in the latest gap audit from an official institution or original creator; public YouTube metadata verified; short demos excluded.</x:v>
      </x:c>
      <x:c r="T735" t="str">
        <x:v>3orP3u2-jcg</x:v>
      </x:c>
      <x:c r="U735" t="str">
        <x:v>Stanford CS221: Artificial Intelligence — Autumn 2025</x:v>
      </x:c>
      <x:c r="V735" s="148" t="n">
        <x:v>17</x:v>
      </x:c>
      <x:c r="W735" t="str">
        <x:v>stanford-cs221-autumn-2025</x:v>
      </x:c>
    </x:row>
    <x:row r="736">
      <x:c r="A736" t="str">
        <x:v>ST-736</x:v>
      </x:c>
      <x:c r="B736" t="str">
        <x:v>Course</x:v>
      </x:c>
      <x:c r="C736" t="str">
        <x:v>Other</x:v>
      </x:c>
      <x:c r="D736" t="str">
        <x:v>Artificial Intelligence Foundations</x:v>
      </x:c>
      <x:c r="E736" t="str">
        <x:v>Artificial Intelligence; Search; Logic; Probabilistic Models; Machine Learning</x:v>
      </x:c>
      <x:c r="F736" t="str">
        <x:v>English</x:v>
      </x:c>
      <x:c r="G736" t="str">
        <x:v>Stanford CS221 | Autumn 2025 | Lecture 18: AI &amp; Society</x:v>
      </x:c>
      <x:c r="H736" t="str">
        <x:v>Stanford CS221 course team</x:v>
      </x:c>
      <x:c r="I736" t="str">
        <x:v>Stanford Online</x:v>
      </x:c>
      <x:c r="J736" t="str">
        <x:v>Course Lecture</x:v>
      </x:c>
      <x:c r="K736" s="148" t="n">
        <x:v>72</x:v>
      </x:c>
      <x:c r="L736" t="str">
        <x:v>https://www.youtube.com/watch?v=071zJXhvNfM</x:v>
      </x:c>
      <x:c r="M736" t="str">
        <x:v>YouTube</x:v>
      </x:c>
      <x:c r="N736" s="150" t="n">
        <x:v>2465</x:v>
      </x:c>
      <x:c r="O736" t="str">
        <x:v>A | Official / Original Creator / Organizer</x:v>
      </x:c>
      <x:c r="P736" t="str">
        <x:v>Core</x:v>
      </x:c>
      <x:c r="Q736" t="str">
        <x:v>Verified</x:v>
      </x:c>
      <x:c r="R736" s="142" t="n">
        <x:v>46249</x:v>
      </x:c>
      <x:c r="S736" t="str">
        <x:v>Added in the latest gap audit from an official institution or original creator; public YouTube metadata verified; short demos excluded.</x:v>
      </x:c>
      <x:c r="T736" t="str">
        <x:v>071zJXhvNfM</x:v>
      </x:c>
      <x:c r="U736" t="str">
        <x:v>Stanford CS221: Artificial Intelligence — Autumn 2025</x:v>
      </x:c>
      <x:c r="V736" s="148" t="n">
        <x:v>18</x:v>
      </x:c>
      <x:c r="W736" t="str">
        <x:v>stanford-cs221-autumn-2025</x:v>
      </x:c>
    </x:row>
    <x:row r="737">
      <x:c r="A737" t="str">
        <x:v>ST-737</x:v>
      </x:c>
      <x:c r="B737" t="str">
        <x:v>Course</x:v>
      </x:c>
      <x:c r="C737" t="str">
        <x:v>Other</x:v>
      </x:c>
      <x:c r="D737" t="str">
        <x:v>Artificial Intelligence Foundations</x:v>
      </x:c>
      <x:c r="E737" t="str">
        <x:v>Artificial Intelligence; Search; Logic; Probabilistic Models; Machine Learning</x:v>
      </x:c>
      <x:c r="F737" t="str">
        <x:v>English</x:v>
      </x:c>
      <x:c r="G737" t="str">
        <x:v>Stanford CS221 | Autumn 2025 | Lecture 19: AI Supply Chains</x:v>
      </x:c>
      <x:c r="H737" t="str">
        <x:v>Stanford CS221 course team</x:v>
      </x:c>
      <x:c r="I737" t="str">
        <x:v>Stanford Online</x:v>
      </x:c>
      <x:c r="J737" t="str">
        <x:v>Course Lecture</x:v>
      </x:c>
      <x:c r="K737" s="148" t="n">
        <x:v>75</x:v>
      </x:c>
      <x:c r="L737" t="str">
        <x:v>https://www.youtube.com/watch?v=lPx5PF1ttkc</x:v>
      </x:c>
      <x:c r="M737" t="str">
        <x:v>YouTube</x:v>
      </x:c>
      <x:c r="N737" s="150" t="n">
        <x:v>7111</x:v>
      </x:c>
      <x:c r="O737" t="str">
        <x:v>A | Official / Original Creator / Organizer</x:v>
      </x:c>
      <x:c r="P737" t="str">
        <x:v>Core</x:v>
      </x:c>
      <x:c r="Q737" t="str">
        <x:v>Verified</x:v>
      </x:c>
      <x:c r="R737" s="142" t="n">
        <x:v>46249</x:v>
      </x:c>
      <x:c r="S737" t="str">
        <x:v>Added in the latest gap audit from an official institution or original creator; public YouTube metadata verified; short demos excluded.</x:v>
      </x:c>
      <x:c r="T737" t="str">
        <x:v>lPx5PF1ttkc</x:v>
      </x:c>
      <x:c r="U737" t="str">
        <x:v>Stanford CS221: Artificial Intelligence — Autumn 2025</x:v>
      </x:c>
      <x:c r="V737" s="148" t="n">
        <x:v>19</x:v>
      </x:c>
      <x:c r="W737" t="str">
        <x:v>stanford-cs221-autumn-2025</x:v>
      </x:c>
    </x:row>
    <x:row r="738">
      <x:c r="A738" t="str">
        <x:v>ST-738</x:v>
      </x:c>
      <x:c r="B738" t="str">
        <x:v>Course</x:v>
      </x:c>
      <x:c r="C738" t="str">
        <x:v>Other</x:v>
      </x:c>
      <x:c r="D738" t="str">
        <x:v>Artificial Intelligence Foundations</x:v>
      </x:c>
      <x:c r="E738" t="str">
        <x:v>Artificial Intelligence; Search; Logic; Probabilistic Models; Machine Learning</x:v>
      </x:c>
      <x:c r="F738" t="str">
        <x:v>English</x:v>
      </x:c>
      <x:c r="G738" t="str">
        <x:v>Stanford CS221 | Autumn 2025 | Lecture 20: Fireside Chat, Conclusion</x:v>
      </x:c>
      <x:c r="H738" t="str">
        <x:v>Stanford CS221 course team</x:v>
      </x:c>
      <x:c r="I738" t="str">
        <x:v>Stanford Online</x:v>
      </x:c>
      <x:c r="J738" t="str">
        <x:v>Course Lecture</x:v>
      </x:c>
      <x:c r="K738" s="148" t="n">
        <x:v>59</x:v>
      </x:c>
      <x:c r="L738" t="str">
        <x:v>https://www.youtube.com/watch?v=5u5I5jvWR5k</x:v>
      </x:c>
      <x:c r="M738" t="str">
        <x:v>YouTube</x:v>
      </x:c>
      <x:c r="N738" s="150" t="n">
        <x:v>10182</x:v>
      </x:c>
      <x:c r="O738" t="str">
        <x:v>A | Official / Original Creator / Organizer</x:v>
      </x:c>
      <x:c r="P738" t="str">
        <x:v>Core</x:v>
      </x:c>
      <x:c r="Q738" t="str">
        <x:v>Verified</x:v>
      </x:c>
      <x:c r="R738" s="142" t="n">
        <x:v>46249</x:v>
      </x:c>
      <x:c r="S738" t="str">
        <x:v>Added in the latest gap audit from an official institution or original creator; public YouTube metadata verified; short demos excluded.</x:v>
      </x:c>
      <x:c r="T738" t="str">
        <x:v>5u5I5jvWR5k</x:v>
      </x:c>
      <x:c r="U738" t="str">
        <x:v>Stanford CS221: Artificial Intelligence — Autumn 2025</x:v>
      </x:c>
      <x:c r="V738" s="148" t="n">
        <x:v>20</x:v>
      </x:c>
      <x:c r="W738" t="str">
        <x:v>stanford-cs221-autumn-2025</x:v>
      </x:c>
    </x:row>
    <x:row r="739">
      <x:c r="A739" t="str">
        <x:v>ST-739</x:v>
      </x:c>
      <x:c r="B739" t="str">
        <x:v>Course</x:v>
      </x:c>
      <x:c r="C739" t="str">
        <x:v>Other</x:v>
      </x:c>
      <x:c r="D739" t="str">
        <x:v>Transformers / Large Models</x:v>
      </x:c>
      <x:c r="E739" t="str">
        <x:v>Transformers; State Space Models; Scaling; Generalization; Inference Systems</x:v>
      </x:c>
      <x:c r="F739" t="str">
        <x:v>English</x:v>
      </x:c>
      <x:c r="G739" t="str">
        <x:v>Stanford CS25: Transformers United V6 I On the Tradeoffs of State Space Models and Transformers</x:v>
      </x:c>
      <x:c r="H739" t="str">
        <x:v>Stanford CS25 guest speakers</x:v>
      </x:c>
      <x:c r="I739" t="str">
        <x:v>Stanford Online</x:v>
      </x:c>
      <x:c r="J739" t="str">
        <x:v>Course Lecture</x:v>
      </x:c>
      <x:c r="K739" s="148" t="n">
        <x:v>77</x:v>
      </x:c>
      <x:c r="L739" t="str">
        <x:v>https://www.youtube.com/watch?v=OyimE74UMF8</x:v>
      </x:c>
      <x:c r="M739" t="str">
        <x:v>YouTube</x:v>
      </x:c>
      <x:c r="N739" s="150" t="n">
        <x:v>5889</x:v>
      </x:c>
      <x:c r="O739" t="str">
        <x:v>A | Official / Original Creator / Organizer</x:v>
      </x:c>
      <x:c r="P739" t="str">
        <x:v>Core</x:v>
      </x:c>
      <x:c r="Q739" t="str">
        <x:v>Verified</x:v>
      </x:c>
      <x:c r="R739" s="142" t="n">
        <x:v>46249</x:v>
      </x:c>
      <x:c r="S739" t="str">
        <x:v>Added in the latest gap audit from an official institution or original creator; public YouTube metadata verified; short demos excluded.</x:v>
      </x:c>
      <x:c r="T739" t="str">
        <x:v>OyimE74UMF8</x:v>
      </x:c>
      <x:c r="U739" t="str">
        <x:v>Stanford CS25: Transformers United</x:v>
      </x:c>
      <x:c r="V739" s="148" t="n">
        <x:v>600</x:v>
      </x:c>
      <x:c r="W739" t="str">
        <x:v>stanford-cs25-transformers-united</x:v>
      </x:c>
    </x:row>
    <x:row r="740">
      <x:c r="A740" t="str">
        <x:v>ST-740</x:v>
      </x:c>
      <x:c r="B740" t="str">
        <x:v>Course</x:v>
      </x:c>
      <x:c r="C740" t="str">
        <x:v>Other</x:v>
      </x:c>
      <x:c r="D740" t="str">
        <x:v>Transformers / Large Models</x:v>
      </x:c>
      <x:c r="E740" t="str">
        <x:v>Transformers; State Space Models; Scaling; Generalization; Inference Systems</x:v>
      </x:c>
      <x:c r="F740" t="str">
        <x:v>English</x:v>
      </x:c>
      <x:c r="G740" t="str">
        <x:v>Stanford CS25: Transformers United V6 I The Ultra-Scale Talk: Scaling Training to Thousands of GPUs</x:v>
      </x:c>
      <x:c r="H740" t="str">
        <x:v>Stanford CS25 guest speakers</x:v>
      </x:c>
      <x:c r="I740" t="str">
        <x:v>Stanford Online</x:v>
      </x:c>
      <x:c r="J740" t="str">
        <x:v>Course Lecture</x:v>
      </x:c>
      <x:c r="K740" s="148" t="n">
        <x:v>62</x:v>
      </x:c>
      <x:c r="L740" t="str">
        <x:v>https://www.youtube.com/watch?v=I5BKi32IEa8</x:v>
      </x:c>
      <x:c r="M740" t="str">
        <x:v>YouTube</x:v>
      </x:c>
      <x:c r="N740" s="150" t="n">
        <x:v>1882</x:v>
      </x:c>
      <x:c r="O740" t="str">
        <x:v>A | Official / Original Creator / Organizer</x:v>
      </x:c>
      <x:c r="P740" t="str">
        <x:v>Core</x:v>
      </x:c>
      <x:c r="Q740" t="str">
        <x:v>Verified</x:v>
      </x:c>
      <x:c r="R740" s="142" t="n">
        <x:v>46249</x:v>
      </x:c>
      <x:c r="S740" t="str">
        <x:v>Added in the latest gap audit from an official institution or original creator; public YouTube metadata verified; short demos excluded.</x:v>
      </x:c>
      <x:c r="T740" t="str">
        <x:v>I5BKi32IEa8</x:v>
      </x:c>
      <x:c r="U740" t="str">
        <x:v>Stanford CS25: Transformers United</x:v>
      </x:c>
      <x:c r="V740" s="148" t="n">
        <x:v>600</x:v>
      </x:c>
      <x:c r="W740" t="str">
        <x:v>stanford-cs25-transformers-united</x:v>
      </x:c>
    </x:row>
    <x:row r="741">
      <x:c r="A741" t="str">
        <x:v>ST-741</x:v>
      </x:c>
      <x:c r="B741" t="str">
        <x:v>Course</x:v>
      </x:c>
      <x:c r="C741" t="str">
        <x:v>Other</x:v>
      </x:c>
      <x:c r="D741" t="str">
        <x:v>Transformers / Large Models</x:v>
      </x:c>
      <x:c r="E741" t="str">
        <x:v>Transformers; State Space Models; Scaling; Generalization; Inference Systems</x:v>
      </x:c>
      <x:c r="F741" t="str">
        <x:v>English</x:v>
      </x:c>
      <x:c r="G741" t="str">
        <x:v>Stanford CS25: Transformers United V6 I From Next-Token Prediction to Next-Generation Intelligence</x:v>
      </x:c>
      <x:c r="H741" t="str">
        <x:v>Stanford CS25 guest speakers</x:v>
      </x:c>
      <x:c r="I741" t="str">
        <x:v>Stanford Online</x:v>
      </x:c>
      <x:c r="J741" t="str">
        <x:v>Course Lecture</x:v>
      </x:c>
      <x:c r="K741" s="148" t="n">
        <x:v>58</x:v>
      </x:c>
      <x:c r="L741" t="str">
        <x:v>https://www.youtube.com/watch?v=e_H_tkpCAK4</x:v>
      </x:c>
      <x:c r="M741" t="str">
        <x:v>YouTube</x:v>
      </x:c>
      <x:c r="N741" s="150" t="n">
        <x:v>14255</x:v>
      </x:c>
      <x:c r="O741" t="str">
        <x:v>A | Official / Original Creator / Organizer</x:v>
      </x:c>
      <x:c r="P741" t="str">
        <x:v>Core</x:v>
      </x:c>
      <x:c r="Q741" t="str">
        <x:v>Verified</x:v>
      </x:c>
      <x:c r="R741" s="142" t="n">
        <x:v>46249</x:v>
      </x:c>
      <x:c r="S741" t="str">
        <x:v>Added in the latest gap audit from an official institution or original creator; public YouTube metadata verified; short demos excluded.</x:v>
      </x:c>
      <x:c r="T741" t="str">
        <x:v>e_H_tkpCAK4</x:v>
      </x:c>
      <x:c r="U741" t="str">
        <x:v>Stanford CS25: Transformers United</x:v>
      </x:c>
      <x:c r="V741" s="148" t="n">
        <x:v>600</x:v>
      </x:c>
      <x:c r="W741" t="str">
        <x:v>stanford-cs25-transformers-united</x:v>
      </x:c>
    </x:row>
    <x:row r="742">
      <x:c r="A742" t="str">
        <x:v>ST-742</x:v>
      </x:c>
      <x:c r="B742" t="str">
        <x:v>Course</x:v>
      </x:c>
      <x:c r="C742" t="str">
        <x:v>Other</x:v>
      </x:c>
      <x:c r="D742" t="str">
        <x:v>Transformers / Large Models</x:v>
      </x:c>
      <x:c r="E742" t="str">
        <x:v>Transformers; State Space Models; Scaling; Generalization; Inference Systems</x:v>
      </x:c>
      <x:c r="F742" t="str">
        <x:v>English</x:v>
      </x:c>
      <x:c r="G742" t="str">
        <x:v>Stanford CS25: Transformers United V6 I Distinct Modes of Generalization from Parameters and Context</x:v>
      </x:c>
      <x:c r="H742" t="str">
        <x:v>Stanford CS25 guest speakers</x:v>
      </x:c>
      <x:c r="I742" t="str">
        <x:v>Stanford Online</x:v>
      </x:c>
      <x:c r="J742" t="str">
        <x:v>Course Lecture</x:v>
      </x:c>
      <x:c r="K742" s="148" t="n">
        <x:v>73</x:v>
      </x:c>
      <x:c r="L742" t="str">
        <x:v>https://www.youtube.com/watch?v=dJtHauhRasc</x:v>
      </x:c>
      <x:c r="M742" t="str">
        <x:v>YouTube</x:v>
      </x:c>
      <x:c r="N742" s="150" t="n">
        <x:v>3726</x:v>
      </x:c>
      <x:c r="O742" t="str">
        <x:v>A | Official / Original Creator / Organizer</x:v>
      </x:c>
      <x:c r="P742" t="str">
        <x:v>Core</x:v>
      </x:c>
      <x:c r="Q742" t="str">
        <x:v>Verified</x:v>
      </x:c>
      <x:c r="R742" s="142" t="n">
        <x:v>46249</x:v>
      </x:c>
      <x:c r="S742" t="str">
        <x:v>Added in the latest gap audit from an official institution or original creator; public YouTube metadata verified; short demos excluded.</x:v>
      </x:c>
      <x:c r="T742" t="str">
        <x:v>dJtHauhRasc</x:v>
      </x:c>
      <x:c r="U742" t="str">
        <x:v>Stanford CS25: Transformers United</x:v>
      </x:c>
      <x:c r="V742" s="148" t="n">
        <x:v>600</x:v>
      </x:c>
      <x:c r="W742" t="str">
        <x:v>stanford-cs25-transformers-united</x:v>
      </x:c>
    </x:row>
    <x:row r="743">
      <x:c r="A743" t="str">
        <x:v>ST-743</x:v>
      </x:c>
      <x:c r="B743" t="str">
        <x:v>Course</x:v>
      </x:c>
      <x:c r="C743" t="str">
        <x:v>Agent</x:v>
      </x:c>
      <x:c r="D743" t="str">
        <x:v>Agents / Tool Use / Reasoning</x:v>
      </x:c>
      <x:c r="E743" t="str">
        <x:v>Collaborative AI Agents; Science; Medicine; Multi-Agent Systems</x:v>
      </x:c>
      <x:c r="F743" t="str">
        <x:v>English</x:v>
      </x:c>
      <x:c r="G743" t="str">
        <x:v>Stanford CS25: Transformers United V6 I Advancing Science and Medicine with Collaborative AI Agents</x:v>
      </x:c>
      <x:c r="H743" t="str">
        <x:v>Stanford CS25 guest speakers</x:v>
      </x:c>
      <x:c r="I743" t="str">
        <x:v>Stanford Online</x:v>
      </x:c>
      <x:c r="J743" t="str">
        <x:v>Course Lecture</x:v>
      </x:c>
      <x:c r="K743" s="148" t="n">
        <x:v>67</x:v>
      </x:c>
      <x:c r="L743" t="str">
        <x:v>https://www.youtube.com/watch?v=jFdH7n6BAl0</x:v>
      </x:c>
      <x:c r="M743" t="str">
        <x:v>YouTube</x:v>
      </x:c>
      <x:c r="N743" s="150" t="n">
        <x:v>3386</x:v>
      </x:c>
      <x:c r="O743" t="str">
        <x:v>A | Official / Original Creator / Organizer</x:v>
      </x:c>
      <x:c r="P743" t="str">
        <x:v>Core</x:v>
      </x:c>
      <x:c r="Q743" t="str">
        <x:v>Verified</x:v>
      </x:c>
      <x:c r="R743" s="142" t="n">
        <x:v>46249</x:v>
      </x:c>
      <x:c r="S743" t="str">
        <x:v>Added in the latest gap audit from an official institution or original creator; public YouTube metadata verified; short demos excluded.</x:v>
      </x:c>
      <x:c r="T743" t="str">
        <x:v>jFdH7n6BAl0</x:v>
      </x:c>
      <x:c r="U743" t="str">
        <x:v>Stanford CS25: Transformers United</x:v>
      </x:c>
      <x:c r="V743" s="148" t="n">
        <x:v>600</x:v>
      </x:c>
      <x:c r="W743" t="str">
        <x:v>stanford-cs25-transformers-united</x:v>
      </x:c>
    </x:row>
    <x:row r="744">
      <x:c r="A744" t="str">
        <x:v>ST-744</x:v>
      </x:c>
      <x:c r="B744" t="str">
        <x:v>Course</x:v>
      </x:c>
      <x:c r="C744" t="str">
        <x:v>Other</x:v>
      </x:c>
      <x:c r="D744" t="str">
        <x:v>Transformers / Large Models</x:v>
      </x:c>
      <x:c r="E744" t="str">
        <x:v>Transformers; State Space Models; Scaling; Generalization; Inference Systems</x:v>
      </x:c>
      <x:c r="F744" t="str">
        <x:v>English</x:v>
      </x:c>
      <x:c r="G744" t="str">
        <x:v>Stanford CS25: Transformers United V6 I Serving Transformers: Lessons from the Trenches</x:v>
      </x:c>
      <x:c r="H744" t="str">
        <x:v>Stanford CS25 guest speakers</x:v>
      </x:c>
      <x:c r="I744" t="str">
        <x:v>Stanford Online</x:v>
      </x:c>
      <x:c r="J744" t="str">
        <x:v>Course Lecture</x:v>
      </x:c>
      <x:c r="K744" s="148" t="n">
        <x:v>83</x:v>
      </x:c>
      <x:c r="L744" t="str">
        <x:v>https://www.youtube.com/watch?v=ZUdIsRZhWXI</x:v>
      </x:c>
      <x:c r="M744" t="str">
        <x:v>YouTube</x:v>
      </x:c>
      <x:c r="N744" s="150" t="n">
        <x:v>6716</x:v>
      </x:c>
      <x:c r="O744" t="str">
        <x:v>A | Official / Original Creator / Organizer</x:v>
      </x:c>
      <x:c r="P744" t="str">
        <x:v>Core</x:v>
      </x:c>
      <x:c r="Q744" t="str">
        <x:v>Verified</x:v>
      </x:c>
      <x:c r="R744" s="142" t="n">
        <x:v>46249</x:v>
      </x:c>
      <x:c r="S744" t="str">
        <x:v>Added in the latest gap audit from an official institution or original creator; public YouTube metadata verified; short demos excluded.</x:v>
      </x:c>
      <x:c r="T744" t="str">
        <x:v>ZUdIsRZhWXI</x:v>
      </x:c>
      <x:c r="U744" t="str">
        <x:v>Stanford CS25: Transformers United</x:v>
      </x:c>
      <x:c r="V744" s="148" t="n">
        <x:v>600</x:v>
      </x:c>
      <x:c r="W744" t="str">
        <x:v>stanford-cs25-transformers-united</x:v>
      </x:c>
    </x:row>
    <x:row r="745">
      <x:c r="A745" t="str">
        <x:v>ST-745</x:v>
      </x:c>
      <x:c r="B745" t="str">
        <x:v>Course</x:v>
      </x:c>
      <x:c r="C745" t="str">
        <x:v>Agent</x:v>
      </x:c>
      <x:c r="D745" t="str">
        <x:v>Agents / Tool Use / Reasoning</x:v>
      </x:c>
      <x:c r="E745" t="str">
        <x:v>Post-Training; RLHF; Preference Optimization; Reasoning; Tool Use; Agents</x:v>
      </x:c>
      <x:c r="F745" t="str">
        <x:v>English</x:v>
      </x:c>
      <x:c r="G745" t="str">
        <x:v>ML Foundations (prerequisites) for Post-Training | Post-Training Course, Lecture 0</x:v>
      </x:c>
      <x:c r="H745" t="str">
        <x:v>Nathan Lambert</x:v>
      </x:c>
      <x:c r="I745" t="str">
        <x:v>Nathan Lambert</x:v>
      </x:c>
      <x:c r="J745" t="str">
        <x:v>Course Lecture</x:v>
      </x:c>
      <x:c r="K745" s="148" t="n">
        <x:v>24</x:v>
      </x:c>
      <x:c r="L745" t="str">
        <x:v>https://www.youtube.com/watch?v=MMDNaeIFVy8</x:v>
      </x:c>
      <x:c r="M745" t="str">
        <x:v>YouTube</x:v>
      </x:c>
      <x:c r="N745" s="150" t="n">
        <x:v>10989</x:v>
      </x:c>
      <x:c r="O745" t="str">
        <x:v>A | Official / Original Creator / Organizer</x:v>
      </x:c>
      <x:c r="P745" t="str">
        <x:v>Core</x:v>
      </x:c>
      <x:c r="Q745" t="str">
        <x:v>Verified</x:v>
      </x:c>
      <x:c r="R745" s="142" t="n">
        <x:v>46249</x:v>
      </x:c>
      <x:c r="S745" t="str">
        <x:v>Added in the latest gap audit from an official institution or original creator; public YouTube metadata verified; short demos excluded.</x:v>
      </x:c>
      <x:c r="T745" t="str">
        <x:v>MMDNaeIFVy8</x:v>
      </x:c>
      <x:c r="U745" t="str">
        <x:v>Post-Training Course for The RLHF Book — 2026</x:v>
      </x:c>
      <x:c r="V745" s="148" t="n">
        <x:v>0</x:v>
      </x:c>
      <x:c r="W745" t="str">
        <x:v>nathan-lambert-post-training-course-2026</x:v>
      </x:c>
    </x:row>
    <x:row r="746">
      <x:c r="A746" t="str">
        <x:v>ST-746</x:v>
      </x:c>
      <x:c r="B746" t="str">
        <x:v>Course</x:v>
      </x:c>
      <x:c r="C746" t="str">
        <x:v>Agent</x:v>
      </x:c>
      <x:c r="D746" t="str">
        <x:v>Agents / Tool Use / Reasoning</x:v>
      </x:c>
      <x:c r="E746" t="str">
        <x:v>Post-Training; RLHF; Preference Optimization; Reasoning; Tool Use; Agents</x:v>
      </x:c>
      <x:c r="F746" t="str">
        <x:v>English</x:v>
      </x:c>
      <x:c r="G746" t="str">
        <x:v>Post-Training and RLHF Overview | Post-Training Book Course, Lecture 1</x:v>
      </x:c>
      <x:c r="H746" t="str">
        <x:v>Nathan Lambert</x:v>
      </x:c>
      <x:c r="I746" t="str">
        <x:v>Nathan Lambert</x:v>
      </x:c>
      <x:c r="J746" t="str">
        <x:v>Course Lecture</x:v>
      </x:c>
      <x:c r="K746" s="148" t="n">
        <x:v>46</x:v>
      </x:c>
      <x:c r="L746" t="str">
        <x:v>https://www.youtube.com/watch?v=o6l6tJQgUg4</x:v>
      </x:c>
      <x:c r="M746" t="str">
        <x:v>YouTube</x:v>
      </x:c>
      <x:c r="N746" s="150" t="n">
        <x:v>17534</x:v>
      </x:c>
      <x:c r="O746" t="str">
        <x:v>A | Official / Original Creator / Organizer</x:v>
      </x:c>
      <x:c r="P746" t="str">
        <x:v>Core</x:v>
      </x:c>
      <x:c r="Q746" t="str">
        <x:v>Verified</x:v>
      </x:c>
      <x:c r="R746" s="142" t="n">
        <x:v>46249</x:v>
      </x:c>
      <x:c r="S746" t="str">
        <x:v>Added in the latest gap audit from an official institution or original creator; public YouTube metadata verified; short demos excluded.</x:v>
      </x:c>
      <x:c r="T746" t="str">
        <x:v>o6l6tJQgUg4</x:v>
      </x:c>
      <x:c r="U746" t="str">
        <x:v>Post-Training Course for The RLHF Book — 2026</x:v>
      </x:c>
      <x:c r="V746" s="148" t="n">
        <x:v>1</x:v>
      </x:c>
      <x:c r="W746" t="str">
        <x:v>nathan-lambert-post-training-course-2026</x:v>
      </x:c>
    </x:row>
    <x:row r="747">
      <x:c r="A747" t="str">
        <x:v>ST-747</x:v>
      </x:c>
      <x:c r="B747" t="str">
        <x:v>Course</x:v>
      </x:c>
      <x:c r="C747" t="str">
        <x:v>Agent</x:v>
      </x:c>
      <x:c r="D747" t="str">
        <x:v>Agents / Tool Use / Reasoning</x:v>
      </x:c>
      <x:c r="E747" t="str">
        <x:v>Post-Training; RLHF; Preference Optimization; Reasoning; Tool Use; Agents</x:v>
      </x:c>
      <x:c r="F747" t="str">
        <x:v>English</x:v>
      </x:c>
      <x:c r="G747" t="str">
        <x:v>RLHF Foundations, IFT, Reward Modeling, Rejection Sampling | Post-Training Course Lecture 2</x:v>
      </x:c>
      <x:c r="H747" t="str">
        <x:v>Nathan Lambert</x:v>
      </x:c>
      <x:c r="I747" t="str">
        <x:v>Nathan Lambert</x:v>
      </x:c>
      <x:c r="J747" t="str">
        <x:v>Course Lecture</x:v>
      </x:c>
      <x:c r="K747" s="148" t="n">
        <x:v>50</x:v>
      </x:c>
      <x:c r="L747" t="str">
        <x:v>https://www.youtube.com/watch?v=4gIwiSPmQkU</x:v>
      </x:c>
      <x:c r="M747" t="str">
        <x:v>YouTube</x:v>
      </x:c>
      <x:c r="N747" s="150" t="n">
        <x:v>7138</x:v>
      </x:c>
      <x:c r="O747" t="str">
        <x:v>A | Official / Original Creator / Organizer</x:v>
      </x:c>
      <x:c r="P747" t="str">
        <x:v>Core</x:v>
      </x:c>
      <x:c r="Q747" t="str">
        <x:v>Verified</x:v>
      </x:c>
      <x:c r="R747" s="142" t="n">
        <x:v>46249</x:v>
      </x:c>
      <x:c r="S747" t="str">
        <x:v>Added in the latest gap audit from an official institution or original creator; public YouTube metadata verified; short demos excluded.</x:v>
      </x:c>
      <x:c r="T747" t="str">
        <x:v>4gIwiSPmQkU</x:v>
      </x:c>
      <x:c r="U747" t="str">
        <x:v>Post-Training Course for The RLHF Book — 2026</x:v>
      </x:c>
      <x:c r="V747" s="148" t="n">
        <x:v>2</x:v>
      </x:c>
      <x:c r="W747" t="str">
        <x:v>nathan-lambert-post-training-course-2026</x:v>
      </x:c>
    </x:row>
    <x:row r="748">
      <x:c r="A748" t="str">
        <x:v>ST-748</x:v>
      </x:c>
      <x:c r="B748" t="str">
        <x:v>Course</x:v>
      </x:c>
      <x:c r="C748" t="str">
        <x:v>Agent</x:v>
      </x:c>
      <x:c r="D748" t="str">
        <x:v>Agents / Tool Use / Reasoning</x:v>
      </x:c>
      <x:c r="E748" t="str">
        <x:v>Post-Training; RLHF; Preference Optimization; Reasoning; Tool Use; Agents</x:v>
      </x:c>
      <x:c r="F748" t="str">
        <x:v>English</x:v>
      </x:c>
      <x:c r="G748" t="str">
        <x:v>Understanding Policy Gradient Algorithms for RL on LLMs | Post-Training Course Lecture 3</x:v>
      </x:c>
      <x:c r="H748" t="str">
        <x:v>Nathan Lambert</x:v>
      </x:c>
      <x:c r="I748" t="str">
        <x:v>Nathan Lambert</x:v>
      </x:c>
      <x:c r="J748" t="str">
        <x:v>Course Lecture</x:v>
      </x:c>
      <x:c r="K748" s="148" t="n">
        <x:v>58</x:v>
      </x:c>
      <x:c r="L748" t="str">
        <x:v>https://www.youtube.com/watch?v=K_Sj_-1BUMM</x:v>
      </x:c>
      <x:c r="M748" t="str">
        <x:v>YouTube</x:v>
      </x:c>
      <x:c r="N748" s="150" t="n">
        <x:v>5893</x:v>
      </x:c>
      <x:c r="O748" t="str">
        <x:v>A | Official / Original Creator / Organizer</x:v>
      </x:c>
      <x:c r="P748" t="str">
        <x:v>Core</x:v>
      </x:c>
      <x:c r="Q748" t="str">
        <x:v>Verified</x:v>
      </x:c>
      <x:c r="R748" s="142" t="n">
        <x:v>46249</x:v>
      </x:c>
      <x:c r="S748" t="str">
        <x:v>Added in the latest gap audit from an official institution or original creator; public YouTube metadata verified; short demos excluded.</x:v>
      </x:c>
      <x:c r="T748" t="str">
        <x:v>K_Sj_-1BUMM</x:v>
      </x:c>
      <x:c r="U748" t="str">
        <x:v>Post-Training Course for The RLHF Book — 2026</x:v>
      </x:c>
      <x:c r="V748" s="148" t="n">
        <x:v>3</x:v>
      </x:c>
      <x:c r="W748" t="str">
        <x:v>nathan-lambert-post-training-course-2026</x:v>
      </x:c>
    </x:row>
    <x:row r="749">
      <x:c r="A749" t="str">
        <x:v>ST-749</x:v>
      </x:c>
      <x:c r="B749" t="str">
        <x:v>Course</x:v>
      </x:c>
      <x:c r="C749" t="str">
        <x:v>Agent</x:v>
      </x:c>
      <x:c r="D749" t="str">
        <x:v>Agents / Tool Use / Reasoning</x:v>
      </x:c>
      <x:c r="E749" t="str">
        <x:v>Post-Training; RLHF; Preference Optimization; Reasoning; Tool Use; Agents</x:v>
      </x:c>
      <x:c r="F749" t="str">
        <x:v>English</x:v>
      </x:c>
      <x:c r="G749" t="str">
        <x:v>Implementing RL Algorithms for LLMs | Post-Training Course, Lecture 4</x:v>
      </x:c>
      <x:c r="H749" t="str">
        <x:v>Nathan Lambert</x:v>
      </x:c>
      <x:c r="I749" t="str">
        <x:v>Nathan Lambert</x:v>
      </x:c>
      <x:c r="J749" t="str">
        <x:v>Course Lecture</x:v>
      </x:c>
      <x:c r="K749" s="148" t="n">
        <x:v>54</x:v>
      </x:c>
      <x:c r="L749" t="str">
        <x:v>https://www.youtube.com/watch?v=i-AIMpZHgeg</x:v>
      </x:c>
      <x:c r="M749" t="str">
        <x:v>YouTube</x:v>
      </x:c>
      <x:c r="N749" s="150" t="n">
        <x:v>4176</x:v>
      </x:c>
      <x:c r="O749" t="str">
        <x:v>A | Official / Original Creator / Organizer</x:v>
      </x:c>
      <x:c r="P749" t="str">
        <x:v>Core</x:v>
      </x:c>
      <x:c r="Q749" t="str">
        <x:v>Verified</x:v>
      </x:c>
      <x:c r="R749" s="142" t="n">
        <x:v>46249</x:v>
      </x:c>
      <x:c r="S749" t="str">
        <x:v>Added in the latest gap audit from an official institution or original creator; public YouTube metadata verified; short demos excluded.</x:v>
      </x:c>
      <x:c r="T749" t="str">
        <x:v>i-AIMpZHgeg</x:v>
      </x:c>
      <x:c r="U749" t="str">
        <x:v>Post-Training Course for The RLHF Book — 2026</x:v>
      </x:c>
      <x:c r="V749" s="148" t="n">
        <x:v>4</x:v>
      </x:c>
      <x:c r="W749" t="str">
        <x:v>nathan-lambert-post-training-course-2026</x:v>
      </x:c>
    </x:row>
    <x:row r="750">
      <x:c r="A750" t="str">
        <x:v>ST-750</x:v>
      </x:c>
      <x:c r="B750" t="str">
        <x:v>Course</x:v>
      </x:c>
      <x:c r="C750" t="str">
        <x:v>Agent</x:v>
      </x:c>
      <x:c r="D750" t="str">
        <x:v>Agents / Tool Use / Reasoning</x:v>
      </x:c>
      <x:c r="E750" t="str">
        <x:v>Post-Training; RLHF; Preference Optimization; Reasoning; Tool Use; Agents</x:v>
      </x:c>
      <x:c r="F750" t="str">
        <x:v>English</x:v>
      </x:c>
      <x:c r="G750" t="str">
        <x:v>The Rise of Reasoning Models  | Post-Training Course Lecture 5</x:v>
      </x:c>
      <x:c r="H750" t="str">
        <x:v>Nathan Lambert</x:v>
      </x:c>
      <x:c r="I750" t="str">
        <x:v>Nathan Lambert</x:v>
      </x:c>
      <x:c r="J750" t="str">
        <x:v>Course Lecture</x:v>
      </x:c>
      <x:c r="K750" s="148" t="n">
        <x:v>45</x:v>
      </x:c>
      <x:c r="L750" t="str">
        <x:v>https://www.youtube.com/watch?v=o4AB5xHIDdM</x:v>
      </x:c>
      <x:c r="M750" t="str">
        <x:v>YouTube</x:v>
      </x:c>
      <x:c r="N750" s="150" t="n">
        <x:v>1605</x:v>
      </x:c>
      <x:c r="O750" t="str">
        <x:v>A | Official / Original Creator / Organizer</x:v>
      </x:c>
      <x:c r="P750" t="str">
        <x:v>Core</x:v>
      </x:c>
      <x:c r="Q750" t="str">
        <x:v>Verified</x:v>
      </x:c>
      <x:c r="R750" s="142" t="n">
        <x:v>46249</x:v>
      </x:c>
      <x:c r="S750" t="str">
        <x:v>Added in the latest gap audit from an official institution or original creator; public YouTube metadata verified; short demos excluded.</x:v>
      </x:c>
      <x:c r="T750" t="str">
        <x:v>o4AB5xHIDdM</x:v>
      </x:c>
      <x:c r="U750" t="str">
        <x:v>Post-Training Course for The RLHF Book — 2026</x:v>
      </x:c>
      <x:c r="V750" s="148" t="n">
        <x:v>5</x:v>
      </x:c>
      <x:c r="W750" t="str">
        <x:v>nathan-lambert-post-training-course-2026</x:v>
      </x:c>
    </x:row>
    <x:row r="751">
      <x:c r="A751" t="str">
        <x:v>ST-751</x:v>
      </x:c>
      <x:c r="B751" t="str">
        <x:v>Course</x:v>
      </x:c>
      <x:c r="C751" t="str">
        <x:v>Agent</x:v>
      </x:c>
      <x:c r="D751" t="str">
        <x:v>Agents / Tool Use / Reasoning</x:v>
      </x:c>
      <x:c r="E751" t="str">
        <x:v>Post-Training; RLHF; Preference Optimization; Reasoning; Tool Use; Agents</x:v>
      </x:c>
      <x:c r="F751" t="str">
        <x:v>English</x:v>
      </x:c>
      <x:c r="G751" t="str">
        <x:v>Direct Preference Optimization (DPO) and Friends | Post-Training Course, Lecture 6</x:v>
      </x:c>
      <x:c r="H751" t="str">
        <x:v>Nathan Lambert</x:v>
      </x:c>
      <x:c r="I751" t="str">
        <x:v>Nathan Lambert</x:v>
      </x:c>
      <x:c r="J751" t="str">
        <x:v>Course Lecture</x:v>
      </x:c>
      <x:c r="K751" s="148" t="n">
        <x:v>43</x:v>
      </x:c>
      <x:c r="L751" t="str">
        <x:v>https://www.youtube.com/watch?v=6g6b4gvO-y0</x:v>
      </x:c>
      <x:c r="M751" t="str">
        <x:v>YouTube</x:v>
      </x:c>
      <x:c r="N751" s="150" t="n">
        <x:v>1723</x:v>
      </x:c>
      <x:c r="O751" t="str">
        <x:v>A | Official / Original Creator / Organizer</x:v>
      </x:c>
      <x:c r="P751" t="str">
        <x:v>Core</x:v>
      </x:c>
      <x:c r="Q751" t="str">
        <x:v>Verified</x:v>
      </x:c>
      <x:c r="R751" s="142" t="n">
        <x:v>46249</x:v>
      </x:c>
      <x:c r="S751" t="str">
        <x:v>Added in the latest gap audit from an official institution or original creator; public YouTube metadata verified; short demos excluded.</x:v>
      </x:c>
      <x:c r="T751" t="str">
        <x:v>6g6b4gvO-y0</x:v>
      </x:c>
      <x:c r="U751" t="str">
        <x:v>Post-Training Course for The RLHF Book — 2026</x:v>
      </x:c>
      <x:c r="V751" s="148" t="n">
        <x:v>6</x:v>
      </x:c>
      <x:c r="W751" t="str">
        <x:v>nathan-lambert-post-training-course-2026</x:v>
      </x:c>
    </x:row>
    <x:row r="752">
      <x:c r="A752" t="str">
        <x:v>ST-752</x:v>
      </x:c>
      <x:c r="B752" t="str">
        <x:v>Course</x:v>
      </x:c>
      <x:c r="C752" t="str">
        <x:v>Agent</x:v>
      </x:c>
      <x:c r="D752" t="str">
        <x:v>Agents / Tool Use / Reasoning</x:v>
      </x:c>
      <x:c r="E752" t="str">
        <x:v>Post-Training; RLHF; Preference Optimization; Reasoning; Tool Use; Agents</x:v>
      </x:c>
      <x:c r="F752" t="str">
        <x:v>English</x:v>
      </x:c>
      <x:c r="G752" t="str">
        <x:v>On-Policy Distillation &amp; Using Synthetic Data in Post-Training | Post-Training Course, Lecture 7</x:v>
      </x:c>
      <x:c r="H752" t="str">
        <x:v>Nathan Lambert</x:v>
      </x:c>
      <x:c r="I752" t="str">
        <x:v>Nathan Lambert</x:v>
      </x:c>
      <x:c r="J752" t="str">
        <x:v>Course Lecture</x:v>
      </x:c>
      <x:c r="K752" s="148" t="n">
        <x:v>50</x:v>
      </x:c>
      <x:c r="L752" t="str">
        <x:v>https://www.youtube.com/watch?v=6nyJ8y8ghsE</x:v>
      </x:c>
      <x:c r="M752" t="str">
        <x:v>YouTube</x:v>
      </x:c>
      <x:c r="N752" s="150" t="n">
        <x:v>3955</x:v>
      </x:c>
      <x:c r="O752" t="str">
        <x:v>A | Official / Original Creator / Organizer</x:v>
      </x:c>
      <x:c r="P752" t="str">
        <x:v>Core</x:v>
      </x:c>
      <x:c r="Q752" t="str">
        <x:v>Verified</x:v>
      </x:c>
      <x:c r="R752" s="142" t="n">
        <x:v>46249</x:v>
      </x:c>
      <x:c r="S752" t="str">
        <x:v>Added in the latest gap audit from an official institution or original creator; public YouTube metadata verified; short demos excluded.</x:v>
      </x:c>
      <x:c r="T752" t="str">
        <x:v>6nyJ8y8ghsE</x:v>
      </x:c>
      <x:c r="U752" t="str">
        <x:v>Post-Training Course for The RLHF Book — 2026</x:v>
      </x:c>
      <x:c r="V752" s="148" t="n">
        <x:v>7</x:v>
      </x:c>
      <x:c r="W752" t="str">
        <x:v>nathan-lambert-post-training-course-2026</x:v>
      </x:c>
    </x:row>
    <x:row r="753">
      <x:c r="A753" t="str">
        <x:v>ST-753</x:v>
      </x:c>
      <x:c r="B753" t="str">
        <x:v>Course</x:v>
      </x:c>
      <x:c r="C753" t="str">
        <x:v>Agent</x:v>
      </x:c>
      <x:c r="D753" t="str">
        <x:v>Agents / Tool Use / Reasoning</x:v>
      </x:c>
      <x:c r="E753" t="str">
        <x:v>Post-Training; RLHF; Preference Optimization; Reasoning; Tool Use; Agents</x:v>
      </x:c>
      <x:c r="F753" t="str">
        <x:v>English</x:v>
      </x:c>
      <x:c r="G753" t="str">
        <x:v>Preference Data: The Most Opaque Part of Post-Training | Post-Training Course, Lecture 8</x:v>
      </x:c>
      <x:c r="H753" t="str">
        <x:v>Nathan Lambert</x:v>
      </x:c>
      <x:c r="I753" t="str">
        <x:v>Nathan Lambert</x:v>
      </x:c>
      <x:c r="J753" t="str">
        <x:v>Course Lecture</x:v>
      </x:c>
      <x:c r="K753" s="148" t="n">
        <x:v>36</x:v>
      </x:c>
      <x:c r="L753" t="str">
        <x:v>https://www.youtube.com/watch?v=Y2tv5vuaxFs</x:v>
      </x:c>
      <x:c r="M753" t="str">
        <x:v>YouTube</x:v>
      </x:c>
      <x:c r="N753" s="150" t="n">
        <x:v>1608</x:v>
      </x:c>
      <x:c r="O753" t="str">
        <x:v>A | Official / Original Creator / Organizer</x:v>
      </x:c>
      <x:c r="P753" t="str">
        <x:v>Core</x:v>
      </x:c>
      <x:c r="Q753" t="str">
        <x:v>Verified</x:v>
      </x:c>
      <x:c r="R753" s="142" t="n">
        <x:v>46249</x:v>
      </x:c>
      <x:c r="S753" t="str">
        <x:v>Added in the latest gap audit from an official institution or original creator; public YouTube metadata verified; short demos excluded.</x:v>
      </x:c>
      <x:c r="T753" t="str">
        <x:v>Y2tv5vuaxFs</x:v>
      </x:c>
      <x:c r="U753" t="str">
        <x:v>Post-Training Course for The RLHF Book — 2026</x:v>
      </x:c>
      <x:c r="V753" s="148" t="n">
        <x:v>8</x:v>
      </x:c>
      <x:c r="W753" t="str">
        <x:v>nathan-lambert-post-training-course-2026</x:v>
      </x:c>
    </x:row>
    <x:row r="754">
      <x:c r="A754" t="str">
        <x:v>ST-754</x:v>
      </x:c>
      <x:c r="B754" t="str">
        <x:v>Course</x:v>
      </x:c>
      <x:c r="C754" t="str">
        <x:v>Agent</x:v>
      </x:c>
      <x:c r="D754" t="str">
        <x:v>Agents / Tool Use / Reasoning</x:v>
      </x:c>
      <x:c r="E754" t="str">
        <x:v>Post-Training; RLHF; Preference Optimization; Reasoning; Tool Use; Agents</x:v>
      </x:c>
      <x:c r="F754" t="str">
        <x:v>English</x:v>
      </x:c>
      <x:c r="G754" t="str">
        <x:v>Over-Optimization and RLHF’s Bad Reputation | Post-Training Course, Lecture 9</x:v>
      </x:c>
      <x:c r="H754" t="str">
        <x:v>Nathan Lambert</x:v>
      </x:c>
      <x:c r="I754" t="str">
        <x:v>Nathan Lambert</x:v>
      </x:c>
      <x:c r="J754" t="str">
        <x:v>Course Lecture</x:v>
      </x:c>
      <x:c r="K754" s="148" t="n">
        <x:v>24</x:v>
      </x:c>
      <x:c r="L754" t="str">
        <x:v>https://www.youtube.com/watch?v=y04JhXpiI4s</x:v>
      </x:c>
      <x:c r="M754" t="str">
        <x:v>YouTube</x:v>
      </x:c>
      <x:c r="N754" s="150" t="n">
        <x:v>1878</x:v>
      </x:c>
      <x:c r="O754" t="str">
        <x:v>A | Official / Original Creator / Organizer</x:v>
      </x:c>
      <x:c r="P754" t="str">
        <x:v>Core</x:v>
      </x:c>
      <x:c r="Q754" t="str">
        <x:v>Verified</x:v>
      </x:c>
      <x:c r="R754" s="142" t="n">
        <x:v>46249</x:v>
      </x:c>
      <x:c r="S754" t="str">
        <x:v>Added in the latest gap audit from an official institution or original creator; public YouTube metadata verified; short demos excluded.</x:v>
      </x:c>
      <x:c r="T754" t="str">
        <x:v>y04JhXpiI4s</x:v>
      </x:c>
      <x:c r="U754" t="str">
        <x:v>Post-Training Course for The RLHF Book — 2026</x:v>
      </x:c>
      <x:c r="V754" s="148" t="n">
        <x:v>9</x:v>
      </x:c>
      <x:c r="W754" t="str">
        <x:v>nathan-lambert-post-training-course-2026</x:v>
      </x:c>
    </x:row>
    <x:row r="755">
      <x:c r="A755" t="str">
        <x:v>ST-755</x:v>
      </x:c>
      <x:c r="B755" t="str">
        <x:v>Course</x:v>
      </x:c>
      <x:c r="C755" t="str">
        <x:v>Agent</x:v>
      </x:c>
      <x:c r="D755" t="str">
        <x:v>Agents / Tool Use / Reasoning</x:v>
      </x:c>
      <x:c r="E755" t="str">
        <x:v>Post-Training; RLHF; Preference Optimization; Reasoning; Tool Use; Agents</x:v>
      </x:c>
      <x:c r="F755" t="str">
        <x:v>English</x:v>
      </x:c>
      <x:c r="G755" t="str">
        <x:v>Regularization in RL, Why RL Generalizes, and Why SFT Forgets | Post-Training Course, Lecture 10</x:v>
      </x:c>
      <x:c r="H755" t="str">
        <x:v>Nathan Lambert</x:v>
      </x:c>
      <x:c r="I755" t="str">
        <x:v>Nathan Lambert</x:v>
      </x:c>
      <x:c r="J755" t="str">
        <x:v>Course Lecture</x:v>
      </x:c>
      <x:c r="K755" s="148" t="n">
        <x:v>32</x:v>
      </x:c>
      <x:c r="L755" t="str">
        <x:v>https://www.youtube.com/watch?v=IwpYxANrpUs</x:v>
      </x:c>
      <x:c r="M755" t="str">
        <x:v>YouTube</x:v>
      </x:c>
      <x:c r="N755" s="150" t="n">
        <x:v>3211</x:v>
      </x:c>
      <x:c r="O755" t="str">
        <x:v>A | Official / Original Creator / Organizer</x:v>
      </x:c>
      <x:c r="P755" t="str">
        <x:v>Core</x:v>
      </x:c>
      <x:c r="Q755" t="str">
        <x:v>Verified</x:v>
      </x:c>
      <x:c r="R755" s="142" t="n">
        <x:v>46249</x:v>
      </x:c>
      <x:c r="S755" t="str">
        <x:v>Added in the latest gap audit from an official institution or original creator; public YouTube metadata verified; short demos excluded.</x:v>
      </x:c>
      <x:c r="T755" t="str">
        <x:v>IwpYxANrpUs</x:v>
      </x:c>
      <x:c r="U755" t="str">
        <x:v>Post-Training Course for The RLHF Book — 2026</x:v>
      </x:c>
      <x:c r="V755" s="148" t="n">
        <x:v>10</x:v>
      </x:c>
      <x:c r="W755" t="str">
        <x:v>nathan-lambert-post-training-course-2026</x:v>
      </x:c>
    </x:row>
    <x:row r="756">
      <x:c r="A756" t="str">
        <x:v>ST-756</x:v>
      </x:c>
      <x:c r="B756" t="str">
        <x:v>Course</x:v>
      </x:c>
      <x:c r="C756" t="str">
        <x:v>Agent</x:v>
      </x:c>
      <x:c r="D756" t="str">
        <x:v>Agents / Tool Use / Reasoning</x:v>
      </x:c>
      <x:c r="E756" t="str">
        <x:v>Post-Training; RLHF; Preference Optimization; Reasoning; Tool Use; Agents</x:v>
      </x:c>
      <x:c r="F756" t="str">
        <x:v>English</x:v>
      </x:c>
      <x:c r="G756" t="str">
        <x:v>How Evaluation Has Evolved with Frontier Model Progress | Post-Training Course, Lecture 12</x:v>
      </x:c>
      <x:c r="H756" t="str">
        <x:v>Nathan Lambert</x:v>
      </x:c>
      <x:c r="I756" t="str">
        <x:v>Nathan Lambert</x:v>
      </x:c>
      <x:c r="J756" t="str">
        <x:v>Course Lecture</x:v>
      </x:c>
      <x:c r="K756" s="148" t="n">
        <x:v>32</x:v>
      </x:c>
      <x:c r="L756" t="str">
        <x:v>https://www.youtube.com/watch?v=dFafQmClYq4</x:v>
      </x:c>
      <x:c r="M756" t="str">
        <x:v>YouTube</x:v>
      </x:c>
      <x:c r="N756" s="150" t="n">
        <x:v>3859</x:v>
      </x:c>
      <x:c r="O756" t="str">
        <x:v>A | Official / Original Creator / Organizer</x:v>
      </x:c>
      <x:c r="P756" t="str">
        <x:v>Core</x:v>
      </x:c>
      <x:c r="Q756" t="str">
        <x:v>Verified</x:v>
      </x:c>
      <x:c r="R756" s="142" t="n">
        <x:v>46249</x:v>
      </x:c>
      <x:c r="S756" t="str">
        <x:v>Added in the latest gap audit from an official institution or original creator; public YouTube metadata verified; short demos excluded.</x:v>
      </x:c>
      <x:c r="T756" t="str">
        <x:v>dFafQmClYq4</x:v>
      </x:c>
      <x:c r="U756" t="str">
        <x:v>Post-Training Course for The RLHF Book — 2026</x:v>
      </x:c>
      <x:c r="V756" s="148" t="n">
        <x:v>12</x:v>
      </x:c>
      <x:c r="W756" t="str">
        <x:v>nathan-lambert-post-training-course-2026</x:v>
      </x:c>
    </x:row>
    <x:row r="757">
      <x:c r="A757" t="str">
        <x:v>ST-757</x:v>
      </x:c>
      <x:c r="B757" t="str">
        <x:v>Course</x:v>
      </x:c>
      <x:c r="C757" t="str">
        <x:v>Agent</x:v>
      </x:c>
      <x:c r="D757" t="str">
        <x:v>Agents / Tool Use / Reasoning</x:v>
      </x:c>
      <x:c r="E757" t="str">
        <x:v>Post-Training; RLHF; Preference Optimization; Reasoning; Tool Use; Agents</x:v>
      </x:c>
      <x:c r="F757" t="str">
        <x:v>English</x:v>
      </x:c>
      <x:c r="G757" t="str">
        <x:v>An Introduction to Character Training | Post Training Course, Lecture 13</x:v>
      </x:c>
      <x:c r="H757" t="str">
        <x:v>Nathan Lambert</x:v>
      </x:c>
      <x:c r="I757" t="str">
        <x:v>Nathan Lambert</x:v>
      </x:c>
      <x:c r="J757" t="str">
        <x:v>Course Lecture</x:v>
      </x:c>
      <x:c r="K757" s="148" t="n">
        <x:v>33</x:v>
      </x:c>
      <x:c r="L757" t="str">
        <x:v>https://www.youtube.com/watch?v=xECWRYBxq1E</x:v>
      </x:c>
      <x:c r="M757" t="str">
        <x:v>YouTube</x:v>
      </x:c>
      <x:c r="N757" s="150" t="n">
        <x:v>2073</x:v>
      </x:c>
      <x:c r="O757" t="str">
        <x:v>A | Official / Original Creator / Organizer</x:v>
      </x:c>
      <x:c r="P757" t="str">
        <x:v>Core</x:v>
      </x:c>
      <x:c r="Q757" t="str">
        <x:v>Verified</x:v>
      </x:c>
      <x:c r="R757" s="142" t="n">
        <x:v>46249</x:v>
      </x:c>
      <x:c r="S757" t="str">
        <x:v>Added in the latest gap audit from an official institution or original creator; public YouTube metadata verified; short demos excluded.</x:v>
      </x:c>
      <x:c r="T757" t="str">
        <x:v>xECWRYBxq1E</x:v>
      </x:c>
      <x:c r="U757" t="str">
        <x:v>Post-Training Course for The RLHF Book — 2026</x:v>
      </x:c>
      <x:c r="V757" s="148" t="n">
        <x:v>13</x:v>
      </x:c>
      <x:c r="W757" t="str">
        <x:v>nathan-lambert-post-training-course-2026</x:v>
      </x:c>
    </x:row>
    <x:row r="758">
      <x:c r="A758" t="str">
        <x:v>ST-758</x:v>
      </x:c>
      <x:c r="B758" t="str">
        <x:v>Talk</x:v>
      </x:c>
      <x:c r="C758" t="str">
        <x:v>Robotics</x:v>
      </x:c>
      <x:c r="D758" t="str">
        <x:v>Robotics / Embodied AI</x:v>
      </x:c>
      <x:c r="E758" t="str">
        <x:v>Robotics; Embodied AI; Robot Learning; Planning; Control</x:v>
      </x:c>
      <x:c r="F758" t="str">
        <x:v>English</x:v>
      </x:c>
      <x:c r="G758" t="str">
        <x:v>Stanford Robotics Seminar ENGR319 | Winter 2026 | Robot Motion Learning w/Physics-Based PDE Priors</x:v>
      </x:c>
      <x:c r="H758" t="str">
        <x:v>Ahmed H. Qureshi</x:v>
      </x:c>
      <x:c r="I758" t="str">
        <x:v>Stanford Online</x:v>
      </x:c>
      <x:c r="J758" t="str">
        <x:v>Research Seminar</x:v>
      </x:c>
      <x:c r="K758" s="148" t="n">
        <x:v>53</x:v>
      </x:c>
      <x:c r="L758" t="str">
        <x:v>https://www.youtube.com/watch?v=RKFRO_G4YkA</x:v>
      </x:c>
      <x:c r="M758" t="str">
        <x:v>YouTube</x:v>
      </x:c>
      <x:c r="N758" s="150" t="n">
        <x:v>5004</x:v>
      </x:c>
      <x:c r="O758" t="str">
        <x:v>A | Official / Original Creator / Organizer</x:v>
      </x:c>
      <x:c r="P758" t="str">
        <x:v>Recommended</x:v>
      </x:c>
      <x:c r="Q758" t="str">
        <x:v>Verified</x:v>
      </x:c>
      <x:c r="R758" s="142" t="n">
        <x:v>46249</x:v>
      </x:c>
      <x:c r="S758" t="str">
        <x:v>Added in the latest gap audit from an official institution or original creator; public YouTube metadata verified; short demos excluded.</x:v>
      </x:c>
      <x:c r="T758" t="str">
        <x:v>RKFRO_G4YkA</x:v>
      </x:c>
      <x:c r="U758" t="str"/>
      <x:c r="V758" s="148"/>
      <x:c r="W758" t="str"/>
    </x:row>
    <x:row r="759">
      <x:c r="A759" t="str">
        <x:v>ST-759</x:v>
      </x:c>
      <x:c r="B759" t="str">
        <x:v>Talk</x:v>
      </x:c>
      <x:c r="C759" t="str">
        <x:v>Robotics</x:v>
      </x:c>
      <x:c r="D759" t="str">
        <x:v>Robotics / Embodied AI</x:v>
      </x:c>
      <x:c r="E759" t="str">
        <x:v>Robotics; Embodied AI; Robot Learning; Planning; Control</x:v>
      </x:c>
      <x:c r="F759" t="str">
        <x:v>English</x:v>
      </x:c>
      <x:c r="G759" t="str">
        <x:v>Stanford Robotics Seminar ENGR319 | Winter 2026 | Resilient Autonomy</x:v>
      </x:c>
      <x:c r="H759" t="str">
        <x:v>Sebastian Scherer</x:v>
      </x:c>
      <x:c r="I759" t="str">
        <x:v>Stanford Online</x:v>
      </x:c>
      <x:c r="J759" t="str">
        <x:v>Research Seminar</x:v>
      </x:c>
      <x:c r="K759" s="148" t="n">
        <x:v>60</x:v>
      </x:c>
      <x:c r="L759" t="str">
        <x:v>https://www.youtube.com/watch?v=PYh9k4cy25w</x:v>
      </x:c>
      <x:c r="M759" t="str">
        <x:v>YouTube</x:v>
      </x:c>
      <x:c r="N759" s="150" t="n">
        <x:v>4939</x:v>
      </x:c>
      <x:c r="O759" t="str">
        <x:v>A | Official / Original Creator / Organizer</x:v>
      </x:c>
      <x:c r="P759" t="str">
        <x:v>Recommended</x:v>
      </x:c>
      <x:c r="Q759" t="str">
        <x:v>Verified</x:v>
      </x:c>
      <x:c r="R759" s="142" t="n">
        <x:v>46249</x:v>
      </x:c>
      <x:c r="S759" t="str">
        <x:v>Added in the latest gap audit from an official institution or original creator; public YouTube metadata verified; short demos excluded.</x:v>
      </x:c>
      <x:c r="T759" t="str">
        <x:v>PYh9k4cy25w</x:v>
      </x:c>
      <x:c r="U759" t="str"/>
      <x:c r="V759" s="148"/>
      <x:c r="W759" t="str"/>
    </x:row>
    <x:row r="760">
      <x:c r="A760" t="str">
        <x:v>ST-760</x:v>
      </x:c>
      <x:c r="B760" t="str">
        <x:v>Talk</x:v>
      </x:c>
      <x:c r="C760" t="str">
        <x:v>Robotics</x:v>
      </x:c>
      <x:c r="D760" t="str">
        <x:v>Robotics / Embodied AI</x:v>
      </x:c>
      <x:c r="E760" t="str">
        <x:v>Robotics; Embodied AI; Robot Learning; Planning; Control</x:v>
      </x:c>
      <x:c r="F760" t="str">
        <x:v>English</x:v>
      </x:c>
      <x:c r="G760" t="str">
        <x:v>Stanford Robotics Seminar ENGR319 | Winter 2026 | Autonomous Navigation and Safe Humanoids</x:v>
      </x:c>
      <x:c r="H760" t="str">
        <x:v>Jing Liang and Yao Feng</x:v>
      </x:c>
      <x:c r="I760" t="str">
        <x:v>Stanford Online</x:v>
      </x:c>
      <x:c r="J760" t="str">
        <x:v>Research Seminar</x:v>
      </x:c>
      <x:c r="K760" s="148" t="n">
        <x:v>44</x:v>
      </x:c>
      <x:c r="L760" t="str">
        <x:v>https://www.youtube.com/watch?v=o5bW3C5OD6U</x:v>
      </x:c>
      <x:c r="M760" t="str">
        <x:v>YouTube</x:v>
      </x:c>
      <x:c r="N760" s="150" t="n">
        <x:v>4125</x:v>
      </x:c>
      <x:c r="O760" t="str">
        <x:v>A | Official / Original Creator / Organizer</x:v>
      </x:c>
      <x:c r="P760" t="str">
        <x:v>Recommended</x:v>
      </x:c>
      <x:c r="Q760" t="str">
        <x:v>Verified</x:v>
      </x:c>
      <x:c r="R760" s="142" t="n">
        <x:v>46249</x:v>
      </x:c>
      <x:c r="S760" t="str">
        <x:v>Added in the latest gap audit from an official institution or original creator; public YouTube metadata verified; short demos excluded.</x:v>
      </x:c>
      <x:c r="T760" t="str">
        <x:v>o5bW3C5OD6U</x:v>
      </x:c>
      <x:c r="U760" t="str"/>
      <x:c r="V760" s="148"/>
      <x:c r="W760" t="str"/>
    </x:row>
    <x:row r="761">
      <x:c r="A761" t="str">
        <x:v>ST-761</x:v>
      </x:c>
      <x:c r="B761" t="str">
        <x:v>Talk</x:v>
      </x:c>
      <x:c r="C761" t="str">
        <x:v>Robotics</x:v>
      </x:c>
      <x:c r="D761" t="str">
        <x:v>Robotics / Embodied AI</x:v>
      </x:c>
      <x:c r="E761" t="str">
        <x:v>Robotics; Embodied AI; Robot Learning; Planning; Control</x:v>
      </x:c>
      <x:c r="F761" t="str">
        <x:v>English</x:v>
      </x:c>
      <x:c r="G761" t="str">
        <x:v>Stanford Robotics Seminar ENGR319 | Winter 2026 | Bringing AI Up To Speed</x:v>
      </x:c>
      <x:c r="H761" t="str">
        <x:v>Madhur Behl</x:v>
      </x:c>
      <x:c r="I761" t="str">
        <x:v>Stanford Online</x:v>
      </x:c>
      <x:c r="J761" t="str">
        <x:v>Research Seminar</x:v>
      </x:c>
      <x:c r="K761" s="148" t="n">
        <x:v>74</x:v>
      </x:c>
      <x:c r="L761" t="str">
        <x:v>https://www.youtube.com/watch?v=NMFyMlwmwP8</x:v>
      </x:c>
      <x:c r="M761" t="str">
        <x:v>YouTube</x:v>
      </x:c>
      <x:c r="N761" s="150" t="n">
        <x:v>3526</x:v>
      </x:c>
      <x:c r="O761" t="str">
        <x:v>A | Official / Original Creator / Organizer</x:v>
      </x:c>
      <x:c r="P761" t="str">
        <x:v>Recommended</x:v>
      </x:c>
      <x:c r="Q761" t="str">
        <x:v>Verified</x:v>
      </x:c>
      <x:c r="R761" s="142" t="n">
        <x:v>46249</x:v>
      </x:c>
      <x:c r="S761" t="str">
        <x:v>Added in the latest gap audit from an official institution or original creator; public YouTube metadata verified; short demos excluded.</x:v>
      </x:c>
      <x:c r="T761" t="str">
        <x:v>NMFyMlwmwP8</x:v>
      </x:c>
      <x:c r="U761" t="str"/>
      <x:c r="V761" s="148"/>
      <x:c r="W761" t="str"/>
    </x:row>
    <x:row r="762">
      <x:c r="A762" t="str">
        <x:v>ST-762</x:v>
      </x:c>
      <x:c r="B762" t="str">
        <x:v>Talk</x:v>
      </x:c>
      <x:c r="C762" t="str">
        <x:v>Robotics</x:v>
      </x:c>
      <x:c r="D762" t="str">
        <x:v>Robotics / Embodied AI</x:v>
      </x:c>
      <x:c r="E762" t="str">
        <x:v>Robotics; Embodied AI; Robot Learning; Planning; Control</x:v>
      </x:c>
      <x:c r="F762" t="str">
        <x:v>English</x:v>
      </x:c>
      <x:c r="G762" t="str">
        <x:v>Stanford Robotics Seminar ENGR319 | Spring 2026 | Mechanical Intelligence in Locomotion</x:v>
      </x:c>
      <x:c r="H762" t="str">
        <x:v>Baxi Chong</x:v>
      </x:c>
      <x:c r="I762" t="str">
        <x:v>Stanford Online</x:v>
      </x:c>
      <x:c r="J762" t="str">
        <x:v>Research Seminar</x:v>
      </x:c>
      <x:c r="K762" s="148" t="n">
        <x:v>52</x:v>
      </x:c>
      <x:c r="L762" t="str">
        <x:v>https://www.youtube.com/watch?v=b6uxaRL_ipw</x:v>
      </x:c>
      <x:c r="M762" t="str">
        <x:v>YouTube</x:v>
      </x:c>
      <x:c r="N762" s="150" t="n">
        <x:v>2756</x:v>
      </x:c>
      <x:c r="O762" t="str">
        <x:v>A | Official / Original Creator / Organizer</x:v>
      </x:c>
      <x:c r="P762" t="str">
        <x:v>Recommended</x:v>
      </x:c>
      <x:c r="Q762" t="str">
        <x:v>Verified</x:v>
      </x:c>
      <x:c r="R762" s="142" t="n">
        <x:v>46249</x:v>
      </x:c>
      <x:c r="S762" t="str">
        <x:v>Added in the latest gap audit from an official institution or original creator; public YouTube metadata verified; short demos excluded.</x:v>
      </x:c>
      <x:c r="T762" t="str">
        <x:v>b6uxaRL_ipw</x:v>
      </x:c>
      <x:c r="U762" t="str"/>
      <x:c r="V762" s="148"/>
      <x:c r="W762" t="str"/>
    </x:row>
    <x:row r="763">
      <x:c r="A763" t="str">
        <x:v>ST-763</x:v>
      </x:c>
      <x:c r="B763" t="str">
        <x:v>Talk</x:v>
      </x:c>
      <x:c r="C763" t="str">
        <x:v>Robotics</x:v>
      </x:c>
      <x:c r="D763" t="str">
        <x:v>Robotics / Embodied AI</x:v>
      </x:c>
      <x:c r="E763" t="str">
        <x:v>Robotics; Embodied AI; Robot Learning; Planning; Control</x:v>
      </x:c>
      <x:c r="F763" t="str">
        <x:v>English</x:v>
      </x:c>
      <x:c r="G763" t="str">
        <x:v>Stanford Robotics Seminar ENGR319 | Spring 2026 | Unlocking Autonomous Medical Robotics</x:v>
      </x:c>
      <x:c r="H763" t="str">
        <x:v>Michael Yip</x:v>
      </x:c>
      <x:c r="I763" t="str">
        <x:v>Stanford Online</x:v>
      </x:c>
      <x:c r="J763" t="str">
        <x:v>Research Seminar</x:v>
      </x:c>
      <x:c r="K763" s="148" t="n">
        <x:v>63</x:v>
      </x:c>
      <x:c r="L763" t="str">
        <x:v>https://www.youtube.com/watch?v=r3x_w3tEmB4</x:v>
      </x:c>
      <x:c r="M763" t="str">
        <x:v>YouTube</x:v>
      </x:c>
      <x:c r="N763" s="150" t="n">
        <x:v>3058</x:v>
      </x:c>
      <x:c r="O763" t="str">
        <x:v>A | Official / Original Creator / Organizer</x:v>
      </x:c>
      <x:c r="P763" t="str">
        <x:v>Recommended</x:v>
      </x:c>
      <x:c r="Q763" t="str">
        <x:v>Verified</x:v>
      </x:c>
      <x:c r="R763" s="142" t="n">
        <x:v>46249</x:v>
      </x:c>
      <x:c r="S763" t="str">
        <x:v>Added in the latest gap audit from an official institution or original creator; public YouTube metadata verified; short demos excluded.</x:v>
      </x:c>
      <x:c r="T763" t="str">
        <x:v>r3x_w3tEmB4</x:v>
      </x:c>
      <x:c r="U763" t="str"/>
      <x:c r="V763" s="148"/>
      <x:c r="W763" t="str"/>
    </x:row>
    <x:row r="764">
      <x:c r="A764" t="str">
        <x:v>ST-764</x:v>
      </x:c>
      <x:c r="B764" t="str">
        <x:v>Talk</x:v>
      </x:c>
      <x:c r="C764" t="str">
        <x:v>Robotics</x:v>
      </x:c>
      <x:c r="D764" t="str">
        <x:v>Robotics / Embodied AI</x:v>
      </x:c>
      <x:c r="E764" t="str">
        <x:v>Robotics; Embodied AI; Robot Learning; Planning; Control</x:v>
      </x:c>
      <x:c r="F764" t="str">
        <x:v>English</x:v>
      </x:c>
      <x:c r="G764" t="str">
        <x:v>Stanford Robotics Seminar ENGR319 | Spring 2026 | Interactive Autonomy</x:v>
      </x:c>
      <x:c r="H764" t="str">
        <x:v>Negar Mehr</x:v>
      </x:c>
      <x:c r="I764" t="str">
        <x:v>Stanford Online</x:v>
      </x:c>
      <x:c r="J764" t="str">
        <x:v>Research Seminar</x:v>
      </x:c>
      <x:c r="K764" s="148" t="n">
        <x:v>71</x:v>
      </x:c>
      <x:c r="L764" t="str">
        <x:v>https://www.youtube.com/watch?v=dI8pLC1BLSM</x:v>
      </x:c>
      <x:c r="M764" t="str">
        <x:v>YouTube</x:v>
      </x:c>
      <x:c r="N764" s="150" t="n">
        <x:v>63959</x:v>
      </x:c>
      <x:c r="O764" t="str">
        <x:v>A | Official / Original Creator / Organizer</x:v>
      </x:c>
      <x:c r="P764" t="str">
        <x:v>Recommended</x:v>
      </x:c>
      <x:c r="Q764" t="str">
        <x:v>Verified</x:v>
      </x:c>
      <x:c r="R764" s="142" t="n">
        <x:v>46249</x:v>
      </x:c>
      <x:c r="S764" t="str">
        <x:v>Added in the latest gap audit from an official institution or original creator; public YouTube metadata verified; short demos excluded.</x:v>
      </x:c>
      <x:c r="T764" t="str">
        <x:v>dI8pLC1BLSM</x:v>
      </x:c>
      <x:c r="U764" t="str"/>
      <x:c r="V764" s="148"/>
      <x:c r="W764" t="str"/>
    </x:row>
    <x:row r="765">
      <x:c r="A765" t="str">
        <x:v>ST-765</x:v>
      </x:c>
      <x:c r="B765" t="str">
        <x:v>Talk</x:v>
      </x:c>
      <x:c r="C765" t="str">
        <x:v>Robotics</x:v>
      </x:c>
      <x:c r="D765" t="str">
        <x:v>Robotics / Embodied AI</x:v>
      </x:c>
      <x:c r="E765" t="str">
        <x:v>Robotics; Embodied AI; Robot Learning; Planning; Control</x:v>
      </x:c>
      <x:c r="F765" t="str">
        <x:v>English</x:v>
      </x:c>
      <x:c r="G765" t="str">
        <x:v>Stanford Robotics Seminar ENGR319 | Spring 2026 | Integrated Learning and Planning</x:v>
      </x:c>
      <x:c r="H765" t="str">
        <x:v>Jiayuan Mao</x:v>
      </x:c>
      <x:c r="I765" t="str">
        <x:v>Stanford Online</x:v>
      </x:c>
      <x:c r="J765" t="str">
        <x:v>Research Seminar</x:v>
      </x:c>
      <x:c r="K765" s="148" t="n">
        <x:v>58</x:v>
      </x:c>
      <x:c r="L765" t="str">
        <x:v>https://www.youtube.com/watch?v=3W36pd50Wqw</x:v>
      </x:c>
      <x:c r="M765" t="str">
        <x:v>YouTube</x:v>
      </x:c>
      <x:c r="N765" s="150" t="n">
        <x:v>31631</x:v>
      </x:c>
      <x:c r="O765" t="str">
        <x:v>A | Official / Original Creator / Organizer</x:v>
      </x:c>
      <x:c r="P765" t="str">
        <x:v>Recommended</x:v>
      </x:c>
      <x:c r="Q765" t="str">
        <x:v>Verified</x:v>
      </x:c>
      <x:c r="R765" s="142" t="n">
        <x:v>46249</x:v>
      </x:c>
      <x:c r="S765" t="str">
        <x:v>Added in the latest gap audit from an official institution or original creator; public YouTube metadata verified; short demos excluded.</x:v>
      </x:c>
      <x:c r="T765" t="str">
        <x:v>3W36pd50Wqw</x:v>
      </x:c>
      <x:c r="U765" t="str"/>
      <x:c r="V765" s="148"/>
      <x:c r="W765" t="str"/>
    </x:row>
    <x:row r="766">
      <x:c r="A766" t="str">
        <x:v>ST-766</x:v>
      </x:c>
      <x:c r="B766" t="str">
        <x:v>Talk</x:v>
      </x:c>
      <x:c r="C766" t="str">
        <x:v>Robotics</x:v>
      </x:c>
      <x:c r="D766" t="str">
        <x:v>Robotics / Embodied AI</x:v>
      </x:c>
      <x:c r="E766" t="str">
        <x:v>Robotics; Embodied AI; Robot Learning; Planning; Control</x:v>
      </x:c>
      <x:c r="F766" t="str">
        <x:v>English</x:v>
      </x:c>
      <x:c r="G766" t="str">
        <x:v>Stanford Robotics Seminar ENGR319 | Spring 2026 | Towards Trustworthy Autonomy</x:v>
      </x:c>
      <x:c r="H766" t="str">
        <x:v>Rohan Sinha</x:v>
      </x:c>
      <x:c r="I766" t="str">
        <x:v>Stanford Online</x:v>
      </x:c>
      <x:c r="J766" t="str">
        <x:v>Research Seminar</x:v>
      </x:c>
      <x:c r="K766" s="148" t="n">
        <x:v>35</x:v>
      </x:c>
      <x:c r="L766" t="str">
        <x:v>https://www.youtube.com/watch?v=NiRXiuWwrps</x:v>
      </x:c>
      <x:c r="M766" t="str">
        <x:v>YouTube</x:v>
      </x:c>
      <x:c r="N766" s="150" t="n">
        <x:v>6625</x:v>
      </x:c>
      <x:c r="O766" t="str">
        <x:v>A | Official / Original Creator / Organizer</x:v>
      </x:c>
      <x:c r="P766" t="str">
        <x:v>Recommended</x:v>
      </x:c>
      <x:c r="Q766" t="str">
        <x:v>Verified</x:v>
      </x:c>
      <x:c r="R766" s="142" t="n">
        <x:v>46249</x:v>
      </x:c>
      <x:c r="S766" t="str">
        <x:v>Added in the latest gap audit from an official institution or original creator; public YouTube metadata verified; short demos excluded.</x:v>
      </x:c>
      <x:c r="T766" t="str">
        <x:v>NiRXiuWwrps</x:v>
      </x:c>
      <x:c r="U766" t="str"/>
      <x:c r="V766" s="148"/>
      <x:c r="W766" t="str"/>
    </x:row>
    <x:row r="767">
      <x:c r="A767" t="str">
        <x:v>ST-767</x:v>
      </x:c>
      <x:c r="B767" t="str">
        <x:v>Talk</x:v>
      </x:c>
      <x:c r="C767" t="str">
        <x:v>Robotics</x:v>
      </x:c>
      <x:c r="D767" t="str">
        <x:v>Robotics / Embodied AI</x:v>
      </x:c>
      <x:c r="E767" t="str">
        <x:v>Robotics; Embodied AI; Robot Learning; Planning; Control</x:v>
      </x:c>
      <x:c r="F767" t="str">
        <x:v>English</x:v>
      </x:c>
      <x:c r="G767" t="str">
        <x:v>Stanford Robotics Seminar ENGR319 | Spring 2026 | Leveraging Geometry in Robot Learning</x:v>
      </x:c>
      <x:c r="H767" t="str">
        <x:v>Rob Platt</x:v>
      </x:c>
      <x:c r="I767" t="str">
        <x:v>Stanford Online</x:v>
      </x:c>
      <x:c r="J767" t="str">
        <x:v>Research Seminar</x:v>
      </x:c>
      <x:c r="K767" s="148" t="n">
        <x:v>64</x:v>
      </x:c>
      <x:c r="L767" t="str">
        <x:v>https://www.youtube.com/watch?v=8hohrUYuyx4</x:v>
      </x:c>
      <x:c r="M767" t="str">
        <x:v>YouTube</x:v>
      </x:c>
      <x:c r="N767" s="150" t="n">
        <x:v>4810</x:v>
      </x:c>
      <x:c r="O767" t="str">
        <x:v>A | Official / Original Creator / Organizer</x:v>
      </x:c>
      <x:c r="P767" t="str">
        <x:v>Recommended</x:v>
      </x:c>
      <x:c r="Q767" t="str">
        <x:v>Verified</x:v>
      </x:c>
      <x:c r="R767" s="142" t="n">
        <x:v>46249</x:v>
      </x:c>
      <x:c r="S767" t="str">
        <x:v>Added in the latest gap audit from an official institution or original creator; public YouTube metadata verified; short demos excluded.</x:v>
      </x:c>
      <x:c r="T767" t="str">
        <x:v>8hohrUYuyx4</x:v>
      </x:c>
      <x:c r="U767" t="str"/>
      <x:c r="V767" s="148"/>
      <x:c r="W767" t="str"/>
    </x:row>
    <x:row r="768">
      <x:c r="A768" t="str">
        <x:v>ST-768</x:v>
      </x:c>
      <x:c r="B768" t="str">
        <x:v>Talk</x:v>
      </x:c>
      <x:c r="C768" t="str">
        <x:v>Agent</x:v>
      </x:c>
      <x:c r="D768" t="str">
        <x:v>Agents / Tool Use / Reasoning</x:v>
      </x:c>
      <x:c r="E768" t="str">
        <x:v>Multi-Agent Systems; Agent Simulation; Emergent Behavior; AI Research</x:v>
      </x:c>
      <x:c r="F768" t="str">
        <x:v>English</x:v>
      </x:c>
      <x:c r="G768" t="str">
        <x:v>When millions of AI agents meet</x:v>
      </x:c>
      <x:c r="H768" t="str">
        <x:v>Google DeepMind research team</x:v>
      </x:c>
      <x:c r="I768" t="str">
        <x:v>Google DeepMind</x:v>
      </x:c>
      <x:c r="J768" t="str">
        <x:v>Research Talk</x:v>
      </x:c>
      <x:c r="K768" s="148" t="n">
        <x:v>43</x:v>
      </x:c>
      <x:c r="L768" t="str">
        <x:v>https://www.youtube.com/watch?v=V04bm-3d6EQ</x:v>
      </x:c>
      <x:c r="M768" t="str">
        <x:v>YouTube</x:v>
      </x:c>
      <x:c r="N768" s="150" t="n">
        <x:v>181397</x:v>
      </x:c>
      <x:c r="O768" t="str">
        <x:v>A | Official / Original Creator / Organizer</x:v>
      </x:c>
      <x:c r="P768" t="str">
        <x:v>Core</x:v>
      </x:c>
      <x:c r="Q768" t="str">
        <x:v>Verified</x:v>
      </x:c>
      <x:c r="R768" s="142" t="n">
        <x:v>46249</x:v>
      </x:c>
      <x:c r="S768" t="str">
        <x:v>Added in the latest gap audit from an official institution or original creator; public YouTube metadata verified; short demos excluded.</x:v>
      </x:c>
      <x:c r="T768" t="str">
        <x:v>V04bm-3d6EQ</x:v>
      </x:c>
      <x:c r="U768" t="str"/>
      <x:c r="V768" s="148"/>
      <x:c r="W768" t="str"/>
    </x:row>
    <x:row r="769">
      <x:c r="A769" t="str">
        <x:v>ST-769</x:v>
      </x:c>
      <x:c r="B769" t="str">
        <x:v>Interview</x:v>
      </x:c>
      <x:c r="C769" t="str">
        <x:v>Other</x:v>
      </x:c>
      <x:c r="D769" t="str">
        <x:v>Deep Reinforcement Learning</x:v>
      </x:c>
      <x:c r="E769" t="str">
        <x:v>AlphaGo; Reinforcement Learning; Scientific Discovery; AI History</x:v>
      </x:c>
      <x:c r="F769" t="str">
        <x:v>English</x:v>
      </x:c>
      <x:c r="G769" t="str">
        <x:v>10 years of AlphaGo: The turning point for AI | Thore Graepel &amp; Pushmeet Kohli</x:v>
      </x:c>
      <x:c r="H769" t="str">
        <x:v>Thore Graepel and Pushmeet Kohli</x:v>
      </x:c>
      <x:c r="I769" t="str">
        <x:v>Google DeepMind</x:v>
      </x:c>
      <x:c r="J769" t="str">
        <x:v>Research Interview</x:v>
      </x:c>
      <x:c r="K769" s="148" t="n">
        <x:v>54</x:v>
      </x:c>
      <x:c r="L769" t="str">
        <x:v>https://www.youtube.com/watch?v=qoinGjj60Fo</x:v>
      </x:c>
      <x:c r="M769" t="str">
        <x:v>YouTube</x:v>
      </x:c>
      <x:c r="N769" s="150" t="n">
        <x:v>589777</x:v>
      </x:c>
      <x:c r="O769" t="str">
        <x:v>A | Official / Original Creator / Organizer</x:v>
      </x:c>
      <x:c r="P769" t="str">
        <x:v>Recommended</x:v>
      </x:c>
      <x:c r="Q769" t="str">
        <x:v>Verified</x:v>
      </x:c>
      <x:c r="R769" s="142" t="n">
        <x:v>46249</x:v>
      </x:c>
      <x:c r="S769" t="str">
        <x:v>Added in the latest gap audit from an official institution or original creator; public YouTube metadata verified; short demos excluded.</x:v>
      </x:c>
      <x:c r="T769" t="str">
        <x:v>qoinGjj60Fo</x:v>
      </x:c>
      <x:c r="U769" t="str"/>
      <x:c r="V769" s="148"/>
      <x:c r="W769" t="str"/>
    </x:row>
    <x:row r="770">
      <x:c r="A770" t="str">
        <x:v>ST-770</x:v>
      </x:c>
      <x:c r="B770" t="str">
        <x:v>Talk</x:v>
      </x:c>
      <x:c r="C770" t="str">
        <x:v>Agent</x:v>
      </x:c>
      <x:c r="D770" t="str">
        <x:v>Agents / Tool Use / Reasoning</x:v>
      </x:c>
      <x:c r="E770" t="str">
        <x:v>Model Context Protocol; Tool Use; Agents; Open Standards</x:v>
      </x:c>
      <x:c r="F770" t="str">
        <x:v>English</x:v>
      </x:c>
      <x:c r="G770" t="str">
        <x:v>Why we built—and donated—the Model Context Protocol (MCP)</x:v>
      </x:c>
      <x:c r="H770" t="str">
        <x:v>Anthropic MCP team</x:v>
      </x:c>
      <x:c r="I770" t="str">
        <x:v>Anthropic</x:v>
      </x:c>
      <x:c r="J770" t="str">
        <x:v>Engineering Talk</x:v>
      </x:c>
      <x:c r="K770" s="148" t="n">
        <x:v>36</x:v>
      </x:c>
      <x:c r="L770" t="str">
        <x:v>https://www.youtube.com/watch?v=PLyCki2K0Lg</x:v>
      </x:c>
      <x:c r="M770" t="str">
        <x:v>YouTube</x:v>
      </x:c>
      <x:c r="N770" s="150" t="n">
        <x:v>40526</x:v>
      </x:c>
      <x:c r="O770" t="str">
        <x:v>A | Official / Original Creator / Organizer</x:v>
      </x:c>
      <x:c r="P770" t="str">
        <x:v>Core</x:v>
      </x:c>
      <x:c r="Q770" t="str">
        <x:v>Verified</x:v>
      </x:c>
      <x:c r="R770" s="142" t="n">
        <x:v>46249</x:v>
      </x:c>
      <x:c r="S770" t="str">
        <x:v>Added in the latest gap audit from an official institution or original creator; public YouTube metadata verified; short demos excluded.</x:v>
      </x:c>
      <x:c r="T770" t="str">
        <x:v>PLyCki2K0Lg</x:v>
      </x:c>
      <x:c r="U770" t="str"/>
      <x:c r="V770" s="148"/>
      <x:c r="W770" t="str"/>
    </x:row>
    <x:row r="771">
      <x:c r="A771" t="str">
        <x:v>ST-771</x:v>
      </x:c>
      <x:c r="B771" t="str">
        <x:v>Talk</x:v>
      </x:c>
      <x:c r="C771" t="str">
        <x:v>Robotics</x:v>
      </x:c>
      <x:c r="D771" t="str">
        <x:v>Robotics / Embodied AI</x:v>
      </x:c>
      <x:c r="E771" t="str">
        <x:v>Rationality; Planning; Robotics; Decision Making</x:v>
      </x:c>
      <x:c r="F771" t="str">
        <x:v>English</x:v>
      </x:c>
      <x:c r="G771" t="str">
        <x:v>RI Seminar: Leslie Kaelbling : The Role of Rationality in Modern Robotics</x:v>
      </x:c>
      <x:c r="H771" t="str">
        <x:v>Leslie Kaelbling</x:v>
      </x:c>
      <x:c r="I771" t="str">
        <x:v>CMU Robotics Institute</x:v>
      </x:c>
      <x:c r="J771" t="str">
        <x:v>Research Seminar</x:v>
      </x:c>
      <x:c r="K771" s="148" t="n">
        <x:v>75</x:v>
      </x:c>
      <x:c r="L771" t="str">
        <x:v>https://www.youtube.com/watch?v=r1oAw_KWLWg</x:v>
      </x:c>
      <x:c r="M771" t="str">
        <x:v>YouTube</x:v>
      </x:c>
      <x:c r="N771" s="150" t="n">
        <x:v>1907</x:v>
      </x:c>
      <x:c r="O771" t="str">
        <x:v>A | Official / Original Creator / Organizer</x:v>
      </x:c>
      <x:c r="P771" t="str">
        <x:v>Recommended</x:v>
      </x:c>
      <x:c r="Q771" t="str">
        <x:v>Verified</x:v>
      </x:c>
      <x:c r="R771" s="142" t="n">
        <x:v>46249</x:v>
      </x:c>
      <x:c r="S771" t="str">
        <x:v>Added in the latest gap audit from an official institution or original creator; public YouTube metadata verified; short demos excluded.</x:v>
      </x:c>
      <x:c r="T771" t="str">
        <x:v>r1oAw_KWLWg</x:v>
      </x:c>
      <x:c r="U771" t="str"/>
      <x:c r="V771" s="148"/>
      <x:c r="W771" t="str"/>
    </x:row>
    <x:row r="772">
      <x:c r="A772" t="str">
        <x:v>ST-772</x:v>
      </x:c>
      <x:c r="B772" t="str">
        <x:v>Talk</x:v>
      </x:c>
      <x:c r="C772" t="str">
        <x:v>Robotics</x:v>
      </x:c>
      <x:c r="D772" t="str">
        <x:v>Robotics / Embodied AI</x:v>
      </x:c>
      <x:c r="E772" t="str">
        <x:v>Formal Methods; Robot Planning; Verification; Robotics</x:v>
      </x:c>
      <x:c r="F772" t="str">
        <x:v>English</x:v>
      </x:c>
      <x:c r="G772" t="str">
        <x:v>RI Seminar: Hadas Kress-Gazit : Formal Methods for Robotics in the Age of Big Data</x:v>
      </x:c>
      <x:c r="H772" t="str">
        <x:v>Hadas Kress-Gazit</x:v>
      </x:c>
      <x:c r="I772" t="str">
        <x:v>CMU Robotics Institute</x:v>
      </x:c>
      <x:c r="J772" t="str">
        <x:v>Research Seminar</x:v>
      </x:c>
      <x:c r="K772" s="148" t="n">
        <x:v>65</x:v>
      </x:c>
      <x:c r="L772" t="str">
        <x:v>https://www.youtube.com/watch?v=gthXSFhDt8Q</x:v>
      </x:c>
      <x:c r="M772" t="str">
        <x:v>YouTube</x:v>
      </x:c>
      <x:c r="N772" s="150" t="n">
        <x:v>2159</x:v>
      </x:c>
      <x:c r="O772" t="str">
        <x:v>A | Official / Original Creator / Organizer</x:v>
      </x:c>
      <x:c r="P772" t="str">
        <x:v>Recommended</x:v>
      </x:c>
      <x:c r="Q772" t="str">
        <x:v>Verified</x:v>
      </x:c>
      <x:c r="R772" s="142" t="n">
        <x:v>46249</x:v>
      </x:c>
      <x:c r="S772" t="str">
        <x:v>Added in the latest gap audit from an official institution or original creator; public YouTube metadata verified; short demos excluded.</x:v>
      </x:c>
      <x:c r="T772" t="str">
        <x:v>gthXSFhDt8Q</x:v>
      </x:c>
      <x:c r="U772" t="str"/>
      <x:c r="V772" s="148"/>
      <x:c r="W772" t="str"/>
    </x:row>
    <x:row r="773">
      <x:c r="A773" t="str">
        <x:v>ST-773</x:v>
      </x:c>
      <x:c r="B773" t="str">
        <x:v>Talk</x:v>
      </x:c>
      <x:c r="C773" t="str">
        <x:v>Robotics</x:v>
      </x:c>
      <x:c r="D773" t="str">
        <x:v>Robotics / Embodied AI</x:v>
      </x:c>
      <x:c r="E773" t="str">
        <x:v>Robot Learning; Child Development; Computer Vision; Embodied AI</x:v>
      </x:c>
      <x:c r="F773" t="str">
        <x:v>English</x:v>
      </x:c>
      <x:c r="G773" t="str">
        <x:v>RI Seminar: Jitendra Malik : Robot Learning, With Inspiration From Child Development</x:v>
      </x:c>
      <x:c r="H773" t="str">
        <x:v>Jitendra Malik</x:v>
      </x:c>
      <x:c r="I773" t="str">
        <x:v>CMU Robotics Institute</x:v>
      </x:c>
      <x:c r="J773" t="str">
        <x:v>Research Seminar</x:v>
      </x:c>
      <x:c r="K773" s="148" t="n">
        <x:v>67</x:v>
      </x:c>
      <x:c r="L773" t="str">
        <x:v>https://www.youtube.com/watch?v=ry8itipzBFE</x:v>
      </x:c>
      <x:c r="M773" t="str">
        <x:v>YouTube</x:v>
      </x:c>
      <x:c r="N773" s="150" t="n">
        <x:v>10092</x:v>
      </x:c>
      <x:c r="O773" t="str">
        <x:v>A | Official / Original Creator / Organizer</x:v>
      </x:c>
      <x:c r="P773" t="str">
        <x:v>Recommended</x:v>
      </x:c>
      <x:c r="Q773" t="str">
        <x:v>Verified</x:v>
      </x:c>
      <x:c r="R773" s="142" t="n">
        <x:v>46249</x:v>
      </x:c>
      <x:c r="S773" t="str">
        <x:v>Added in the latest gap audit from an official institution or original creator; public YouTube metadata verified; short demos excluded.</x:v>
      </x:c>
      <x:c r="T773" t="str">
        <x:v>ry8itipzBFE</x:v>
      </x:c>
      <x:c r="U773" t="str"/>
      <x:c r="V773" s="148"/>
      <x:c r="W773" t="str"/>
    </x:row>
    <x:row r="774">
      <x:c r="A774" t="str">
        <x:v>ST-774</x:v>
      </x:c>
      <x:c r="B774" t="str">
        <x:v>Talk</x:v>
      </x:c>
      <x:c r="C774" t="str">
        <x:v>Agent</x:v>
      </x:c>
      <x:c r="D774" t="str">
        <x:v>Agents / Reinforcement Learning</x:v>
      </x:c>
      <x:c r="E774" t="str">
        <x:v>Continual Learning; World Models; Planning; Reinforcement Learning; Meta-Learning</x:v>
      </x:c>
      <x:c r="F774" t="str">
        <x:v>English</x:v>
      </x:c>
      <x:c r="G774" t="str">
        <x:v>The Oak Architecture: A Vision of SuperIntelligence from Experience</x:v>
      </x:c>
      <x:c r="H774" t="str">
        <x:v>Rich Sutton</x:v>
      </x:c>
      <x:c r="I774" t="str">
        <x:v>NeurIPS</x:v>
      </x:c>
      <x:c r="J774" t="str">
        <x:v>Conference Keynote</x:v>
      </x:c>
      <x:c r="K774" s="148" t="n">
        <x:v>60</x:v>
      </x:c>
      <x:c r="L774" t="str">
        <x:v>https://neurips.cc/virtual/2025/invited-talk/109601</x:v>
      </x:c>
      <x:c r="M774" t="str">
        <x:v>Conference Site</x:v>
      </x:c>
      <x:c r="N774" s="150" t="n">
        <x:v>0</x:v>
      </x:c>
      <x:c r="O774" t="str">
        <x:v>A | Official / Original Creator / Organizer</x:v>
      </x:c>
      <x:c r="P774" t="str">
        <x:v>Core</x:v>
      </x:c>
      <x:c r="Q774" t="str">
        <x:v>Verified</x:v>
      </x:c>
      <x:c r="R774" s="142" t="n">
        <x:v>46249</x:v>
      </x:c>
      <x:c r="S774" t="str">
        <x:v>Added from the official conference recording page after verifying the title, speaker, date, scheduled duration, and public Video section; short demos and lightning talks excluded.</x:v>
      </x:c>
      <x:c r="T774" t="str">
        <x:v>neurips-2025-109601</x:v>
      </x:c>
      <x:c r="U774" t="str"/>
      <x:c r="V774" s="148"/>
      <x:c r="W774" t="str"/>
    </x:row>
    <x:row r="775">
      <x:c r="A775" t="str">
        <x:v>ST-775</x:v>
      </x:c>
      <x:c r="B775" t="str">
        <x:v>Talk</x:v>
      </x:c>
      <x:c r="C775" t="str">
        <x:v>Other</x:v>
      </x:c>
      <x:c r="D775" t="str">
        <x:v>AI Safety / Governance / Society</x:v>
      </x:c>
      <x:c r="E775" t="str">
        <x:v>AI Governance; Societal Impact; Generative AI; Risk; Technology Policy</x:v>
      </x:c>
      <x:c r="F775" t="str">
        <x:v>English</x:v>
      </x:c>
      <x:c r="G775" t="str">
        <x:v>Are We Having the Wrong Nightmares About AI?</x:v>
      </x:c>
      <x:c r="H775" t="str">
        <x:v>Zeynep Tufekci</x:v>
      </x:c>
      <x:c r="I775" t="str">
        <x:v>NeurIPS</x:v>
      </x:c>
      <x:c r="J775" t="str">
        <x:v>Conference Keynote</x:v>
      </x:c>
      <x:c r="K775" s="148" t="n">
        <x:v>60</x:v>
      </x:c>
      <x:c r="L775" t="str">
        <x:v>https://neurips.cc/virtual/2025/invited-talk/109606</x:v>
      </x:c>
      <x:c r="M775" t="str">
        <x:v>Conference Site</x:v>
      </x:c>
      <x:c r="N775" s="150" t="n">
        <x:v>0</x:v>
      </x:c>
      <x:c r="O775" t="str">
        <x:v>A | Official / Original Creator / Organizer</x:v>
      </x:c>
      <x:c r="P775" t="str">
        <x:v>Core</x:v>
      </x:c>
      <x:c r="Q775" t="str">
        <x:v>Verified</x:v>
      </x:c>
      <x:c r="R775" s="142" t="n">
        <x:v>46249</x:v>
      </x:c>
      <x:c r="S775" t="str">
        <x:v>Added from the official conference recording page after verifying the title, speaker, date, scheduled duration, and public Video section; short demos and lightning talks excluded.</x:v>
      </x:c>
      <x:c r="T775" t="str">
        <x:v>neurips-2025-109606</x:v>
      </x:c>
      <x:c r="U775" t="str"/>
      <x:c r="V775" s="148"/>
      <x:c r="W775" t="str"/>
    </x:row>
    <x:row r="776">
      <x:c r="A776" t="str">
        <x:v>ST-776</x:v>
      </x:c>
      <x:c r="B776" t="str">
        <x:v>Talk</x:v>
      </x:c>
      <x:c r="C776" t="str">
        <x:v>Agent</x:v>
      </x:c>
      <x:c r="D776" t="str">
        <x:v>Agents / Tool Use / Reasoning</x:v>
      </x:c>
      <x:c r="E776" t="str">
        <x:v>Reasoning; Reinforcement Learning; Small Language Models; Scaling Laws; Robustness</x:v>
      </x:c>
      <x:c r="F776" t="str">
        <x:v>English</x:v>
      </x:c>
      <x:c r="G776" t="str">
        <x:v>The Art of (Artificial) Reasoning</x:v>
      </x:c>
      <x:c r="H776" t="str">
        <x:v>Yejin Choi</x:v>
      </x:c>
      <x:c r="I776" t="str">
        <x:v>NeurIPS</x:v>
      </x:c>
      <x:c r="J776" t="str">
        <x:v>Conference Keynote</x:v>
      </x:c>
      <x:c r="K776" s="148" t="n">
        <x:v>60</x:v>
      </x:c>
      <x:c r="L776" t="str">
        <x:v>https://neurips.cc/virtual/2025/invited-talk/109603</x:v>
      </x:c>
      <x:c r="M776" t="str">
        <x:v>Conference Site</x:v>
      </x:c>
      <x:c r="N776" s="150" t="n">
        <x:v>0</x:v>
      </x:c>
      <x:c r="O776" t="str">
        <x:v>A | Official / Original Creator / Organizer</x:v>
      </x:c>
      <x:c r="P776" t="str">
        <x:v>Core</x:v>
      </x:c>
      <x:c r="Q776" t="str">
        <x:v>Verified</x:v>
      </x:c>
      <x:c r="R776" s="142" t="n">
        <x:v>46249</x:v>
      </x:c>
      <x:c r="S776" t="str">
        <x:v>Added from the official conference recording page after verifying the title, speaker, date, scheduled duration, and public Video section; short demos and lightning talks excluded.</x:v>
      </x:c>
      <x:c r="T776" t="str">
        <x:v>neurips-2025-109603</x:v>
      </x:c>
      <x:c r="U776" t="str"/>
      <x:c r="V776" s="148"/>
      <x:c r="W776" t="str"/>
    </x:row>
    <x:row r="777">
      <x:c r="A777" t="str">
        <x:v>ST-777</x:v>
      </x:c>
      <x:c r="B777" t="str">
        <x:v>Talk</x:v>
      </x:c>
      <x:c r="C777" t="str">
        <x:v>Other</x:v>
      </x:c>
      <x:c r="D777" t="str">
        <x:v>AI Evaluation / Cognitive Science</x:v>
      </x:c>
      <x:c r="E777" t="str">
        <x:v>AI Evaluation; Cognitive Science; Analogy; Visual Abstraction; Experimental Methods</x:v>
      </x:c>
      <x:c r="F777" t="str">
        <x:v>English</x:v>
      </x:c>
      <x:c r="G777" t="str">
        <x:v>On the Science of “Alien Intelligences”: Evaluating Cognitive Capabilities in Babies, Animals, and AI</x:v>
      </x:c>
      <x:c r="H777" t="str">
        <x:v>Melanie Mitchell</x:v>
      </x:c>
      <x:c r="I777" t="str">
        <x:v>NeurIPS</x:v>
      </x:c>
      <x:c r="J777" t="str">
        <x:v>Conference Keynote</x:v>
      </x:c>
      <x:c r="K777" s="148" t="n">
        <x:v>60</x:v>
      </x:c>
      <x:c r="L777" t="str">
        <x:v>https://neurips.cc/virtual/2025/invited-talk/109607</x:v>
      </x:c>
      <x:c r="M777" t="str">
        <x:v>Conference Site</x:v>
      </x:c>
      <x:c r="N777" s="150" t="n">
        <x:v>0</x:v>
      </x:c>
      <x:c r="O777" t="str">
        <x:v>A | Official / Original Creator / Organizer</x:v>
      </x:c>
      <x:c r="P777" t="str">
        <x:v>Core</x:v>
      </x:c>
      <x:c r="Q777" t="str">
        <x:v>Verified</x:v>
      </x:c>
      <x:c r="R777" s="142" t="n">
        <x:v>46249</x:v>
      </x:c>
      <x:c r="S777" t="str">
        <x:v>Added from the official conference recording page after verifying the title, speaker, date, scheduled duration, and public Video section; short demos and lightning talks excluded.</x:v>
      </x:c>
      <x:c r="T777" t="str">
        <x:v>neurips-2025-109607</x:v>
      </x:c>
      <x:c r="U777" t="str"/>
      <x:c r="V777" s="148"/>
      <x:c r="W777" t="str"/>
    </x:row>
    <x:row r="778">
      <x:c r="A778" t="str">
        <x:v>ST-778</x:v>
      </x:c>
      <x:c r="B778" t="str">
        <x:v>Talk</x:v>
      </x:c>
      <x:c r="C778" t="str">
        <x:v>How to Research</x:v>
      </x:c>
      <x:c r="D778" t="str">
        <x:v>AI Research / Evaluation</x:v>
      </x:c>
      <x:c r="E778" t="str">
        <x:v>Problem Finding; Benchmarks; Machine Learning Research; Scientific Discovery; Evaluation</x:v>
      </x:c>
      <x:c r="F778" t="str">
        <x:v>English</x:v>
      </x:c>
      <x:c r="G778" t="str">
        <x:v>From Benchmarks to Problems — A Perspective on Problem Finding in AI</x:v>
      </x:c>
      <x:c r="H778" t="str">
        <x:v>Kyunghyun Cho</x:v>
      </x:c>
      <x:c r="I778" t="str">
        <x:v>NeurIPS</x:v>
      </x:c>
      <x:c r="J778" t="str">
        <x:v>Conference Keynote</x:v>
      </x:c>
      <x:c r="K778" s="148" t="n">
        <x:v>60</x:v>
      </x:c>
      <x:c r="L778" t="str">
        <x:v>https://neurips.cc/virtual/2025/invited-talk/109605</x:v>
      </x:c>
      <x:c r="M778" t="str">
        <x:v>Conference Site</x:v>
      </x:c>
      <x:c r="N778" s="150" t="n">
        <x:v>0</x:v>
      </x:c>
      <x:c r="O778" t="str">
        <x:v>A | Official / Original Creator / Organizer</x:v>
      </x:c>
      <x:c r="P778" t="str">
        <x:v>Core</x:v>
      </x:c>
      <x:c r="Q778" t="str">
        <x:v>Verified</x:v>
      </x:c>
      <x:c r="R778" s="142" t="n">
        <x:v>46249</x:v>
      </x:c>
      <x:c r="S778" t="str">
        <x:v>Added from the official conference recording page after verifying the title, speaker, date, scheduled duration, and public Video section; short demos and lightning talks excluded.</x:v>
      </x:c>
      <x:c r="T778" t="str">
        <x:v>neurips-2025-109605</x:v>
      </x:c>
      <x:c r="U778" t="str"/>
      <x:c r="V778" s="148"/>
      <x:c r="W778" t="str"/>
    </x:row>
    <x:row r="779">
      <x:c r="A779" t="str">
        <x:v>ST-779</x:v>
      </x:c>
      <x:c r="B779" t="str">
        <x:v>Talk</x:v>
      </x:c>
      <x:c r="C779" t="str">
        <x:v>Other</x:v>
      </x:c>
      <x:c r="D779" t="str">
        <x:v>Deep Learning Foundations</x:v>
      </x:c>
      <x:c r="E779" t="str">
        <x:v>Deep Learning Theory; Learning Dynamics; Representation Learning; Generalization; Transfer Learning</x:v>
      </x:c>
      <x:c r="F779" t="str">
        <x:v>English</x:v>
      </x:c>
      <x:c r="G779" t="str">
        <x:v>Demystifying Depth: Principles of Learning in Deep Neural Networks</x:v>
      </x:c>
      <x:c r="H779" t="str">
        <x:v>Andrew Saxe</x:v>
      </x:c>
      <x:c r="I779" t="str">
        <x:v>NeurIPS</x:v>
      </x:c>
      <x:c r="J779" t="str">
        <x:v>Conference Keynote</x:v>
      </x:c>
      <x:c r="K779" s="148" t="n">
        <x:v>60</x:v>
      </x:c>
      <x:c r="L779" t="str">
        <x:v>https://neurips.cc/virtual/2025/invited-talk/109602</x:v>
      </x:c>
      <x:c r="M779" t="str">
        <x:v>Conference Site</x:v>
      </x:c>
      <x:c r="N779" s="150" t="n">
        <x:v>0</x:v>
      </x:c>
      <x:c r="O779" t="str">
        <x:v>A | Official / Original Creator / Organizer</x:v>
      </x:c>
      <x:c r="P779" t="str">
        <x:v>Core</x:v>
      </x:c>
      <x:c r="Q779" t="str">
        <x:v>Verified</x:v>
      </x:c>
      <x:c r="R779" s="142" t="n">
        <x:v>46249</x:v>
      </x:c>
      <x:c r="S779" t="str">
        <x:v>Added from the official conference recording page after verifying the title, speaker, date, scheduled duration, and public Video section; short demos and lightning talks excluded.</x:v>
      </x:c>
      <x:c r="T779" t="str">
        <x:v>neurips-2025-109602</x:v>
      </x:c>
      <x:c r="U779" t="str"/>
      <x:c r="V779" s="148"/>
      <x:c r="W779" t="str"/>
    </x:row>
    <x:row r="780">
      <x:c r="A780" t="str">
        <x:v>ST-780</x:v>
      </x:c>
      <x:c r="B780" t="str">
        <x:v>Talk</x:v>
      </x:c>
      <x:c r="C780" t="str">
        <x:v>Vision</x:v>
      </x:c>
      <x:c r="D780" t="str">
        <x:v>Computer Vision / Object Detection</x:v>
      </x:c>
      <x:c r="E780" t="str">
        <x:v>Faster R-CNN; Object Detection; Region Proposal Networks; Computer Vision; Test of Time</x:v>
      </x:c>
      <x:c r="F780" t="str">
        <x:v>English</x:v>
      </x:c>
      <x:c r="G780" t="str">
        <x:v>Faster R-CNN: Towards Real-Time Object Detection with Region Proposal Networks — Test of Time Award</x:v>
      </x:c>
      <x:c r="H780" t="str">
        <x:v>Shaoqing Ren, Kaiming He, Ross Girshick, and Jian Sun</x:v>
      </x:c>
      <x:c r="I780" t="str">
        <x:v>NeurIPS</x:v>
      </x:c>
      <x:c r="J780" t="str">
        <x:v>Test of Time Talk</x:v>
      </x:c>
      <x:c r="K780" s="148" t="n">
        <x:v>30</x:v>
      </x:c>
      <x:c r="L780" t="str">
        <x:v>https://neurips.cc/virtual/2025/test-of-time/128328</x:v>
      </x:c>
      <x:c r="M780" t="str">
        <x:v>Conference Site</x:v>
      </x:c>
      <x:c r="N780" s="150" t="n">
        <x:v>0</x:v>
      </x:c>
      <x:c r="O780" t="str">
        <x:v>A | Official / Original Creator / Organizer</x:v>
      </x:c>
      <x:c r="P780" t="str">
        <x:v>Core</x:v>
      </x:c>
      <x:c r="Q780" t="str">
        <x:v>Verified</x:v>
      </x:c>
      <x:c r="R780" s="142" t="n">
        <x:v>46249</x:v>
      </x:c>
      <x:c r="S780" t="str">
        <x:v>Added from the official conference recording page after verifying the title, speaker, date, scheduled duration, and public Video section; short demos and lightning talks excluded.</x:v>
      </x:c>
      <x:c r="T780" t="str">
        <x:v>neurips-2025-128328</x:v>
      </x:c>
      <x:c r="U780" t="str"/>
      <x:c r="V780" s="148"/>
      <x:c r="W780" t="str"/>
    </x:row>
    <x:row r="781">
      <x:c r="A781" t="str">
        <x:v>ST-781</x:v>
      </x:c>
      <x:c r="B781" t="str">
        <x:v>Talk</x:v>
      </x:c>
      <x:c r="C781" t="str">
        <x:v>Other</x:v>
      </x:c>
      <x:c r="D781" t="str">
        <x:v>Interpretability / Explainable AI</x:v>
      </x:c>
      <x:c r="E781" t="str">
        <x:v>Explainable AI; Data Attribution; Mechanistic Interpretability; Feature Attribution; Model Understanding</x:v>
      </x:c>
      <x:c r="F781" t="str">
        <x:v>English</x:v>
      </x:c>
      <x:c r="G781" t="str">
        <x:v>Explain AI Models: Explainable AI, Data-Centric AI, and Mechanistic Interpretability</x:v>
      </x:c>
      <x:c r="H781" t="str">
        <x:v>Shichang (Ray) Zhang, Himabindu Lakkaraju, and Julius Adebayo</x:v>
      </x:c>
      <x:c r="I781" t="str">
        <x:v>NeurIPS</x:v>
      </x:c>
      <x:c r="J781" t="str">
        <x:v>Conference Tutorial</x:v>
      </x:c>
      <x:c r="K781" s="148" t="n">
        <x:v>150</x:v>
      </x:c>
      <x:c r="L781" t="str">
        <x:v>https://neurips.cc/virtual/2025/109599</x:v>
      </x:c>
      <x:c r="M781" t="str">
        <x:v>Conference Site</x:v>
      </x:c>
      <x:c r="N781" s="150" t="n">
        <x:v>0</x:v>
      </x:c>
      <x:c r="O781" t="str">
        <x:v>A | Official / Original Creator / Organizer</x:v>
      </x:c>
      <x:c r="P781" t="str">
        <x:v>Core</x:v>
      </x:c>
      <x:c r="Q781" t="str">
        <x:v>Verified</x:v>
      </x:c>
      <x:c r="R781" s="142" t="n">
        <x:v>46249</x:v>
      </x:c>
      <x:c r="S781" t="str">
        <x:v>Added from the official conference recording page after verifying the title, speaker, date, scheduled duration, and public Video section; short demos and lightning talks excluded.</x:v>
      </x:c>
      <x:c r="T781" t="str">
        <x:v>neurips-2025-109599</x:v>
      </x:c>
      <x:c r="U781" t="str"/>
      <x:c r="V781" s="148"/>
      <x:c r="W781" t="str"/>
    </x:row>
    <x:row r="782">
      <x:c r="A782" t="str">
        <x:v>ST-782</x:v>
      </x:c>
      <x:c r="B782" t="str">
        <x:v>Talk</x:v>
      </x:c>
      <x:c r="C782" t="str">
        <x:v>Other</x:v>
      </x:c>
      <x:c r="D782" t="str">
        <x:v>AI Privacy / Security / Law</x:v>
      </x:c>
      <x:c r="E782" t="str">
        <x:v>Data Privacy; Memorization; Generative AI; Copyright; Security; Law</x:v>
      </x:c>
      <x:c r="F782" t="str">
        <x:v>English</x:v>
      </x:c>
      <x:c r="G782" t="str">
        <x:v>Data Privacy, Memorization, and Legal Implications in Generative AI: A Practical Guide</x:v>
      </x:c>
      <x:c r="H782" t="str">
        <x:v>Pratyush Maini, Joseph C. Gratz, and A. Feder Cooper</x:v>
      </x:c>
      <x:c r="I782" t="str">
        <x:v>NeurIPS</x:v>
      </x:c>
      <x:c r="J782" t="str">
        <x:v>Conference Tutorial</x:v>
      </x:c>
      <x:c r="K782" s="148" t="n">
        <x:v>150</x:v>
      </x:c>
      <x:c r="L782" t="str">
        <x:v>https://neurips.cc/virtual/2025/109588</x:v>
      </x:c>
      <x:c r="M782" t="str">
        <x:v>Conference Site</x:v>
      </x:c>
      <x:c r="N782" s="150" t="n">
        <x:v>0</x:v>
      </x:c>
      <x:c r="O782" t="str">
        <x:v>A | Official / Original Creator / Organizer</x:v>
      </x:c>
      <x:c r="P782" t="str">
        <x:v>Core</x:v>
      </x:c>
      <x:c r="Q782" t="str">
        <x:v>Verified</x:v>
      </x:c>
      <x:c r="R782" s="142" t="n">
        <x:v>46249</x:v>
      </x:c>
      <x:c r="S782" t="str">
        <x:v>Added from the official conference recording page after verifying the title, speaker, date, scheduled duration, and public Video section; short demos and lightning talks excluded.</x:v>
      </x:c>
      <x:c r="T782" t="str">
        <x:v>neurips-2025-109588</x:v>
      </x:c>
      <x:c r="U782" t="str"/>
      <x:c r="V782" s="148"/>
      <x:c r="W782" t="str"/>
    </x:row>
    <x:row r="783">
      <x:c r="A783" t="str">
        <x:v>ST-783</x:v>
      </x:c>
      <x:c r="B783" t="str">
        <x:v>Talk</x:v>
      </x:c>
      <x:c r="C783" t="str">
        <x:v>How to Research</x:v>
      </x:c>
      <x:c r="D783" t="str">
        <x:v>AI Evaluation / Benchmarking</x:v>
      </x:c>
      <x:c r="E783" t="str">
        <x:v>Benchmarking; Evaluation; Measurement; Dataset Design; Foundation Models</x:v>
      </x:c>
      <x:c r="F783" t="str">
        <x:v>English</x:v>
      </x:c>
      <x:c r="G783" t="str">
        <x:v>The Science of Benchmarking: What’s Measured, What’s Missed, and What’s Next</x:v>
      </x:c>
      <x:c r="H783" t="str">
        <x:v>Ziqiao Ma, Michael Saxon, and Xiang Yue</x:v>
      </x:c>
      <x:c r="I783" t="str">
        <x:v>NeurIPS</x:v>
      </x:c>
      <x:c r="J783" t="str">
        <x:v>Conference Tutorial</x:v>
      </x:c>
      <x:c r="K783" s="148" t="n">
        <x:v>150</x:v>
      </x:c>
      <x:c r="L783" t="str">
        <x:v>https://neurips.cc/virtual/2025/109598</x:v>
      </x:c>
      <x:c r="M783" t="str">
        <x:v>Conference Site</x:v>
      </x:c>
      <x:c r="N783" s="150" t="n">
        <x:v>0</x:v>
      </x:c>
      <x:c r="O783" t="str">
        <x:v>A | Official / Original Creator / Organizer</x:v>
      </x:c>
      <x:c r="P783" t="str">
        <x:v>Core</x:v>
      </x:c>
      <x:c r="Q783" t="str">
        <x:v>Verified</x:v>
      </x:c>
      <x:c r="R783" s="142" t="n">
        <x:v>46249</x:v>
      </x:c>
      <x:c r="S783" t="str">
        <x:v>Added from the official conference recording page after verifying the title, speaker, date, scheduled duration, and public Video section; short demos and lightning talks excluded.</x:v>
      </x:c>
      <x:c r="T783" t="str">
        <x:v>neurips-2025-109598</x:v>
      </x:c>
      <x:c r="U783" t="str"/>
      <x:c r="V783" s="148"/>
      <x:c r="W783" t="str"/>
    </x:row>
    <x:row r="784">
      <x:c r="A784" t="str">
        <x:v>ST-784</x:v>
      </x:c>
      <x:c r="B784" t="str">
        <x:v>Talk</x:v>
      </x:c>
      <x:c r="C784" t="str">
        <x:v>World Model</x:v>
      </x:c>
      <x:c r="D784" t="str">
        <x:v>Multimodal Generation / World Models</x:v>
      </x:c>
      <x:c r="E784" t="str">
        <x:v>Autoregressive Models; World Models; Vision; Video; Robotics; Scientific Data</x:v>
      </x:c>
      <x:c r="F784" t="str">
        <x:v>English</x:v>
      </x:c>
      <x:c r="G784" t="str">
        <x:v>Autoregressive Models Beyond Language</x:v>
      </x:c>
      <x:c r="H784" t="str">
        <x:v>Tianhong Li, Huiwen Chang, and Kaiming He</x:v>
      </x:c>
      <x:c r="I784" t="str">
        <x:v>NeurIPS</x:v>
      </x:c>
      <x:c r="J784" t="str">
        <x:v>Conference Tutorial</x:v>
      </x:c>
      <x:c r="K784" s="148" t="n">
        <x:v>150</x:v>
      </x:c>
      <x:c r="L784" t="str">
        <x:v>https://neurips.cc/virtual/2025/tutorial/109587</x:v>
      </x:c>
      <x:c r="M784" t="str">
        <x:v>Conference Site</x:v>
      </x:c>
      <x:c r="N784" s="150" t="n">
        <x:v>0</x:v>
      </x:c>
      <x:c r="O784" t="str">
        <x:v>A | Official / Original Creator / Organizer</x:v>
      </x:c>
      <x:c r="P784" t="str">
        <x:v>Core</x:v>
      </x:c>
      <x:c r="Q784" t="str">
        <x:v>Verified</x:v>
      </x:c>
      <x:c r="R784" s="142" t="n">
        <x:v>46249</x:v>
      </x:c>
      <x:c r="S784" t="str">
        <x:v>Added from the official conference recording page after verifying the title, speaker, date, scheduled duration, and public Video section; short demos and lightning talks excluded.</x:v>
      </x:c>
      <x:c r="T784" t="str">
        <x:v>neurips-2025-109587</x:v>
      </x:c>
      <x:c r="U784" t="str"/>
      <x:c r="V784" s="148"/>
      <x:c r="W784" t="str"/>
    </x:row>
    <x:row r="785">
      <x:c r="A785" t="str">
        <x:v>ST-785</x:v>
      </x:c>
      <x:c r="B785" t="str">
        <x:v>Talk</x:v>
      </x:c>
      <x:c r="C785" t="str">
        <x:v>Other</x:v>
      </x:c>
      <x:c r="D785" t="str">
        <x:v>Deep Learning Optimization</x:v>
      </x:c>
      <x:c r="E785" t="str">
        <x:v>Training Instability; Optimization; Large Stepsizes; Generalization; Deep Learning Theory</x:v>
      </x:c>
      <x:c r="F785" t="str">
        <x:v>English</x:v>
      </x:c>
      <x:c r="G785" t="str">
        <x:v>Theoretical Insights on Training Instability in Deep Learning</x:v>
      </x:c>
      <x:c r="H785" t="str">
        <x:v>Jingfeng Wu, Yu-Xiang Wang, and Maryam Fazel</x:v>
      </x:c>
      <x:c r="I785" t="str">
        <x:v>NeurIPS</x:v>
      </x:c>
      <x:c r="J785" t="str">
        <x:v>Conference Tutorial</x:v>
      </x:c>
      <x:c r="K785" s="148" t="n">
        <x:v>150</x:v>
      </x:c>
      <x:c r="L785" t="str">
        <x:v>https://neurips.cc/virtual/2025/tutorial/109597</x:v>
      </x:c>
      <x:c r="M785" t="str">
        <x:v>Conference Site</x:v>
      </x:c>
      <x:c r="N785" s="150" t="n">
        <x:v>0</x:v>
      </x:c>
      <x:c r="O785" t="str">
        <x:v>A | Official / Original Creator / Organizer</x:v>
      </x:c>
      <x:c r="P785" t="str">
        <x:v>Recommended</x:v>
      </x:c>
      <x:c r="Q785" t="str">
        <x:v>Verified</x:v>
      </x:c>
      <x:c r="R785" s="142" t="n">
        <x:v>46249</x:v>
      </x:c>
      <x:c r="S785" t="str">
        <x:v>Added from the official conference recording page after verifying the title, speaker, date, scheduled duration, and public Video section; short demos and lightning talks excluded.</x:v>
      </x:c>
      <x:c r="T785" t="str">
        <x:v>neurips-2025-109597</x:v>
      </x:c>
      <x:c r="U785" t="str"/>
      <x:c r="V785" s="148"/>
      <x:c r="W785" t="str"/>
    </x:row>
    <x:row r="786">
      <x:c r="A786" t="str">
        <x:v>ST-786</x:v>
      </x:c>
      <x:c r="B786" t="str">
        <x:v>Talk</x:v>
      </x:c>
      <x:c r="C786" t="str">
        <x:v>Agent</x:v>
      </x:c>
      <x:c r="D786" t="str">
        <x:v>Agents / Planning / Reasoning</x:v>
      </x:c>
      <x:c r="E786" t="str">
        <x:v>Automated Planning; Language Models; Agents; Reasoning; Planning Evaluation</x:v>
      </x:c>
      <x:c r="F786" t="str">
        <x:v>English</x:v>
      </x:c>
      <x:c r="G786" t="str">
        <x:v>Planning in the Era of Language Models</x:v>
      </x:c>
      <x:c r="H786" t="str">
        <x:v>Michael Katz, Harsha Kokel, and Christian Muise</x:v>
      </x:c>
      <x:c r="I786" t="str">
        <x:v>NeurIPS</x:v>
      </x:c>
      <x:c r="J786" t="str">
        <x:v>Conference Tutorial</x:v>
      </x:c>
      <x:c r="K786" s="148" t="n">
        <x:v>150</x:v>
      </x:c>
      <x:c r="L786" t="str">
        <x:v>https://neurips.cc/virtual/2025/109596</x:v>
      </x:c>
      <x:c r="M786" t="str">
        <x:v>Conference Site</x:v>
      </x:c>
      <x:c r="N786" s="150" t="n">
        <x:v>0</x:v>
      </x:c>
      <x:c r="O786" t="str">
        <x:v>A | Official / Original Creator / Organizer</x:v>
      </x:c>
      <x:c r="P786" t="str">
        <x:v>Core</x:v>
      </x:c>
      <x:c r="Q786" t="str">
        <x:v>Verified</x:v>
      </x:c>
      <x:c r="R786" s="142" t="n">
        <x:v>46249</x:v>
      </x:c>
      <x:c r="S786" t="str">
        <x:v>Added from the official conference recording page after verifying the title, speaker, date, scheduled duration, and public Video section; short demos and lightning talks excluded.</x:v>
      </x:c>
      <x:c r="T786" t="str">
        <x:v>neurips-2025-109596</x:v>
      </x:c>
      <x:c r="U786" t="str"/>
      <x:c r="V786" s="148"/>
      <x:c r="W786" t="str"/>
    </x:row>
    <x:row r="787">
      <x:c r="A787" t="str">
        <x:v>ST-787</x:v>
      </x:c>
      <x:c r="B787" t="str">
        <x:v>Talk</x:v>
      </x:c>
      <x:c r="C787" t="str">
        <x:v>Agent</x:v>
      </x:c>
      <x:c r="D787" t="str">
        <x:v>AI Safety / Alignment / Oversight</x:v>
      </x:c>
      <x:c r="E787" t="str">
        <x:v>Human-AI Alignment; Value Alignment; Oversight; Pluralism; Scientist AI</x:v>
      </x:c>
      <x:c r="F787" t="str">
        <x:v>English</x:v>
      </x:c>
      <x:c r="G787" t="str">
        <x:v>Human-AI Alignment: Foundations, Methods, Practice, and Challenges</x:v>
      </x:c>
      <x:c r="H787" t="str">
        <x:v>Hua Shen, Mitchell Gordon, Adam Tauman Kalai, and Yoshua Bengio</x:v>
      </x:c>
      <x:c r="I787" t="str">
        <x:v>NeurIPS</x:v>
      </x:c>
      <x:c r="J787" t="str">
        <x:v>Conference Tutorial</x:v>
      </x:c>
      <x:c r="K787" s="148" t="n">
        <x:v>150</x:v>
      </x:c>
      <x:c r="L787" t="str">
        <x:v>https://neurips.cc/virtual/2025/109592</x:v>
      </x:c>
      <x:c r="M787" t="str">
        <x:v>Conference Site</x:v>
      </x:c>
      <x:c r="N787" s="150" t="n">
        <x:v>0</x:v>
      </x:c>
      <x:c r="O787" t="str">
        <x:v>A | Official / Original Creator / Organizer</x:v>
      </x:c>
      <x:c r="P787" t="str">
        <x:v>Core</x:v>
      </x:c>
      <x:c r="Q787" t="str">
        <x:v>Verified</x:v>
      </x:c>
      <x:c r="R787" s="142" t="n">
        <x:v>46249</x:v>
      </x:c>
      <x:c r="S787" t="str">
        <x:v>Added from the official conference recording page after verifying the title, speaker, date, scheduled duration, and public Video section; short demos and lightning talks excluded.</x:v>
      </x:c>
      <x:c r="T787" t="str">
        <x:v>neurips-2025-109592</x:v>
      </x:c>
      <x:c r="U787" t="str"/>
      <x:c r="V787" s="148"/>
      <x:c r="W787" t="str"/>
    </x:row>
    <x:row r="788">
      <x:c r="A788" t="str">
        <x:v>ST-788</x:v>
      </x:c>
      <x:c r="B788" t="str">
        <x:v>Talk</x:v>
      </x:c>
      <x:c r="C788" t="str">
        <x:v>Other</x:v>
      </x:c>
      <x:c r="D788" t="str">
        <x:v>AI Systems / Energy Efficiency</x:v>
      </x:c>
      <x:c r="E788" t="str">
        <x:v>AI Systems; Energy; Power; Performance; Benchmarking; Sustainable AI</x:v>
      </x:c>
      <x:c r="F788" t="str">
        <x:v>English</x:v>
      </x:c>
      <x:c r="G788" t="str">
        <x:v>Energy and Power as First-Class ML Design Metrics</x:v>
      </x:c>
      <x:c r="H788" t="str">
        <x:v>Jae-Won Chung, Ahmet Inci, and Ruofan Wu</x:v>
      </x:c>
      <x:c r="I788" t="str">
        <x:v>NeurIPS</x:v>
      </x:c>
      <x:c r="J788" t="str">
        <x:v>Conference Tutorial</x:v>
      </x:c>
      <x:c r="K788" s="148" t="n">
        <x:v>150</x:v>
      </x:c>
      <x:c r="L788" t="str">
        <x:v>https://neurips.cc/virtual/2025/tutorial/109589</x:v>
      </x:c>
      <x:c r="M788" t="str">
        <x:v>Conference Site</x:v>
      </x:c>
      <x:c r="N788" s="150" t="n">
        <x:v>0</x:v>
      </x:c>
      <x:c r="O788" t="str">
        <x:v>A | Official / Original Creator / Organizer</x:v>
      </x:c>
      <x:c r="P788" t="str">
        <x:v>Recommended</x:v>
      </x:c>
      <x:c r="Q788" t="str">
        <x:v>Verified</x:v>
      </x:c>
      <x:c r="R788" s="142" t="n">
        <x:v>46249</x:v>
      </x:c>
      <x:c r="S788" t="str">
        <x:v>Added from the official conference recording page after verifying the title, speaker, date, scheduled duration, and public Video section; short demos and lightning talks excluded.</x:v>
      </x:c>
      <x:c r="T788" t="str">
        <x:v>neurips-2025-109589</x:v>
      </x:c>
      <x:c r="U788" t="str"/>
      <x:c r="V788" s="148"/>
      <x:c r="W788" t="str"/>
    </x:row>
    <x:row r="789">
      <x:c r="A789" t="str">
        <x:v>ST-789</x:v>
      </x:c>
      <x:c r="B789" t="str">
        <x:v>Talk</x:v>
      </x:c>
      <x:c r="C789" t="str">
        <x:v>Other</x:v>
      </x:c>
      <x:c r="D789" t="str">
        <x:v>AI Systems / Frameworks</x:v>
      </x:c>
      <x:c r="E789" t="str">
        <x:v>PyTorch; ML Systems; Training; Inference; Systems Agents</x:v>
      </x:c>
      <x:c r="F789" t="str">
        <x:v>English</x:v>
      </x:c>
      <x:c r="G789" t="str">
        <x:v>Extreme PyTorch: Inside the Most Demanding ML Workloads—and the Open Challenges in Building AI Agents to Democratize Them</x:v>
      </x:c>
      <x:c r="H789" t="str">
        <x:v>Soumith Chintala</x:v>
      </x:c>
      <x:c r="I789" t="str">
        <x:v>MLSys</x:v>
      </x:c>
      <x:c r="J789" t="str">
        <x:v>Conference Keynote</x:v>
      </x:c>
      <x:c r="K789" s="148" t="n">
        <x:v>60</x:v>
      </x:c>
      <x:c r="L789" t="str">
        <x:v>https://mlsys.org/virtual/2025/2886</x:v>
      </x:c>
      <x:c r="M789" t="str">
        <x:v>Conference Site</x:v>
      </x:c>
      <x:c r="N789" s="150" t="n">
        <x:v>0</x:v>
      </x:c>
      <x:c r="O789" t="str">
        <x:v>A | Official / Original Creator / Organizer</x:v>
      </x:c>
      <x:c r="P789" t="str">
        <x:v>Core</x:v>
      </x:c>
      <x:c r="Q789" t="str">
        <x:v>Verified</x:v>
      </x:c>
      <x:c r="R789" s="142" t="n">
        <x:v>46249</x:v>
      </x:c>
      <x:c r="S789" t="str">
        <x:v>Added from the official conference recording page after verifying the title, speaker, date, scheduled duration, and public Video section; short demos and lightning talks excluded.</x:v>
      </x:c>
      <x:c r="T789" t="str">
        <x:v>mlsys-2025-2886</x:v>
      </x:c>
      <x:c r="U789" t="str"/>
      <x:c r="V789" s="148"/>
      <x:c r="W789" t="str"/>
    </x:row>
    <x:row r="790">
      <x:c r="A790" t="str">
        <x:v>ST-790</x:v>
      </x:c>
      <x:c r="B790" t="str">
        <x:v>Talk</x:v>
      </x:c>
      <x:c r="C790" t="str">
        <x:v>Other</x:v>
      </x:c>
      <x:c r="D790" t="str">
        <x:v>AI Systems / Serving / Evaluation</x:v>
      </x:c>
      <x:c r="E790" t="str">
        <x:v>Ray; vLLM; SGLang; Chatbot Arena; Distributed Systems; LLM Evaluation</x:v>
      </x:c>
      <x:c r="F790" t="str">
        <x:v>English</x:v>
      </x:c>
      <x:c r="G790" t="str">
        <x:v>An AI Stack: From Scaling AI Workloads to Evaluating LLMs</x:v>
      </x:c>
      <x:c r="H790" t="str">
        <x:v>Ion Stoica</x:v>
      </x:c>
      <x:c r="I790" t="str">
        <x:v>MLSys</x:v>
      </x:c>
      <x:c r="J790" t="str">
        <x:v>Conference Keynote</x:v>
      </x:c>
      <x:c r="K790" s="148" t="n">
        <x:v>60</x:v>
      </x:c>
      <x:c r="L790" t="str">
        <x:v>https://mlsys.org/virtual/2025/3013</x:v>
      </x:c>
      <x:c r="M790" t="str">
        <x:v>Conference Site</x:v>
      </x:c>
      <x:c r="N790" s="150" t="n">
        <x:v>0</x:v>
      </x:c>
      <x:c r="O790" t="str">
        <x:v>A | Official / Original Creator / Organizer</x:v>
      </x:c>
      <x:c r="P790" t="str">
        <x:v>Core</x:v>
      </x:c>
      <x:c r="Q790" t="str">
        <x:v>Verified</x:v>
      </x:c>
      <x:c r="R790" s="142" t="n">
        <x:v>46249</x:v>
      </x:c>
      <x:c r="S790" t="str">
        <x:v>Added from the official conference recording page after verifying the title, speaker, date, scheduled duration, and public Video section; short demos and lightning talks excluded.</x:v>
      </x:c>
      <x:c r="T790" t="str">
        <x:v>mlsys-2025-3013</x:v>
      </x:c>
      <x:c r="U790" t="str"/>
      <x:c r="V790" s="148"/>
      <x:c r="W790" t="str"/>
    </x:row>
    <x:row r="791">
      <x:c r="A791" t="str">
        <x:v>ST-791</x:v>
      </x:c>
      <x:c r="B791" t="str">
        <x:v>Talk</x:v>
      </x:c>
      <x:c r="C791" t="str">
        <x:v>Other</x:v>
      </x:c>
      <x:c r="D791" t="str">
        <x:v>AI Systems / Hardware Efficiency</x:v>
      </x:c>
      <x:c r="E791" t="str">
        <x:v>Hardware-Aware ML; Quantization; Gradient Compression; KV Cache; Large-Scale AI</x:v>
      </x:c>
      <x:c r="F791" t="str">
        <x:v>English</x:v>
      </x:c>
      <x:c r="G791" t="str">
        <x:v>Hardware-Aware Training and Inference for Large-Scale AI</x:v>
      </x:c>
      <x:c r="H791" t="str">
        <x:v>Animashree Anandkumar</x:v>
      </x:c>
      <x:c r="I791" t="str">
        <x:v>MLSys</x:v>
      </x:c>
      <x:c r="J791" t="str">
        <x:v>Conference Keynote</x:v>
      </x:c>
      <x:c r="K791" s="148" t="n">
        <x:v>60</x:v>
      </x:c>
      <x:c r="L791" t="str">
        <x:v>https://mlsys.org/virtual/2025/2887</x:v>
      </x:c>
      <x:c r="M791" t="str">
        <x:v>Conference Site</x:v>
      </x:c>
      <x:c r="N791" s="150" t="n">
        <x:v>0</x:v>
      </x:c>
      <x:c r="O791" t="str">
        <x:v>A | Official / Original Creator / Organizer</x:v>
      </x:c>
      <x:c r="P791" t="str">
        <x:v>Core</x:v>
      </x:c>
      <x:c r="Q791" t="str">
        <x:v>Verified</x:v>
      </x:c>
      <x:c r="R791" s="142" t="n">
        <x:v>46249</x:v>
      </x:c>
      <x:c r="S791" t="str">
        <x:v>Added from the official conference recording page after verifying the title, speaker, date, scheduled duration, and public Video section; short demos and lightning talks excluded.</x:v>
      </x:c>
      <x:c r="T791" t="str">
        <x:v>mlsys-2025-2887</x:v>
      </x:c>
      <x:c r="U791" t="str"/>
      <x:c r="V791" s="148"/>
      <x:c r="W791" t="str"/>
    </x:row>
    <x:row r="792">
      <x:c r="A792" t="str">
        <x:v>ST-792</x:v>
      </x:c>
      <x:c r="B792" t="str">
        <x:v>Talk</x:v>
      </x:c>
      <x:c r="C792" t="str">
        <x:v>Other</x:v>
      </x:c>
      <x:c r="D792" t="str">
        <x:v>AI Safety / Security / Finetuning</x:v>
      </x:c>
      <x:c r="E792" t="str">
        <x:v>Responsible Finetuning; Safety Alignment; Privacy; Security; Robustness; LLMs</x:v>
      </x:c>
      <x:c r="F792" t="str">
        <x:v>English</x:v>
      </x:c>
      <x:c r="G792" t="str">
        <x:v>Responsible Finetuning of Large Language Models</x:v>
      </x:c>
      <x:c r="H792" t="str">
        <x:v>Ling Liu</x:v>
      </x:c>
      <x:c r="I792" t="str">
        <x:v>MLSys</x:v>
      </x:c>
      <x:c r="J792" t="str">
        <x:v>Conference Keynote</x:v>
      </x:c>
      <x:c r="K792" s="148" t="n">
        <x:v>60</x:v>
      </x:c>
      <x:c r="L792" t="str">
        <x:v>https://mlsys.org/virtual/2025/3012</x:v>
      </x:c>
      <x:c r="M792" t="str">
        <x:v>Conference Site</x:v>
      </x:c>
      <x:c r="N792" s="150" t="n">
        <x:v>0</x:v>
      </x:c>
      <x:c r="O792" t="str">
        <x:v>A | Official / Original Creator / Organizer</x:v>
      </x:c>
      <x:c r="P792" t="str">
        <x:v>Core</x:v>
      </x:c>
      <x:c r="Q792" t="str">
        <x:v>Verified</x:v>
      </x:c>
      <x:c r="R792" s="142" t="n">
        <x:v>46249</x:v>
      </x:c>
      <x:c r="S792" t="str">
        <x:v>Added from the official conference recording page after verifying the title, speaker, date, scheduled duration, and public Video section; short demos and lightning talks excluded.</x:v>
      </x:c>
      <x:c r="T792" t="str">
        <x:v>mlsys-2025-3012</x:v>
      </x:c>
      <x:c r="U792" t="str"/>
      <x:c r="V792" s="148"/>
      <x:c r="W792" t="str"/>
    </x:row>
    <x:row r="793">
      <x:c r="A793" t="str">
        <x:v>ST-793</x:v>
      </x:c>
      <x:c r="B793" t="str">
        <x:v>Talk</x:v>
      </x:c>
      <x:c r="C793" t="str">
        <x:v>Vision</x:v>
      </x:c>
      <x:c r="D793" t="str">
        <x:v>Video Understanding / Multimodal Models</x:v>
      </x:c>
      <x:c r="E793" t="str">
        <x:v>VideoLLMs; Temporal Reasoning; Video Benchmarks; Multimodal Models; Evaluation</x:v>
      </x:c>
      <x:c r="F793" t="str">
        <x:v>English</x:v>
      </x:c>
      <x:c r="G793" t="str">
        <x:v>VideoLLMs Are Lost in Time</x:v>
      </x:c>
      <x:c r="H793" t="str">
        <x:v>Cees Snoek</x:v>
      </x:c>
      <x:c r="I793" t="str">
        <x:v>NeurIPS</x:v>
      </x:c>
      <x:c r="J793" t="str">
        <x:v>Workshop Invited Talk</x:v>
      </x:c>
      <x:c r="K793" s="148" t="n">
        <x:v>30</x:v>
      </x:c>
      <x:c r="L793" t="str">
        <x:v>https://neurips.cc/virtual/2025/136232</x:v>
      </x:c>
      <x:c r="M793" t="str">
        <x:v>Conference Site</x:v>
      </x:c>
      <x:c r="N793" s="150" t="n">
        <x:v>0</x:v>
      </x:c>
      <x:c r="O793" t="str">
        <x:v>A | Official / Original Creator / Organizer</x:v>
      </x:c>
      <x:c r="P793" t="str">
        <x:v>Core</x:v>
      </x:c>
      <x:c r="Q793" t="str">
        <x:v>Verified</x:v>
      </x:c>
      <x:c r="R793" s="142" t="n">
        <x:v>46249</x:v>
      </x:c>
      <x:c r="S793" t="str">
        <x:v>Added from the official conference recording page after verifying the title, speaker, date, scheduled duration, and public Video section; short demos and lightning talks excluded.</x:v>
      </x:c>
      <x:c r="T793" t="str">
        <x:v>neurips-2025-136232</x:v>
      </x:c>
      <x:c r="U793" t="str"/>
      <x:c r="V793" s="148"/>
      <x:c r="W793" t="str"/>
    </x:row>
    <x:row r="794">
      <x:c r="A794" t="str">
        <x:v>ST-794</x:v>
      </x:c>
      <x:c r="B794" t="str">
        <x:v>Talk</x:v>
      </x:c>
      <x:c r="C794" t="str">
        <x:v>Vision</x:v>
      </x:c>
      <x:c r="D794" t="str">
        <x:v>3D Vision / World Models</x:v>
      </x:c>
      <x:c r="E794" t="str">
        <x:v>3D World; Generative Models; Video Understanding; Spatial Intelligence; World Models</x:v>
      </x:c>
      <x:c r="F794" t="str">
        <x:v>English</x:v>
      </x:c>
      <x:c r="G794" t="str">
        <x:v>Generating and Understanding the 3D World</x:v>
      </x:c>
      <x:c r="H794" t="str">
        <x:v>Roozbeh Mottaghi</x:v>
      </x:c>
      <x:c r="I794" t="str">
        <x:v>NeurIPS</x:v>
      </x:c>
      <x:c r="J794" t="str">
        <x:v>Workshop Invited Talk</x:v>
      </x:c>
      <x:c r="K794" s="148" t="n">
        <x:v>30</x:v>
      </x:c>
      <x:c r="L794" t="str">
        <x:v>https://neurips.cc/virtual/2025/136233</x:v>
      </x:c>
      <x:c r="M794" t="str">
        <x:v>Conference Site</x:v>
      </x:c>
      <x:c r="N794" s="150" t="n">
        <x:v>0</x:v>
      </x:c>
      <x:c r="O794" t="str">
        <x:v>A | Official / Original Creator / Organizer</x:v>
      </x:c>
      <x:c r="P794" t="str">
        <x:v>Core</x:v>
      </x:c>
      <x:c r="Q794" t="str">
        <x:v>Verified</x:v>
      </x:c>
      <x:c r="R794" s="142" t="n">
        <x:v>46249</x:v>
      </x:c>
      <x:c r="S794" t="str">
        <x:v>Added from the official conference recording page after verifying the title, speaker, date, scheduled duration, and public Video section; short demos and lightning talks excluded.</x:v>
      </x:c>
      <x:c r="T794" t="str">
        <x:v>neurips-2025-136233</x:v>
      </x:c>
      <x:c r="U794" t="str"/>
      <x:c r="V794" s="148"/>
      <x:c r="W794" t="str"/>
    </x:row>
    <x:row r="795">
      <x:c r="A795" t="str">
        <x:v>ST-795</x:v>
      </x:c>
      <x:c r="B795" t="str">
        <x:v>Talk</x:v>
      </x:c>
      <x:c r="C795" t="str">
        <x:v>World Model</x:v>
      </x:c>
      <x:c r="D795" t="str">
        <x:v>World Models / Multimodal Understanding</x:v>
      </x:c>
      <x:c r="E795" t="str">
        <x:v>World Knowledge; Large Models; Multimodal Understanding; Video; Evaluation</x:v>
      </x:c>
      <x:c r="F795" t="str">
        <x:v>English</x:v>
      </x:c>
      <x:c r="G795" t="str">
        <x:v>What Do Large Models Really Know About the World?</x:v>
      </x:c>
      <x:c r="H795" t="str">
        <x:v>Shiry Ginosar</x:v>
      </x:c>
      <x:c r="I795" t="str">
        <x:v>NeurIPS</x:v>
      </x:c>
      <x:c r="J795" t="str">
        <x:v>Workshop Invited Talk</x:v>
      </x:c>
      <x:c r="K795" s="148" t="n">
        <x:v>30</x:v>
      </x:c>
      <x:c r="L795" t="str">
        <x:v>https://neurips.cc/virtual/2025/136235</x:v>
      </x:c>
      <x:c r="M795" t="str">
        <x:v>Conference Site</x:v>
      </x:c>
      <x:c r="N795" s="150" t="n">
        <x:v>0</x:v>
      </x:c>
      <x:c r="O795" t="str">
        <x:v>A | Official / Original Creator / Organizer</x:v>
      </x:c>
      <x:c r="P795" t="str">
        <x:v>Core</x:v>
      </x:c>
      <x:c r="Q795" t="str">
        <x:v>Verified</x:v>
      </x:c>
      <x:c r="R795" s="142" t="n">
        <x:v>46249</x:v>
      </x:c>
      <x:c r="S795" t="str">
        <x:v>Added from the official conference recording page after verifying the title, speaker, date, scheduled duration, and public Video section; short demos and lightning talks excluded.</x:v>
      </x:c>
      <x:c r="T795" t="str">
        <x:v>neurips-2025-136235</x:v>
      </x:c>
      <x:c r="U795" t="str"/>
      <x:c r="V795" s="148"/>
      <x:c r="W795" t="str"/>
    </x:row>
    <x:row r="796">
      <x:c r="A796" t="str">
        <x:v>ST-796</x:v>
      </x:c>
      <x:c r="B796" t="str">
        <x:v>Talk</x:v>
      </x:c>
      <x:c r="C796" t="str">
        <x:v>World Model</x:v>
      </x:c>
      <x:c r="D796" t="str">
        <x:v>Video Generation / World Models</x:v>
      </x:c>
      <x:c r="E796" t="str">
        <x:v>Video Generation; World Models; Simulation; Evaluation; Generative Models</x:v>
      </x:c>
      <x:c r="F796" t="str">
        <x:v>English</x:v>
      </x:c>
      <x:c r="G796" t="str">
        <x:v>From Video Generation to Video World Models</x:v>
      </x:c>
      <x:c r="H796" t="str">
        <x:v>Xun Huang</x:v>
      </x:c>
      <x:c r="I796" t="str">
        <x:v>NeurIPS</x:v>
      </x:c>
      <x:c r="J796" t="str">
        <x:v>Workshop Invited Talk</x:v>
      </x:c>
      <x:c r="K796" s="148" t="n">
        <x:v>35</x:v>
      </x:c>
      <x:c r="L796" t="str">
        <x:v>https://neurips.cc/virtual/2025/131810</x:v>
      </x:c>
      <x:c r="M796" t="str">
        <x:v>Conference Site</x:v>
      </x:c>
      <x:c r="N796" s="150" t="n">
        <x:v>0</x:v>
      </x:c>
      <x:c r="O796" t="str">
        <x:v>A | Official / Original Creator / Organizer</x:v>
      </x:c>
      <x:c r="P796" t="str">
        <x:v>Core</x:v>
      </x:c>
      <x:c r="Q796" t="str">
        <x:v>Verified</x:v>
      </x:c>
      <x:c r="R796" s="142" t="n">
        <x:v>46249</x:v>
      </x:c>
      <x:c r="S796" t="str">
        <x:v>Added from the official conference recording page after verifying the title, speaker, date, scheduled duration, and public Video section; short demos and lightning talks excluded.</x:v>
      </x:c>
      <x:c r="T796" t="str">
        <x:v>neurips-2025-131810</x:v>
      </x:c>
      <x:c r="U796" t="str"/>
      <x:c r="V796" s="148"/>
      <x:c r="W796" t="str"/>
    </x:row>
    <x:row r="797">
      <x:c r="A797" t="str">
        <x:v>ST-797</x:v>
      </x:c>
      <x:c r="B797" t="str">
        <x:v>Talk</x:v>
      </x:c>
      <x:c r="C797" t="str">
        <x:v>Agent</x:v>
      </x:c>
      <x:c r="D797" t="str">
        <x:v>Agents / Multi-Turn Reinforcement Learning</x:v>
      </x:c>
      <x:c r="E797" t="str">
        <x:v>Multi-Turn RL; LLM Agents; Personalization; Reward Hacking; Long-Horizon Interaction</x:v>
      </x:c>
      <x:c r="F797" t="str">
        <x:v>English</x:v>
      </x:c>
      <x:c r="G797" t="str">
        <x:v>Multi-Turn Reinforcement Learning for LLMs: User Curiosity and Adversarially Ensured Realism</x:v>
      </x:c>
      <x:c r="H797" t="str">
        <x:v>Natasha Jaques</x:v>
      </x:c>
      <x:c r="I797" t="str">
        <x:v>NeurIPS</x:v>
      </x:c>
      <x:c r="J797" t="str">
        <x:v>Workshop Invited Talk</x:v>
      </x:c>
      <x:c r="K797" s="148" t="n">
        <x:v>30</x:v>
      </x:c>
      <x:c r="L797" t="str">
        <x:v>https://neurips.cc/virtual/2025/130646</x:v>
      </x:c>
      <x:c r="M797" t="str">
        <x:v>Conference Site</x:v>
      </x:c>
      <x:c r="N797" s="150" t="n">
        <x:v>0</x:v>
      </x:c>
      <x:c r="O797" t="str">
        <x:v>A | Official / Original Creator / Organizer</x:v>
      </x:c>
      <x:c r="P797" t="str">
        <x:v>Core</x:v>
      </x:c>
      <x:c r="Q797" t="str">
        <x:v>Verified</x:v>
      </x:c>
      <x:c r="R797" s="142" t="n">
        <x:v>46249</x:v>
      </x:c>
      <x:c r="S797" t="str">
        <x:v>Added from the official conference recording page after verifying the title, speaker, date, scheduled duration, and public Video section; short demos and lightning talks excluded.</x:v>
      </x:c>
      <x:c r="T797" t="str">
        <x:v>neurips-2025-130646</x:v>
      </x:c>
      <x:c r="U797" t="str"/>
      <x:c r="V797" s="148"/>
      <x:c r="W797" t="str"/>
    </x:row>
    <x:row r="798">
      <x:c r="A798" t="str">
        <x:v>ST-798</x:v>
      </x:c>
      <x:c r="B798" t="str">
        <x:v>Talk</x:v>
      </x:c>
      <x:c r="C798" t="str">
        <x:v>Other</x:v>
      </x:c>
      <x:c r="D798" t="str">
        <x:v>Interpretability / Robustness / Representation Geometry</x:v>
      </x:c>
      <x:c r="E798" t="str">
        <x:v>Interpretability; Robustness; Neural Representations; Geometry; High-Dimensional Learning</x:v>
      </x:c>
      <x:c r="F798" t="str">
        <x:v>English</x:v>
      </x:c>
      <x:c r="G798" t="str">
        <x:v>New Mathematical Approaches to Interpretability and Robustness of Neural Representations</x:v>
      </x:c>
      <x:c r="H798" t="str">
        <x:v>Surya Ganguli</x:v>
      </x:c>
      <x:c r="I798" t="str">
        <x:v>NeurIPS</x:v>
      </x:c>
      <x:c r="J798" t="str">
        <x:v>Workshop Invited Talk</x:v>
      </x:c>
      <x:c r="K798" s="148" t="n">
        <x:v>30</x:v>
      </x:c>
      <x:c r="L798" t="str">
        <x:v>https://neurips.cc/virtual/2025/136287</x:v>
      </x:c>
      <x:c r="M798" t="str">
        <x:v>Conference Site</x:v>
      </x:c>
      <x:c r="N798" s="150" t="n">
        <x:v>0</x:v>
      </x:c>
      <x:c r="O798" t="str">
        <x:v>A | Official / Original Creator / Organizer</x:v>
      </x:c>
      <x:c r="P798" t="str">
        <x:v>Core</x:v>
      </x:c>
      <x:c r="Q798" t="str">
        <x:v>Verified</x:v>
      </x:c>
      <x:c r="R798" s="142" t="n">
        <x:v>46249</x:v>
      </x:c>
      <x:c r="S798" t="str">
        <x:v>Added from the official conference recording page after verifying the title, speaker, date, scheduled duration, and public Video section; short demos and lightning talks excluded.</x:v>
      </x:c>
      <x:c r="T798" t="str">
        <x:v>neurips-2025-136287</x:v>
      </x:c>
      <x:c r="U798" t="str"/>
      <x:c r="V798" s="148"/>
      <x:c r="W798" t="str"/>
    </x:row>
    <x:row r="799">
      <x:c r="A799" t="str">
        <x:v>ST-799</x:v>
      </x:c>
      <x:c r="B799" t="str">
        <x:v>Talk</x:v>
      </x:c>
      <x:c r="C799" t="str">
        <x:v>Other</x:v>
      </x:c>
      <x:c r="D799" t="str">
        <x:v>AI Safety / Alignment / Oversight</x:v>
      </x:c>
      <x:c r="E799" t="str">
        <x:v>AI Safety; Robustness; Adversarial Machine Learning; Reliable AI; Foundation Models</x:v>
      </x:c>
      <x:c r="F799" t="str">
        <x:v>English</x:v>
      </x:c>
      <x:c r="G799" t="str">
        <x:v>Building Safe and Robust AI Systems</x:v>
      </x:c>
      <x:c r="H799" t="str">
        <x:v>Zico Kolter</x:v>
      </x:c>
      <x:c r="I799" t="str">
        <x:v>ICLR</x:v>
      </x:c>
      <x:c r="J799" t="str">
        <x:v>Conference Keynote</x:v>
      </x:c>
      <x:c r="K799" s="148" t="n">
        <x:v>60</x:v>
      </x:c>
      <x:c r="L799" t="str">
        <x:v>https://iclr.cc/virtual/2025/invited-talk/36782</x:v>
      </x:c>
      <x:c r="M799" t="str">
        <x:v>Conference Site</x:v>
      </x:c>
      <x:c r="N799" s="150" t="n">
        <x:v>0</x:v>
      </x:c>
      <x:c r="O799" t="str">
        <x:v>A | Official / Original Creator / Organizer</x:v>
      </x:c>
      <x:c r="P799" t="str">
        <x:v>Core</x:v>
      </x:c>
      <x:c r="Q799" t="str">
        <x:v>Verified</x:v>
      </x:c>
      <x:c r="R799" s="142" t="n">
        <x:v>46249</x:v>
      </x:c>
      <x:c r="S79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799" t="str">
        <x:v>iclr-2025-36782</x:v>
      </x:c>
      <x:c r="U799" t="str"/>
      <x:c r="V799" s="148"/>
      <x:c r="W799" t="str"/>
    </x:row>
    <x:row r="800">
      <x:c r="A800" t="str">
        <x:v>ST-800</x:v>
      </x:c>
      <x:c r="B800" t="str">
        <x:v>Talk</x:v>
      </x:c>
      <x:c r="C800" t="str">
        <x:v>Other</x:v>
      </x:c>
      <x:c r="D800" t="str">
        <x:v>Machine Learning Foundations</x:v>
      </x:c>
      <x:c r="E800" t="str">
        <x:v>Artificial Intelligence; Cognitive Architecture; Prototypes; Benchmarks; Machine Learning Foundations</x:v>
      </x:c>
      <x:c r="F800" t="str">
        <x:v>English</x:v>
      </x:c>
      <x:c r="G800" t="str">
        <x:v>Framework, Prototype, Definition and Benchmark</x:v>
      </x:c>
      <x:c r="H800" t="str">
        <x:v>Song-Chun Zhu</x:v>
      </x:c>
      <x:c r="I800" t="str">
        <x:v>ICLR</x:v>
      </x:c>
      <x:c r="J800" t="str">
        <x:v>Conference Keynote</x:v>
      </x:c>
      <x:c r="K800" s="148" t="n">
        <x:v>60</x:v>
      </x:c>
      <x:c r="L800" t="str">
        <x:v>https://iclr.cc/virtual/2025/invited-talk/36781</x:v>
      </x:c>
      <x:c r="M800" t="str">
        <x:v>Conference Site</x:v>
      </x:c>
      <x:c r="N800" s="150" t="n">
        <x:v>0</x:v>
      </x:c>
      <x:c r="O800" t="str">
        <x:v>A | Official / Original Creator / Organizer</x:v>
      </x:c>
      <x:c r="P800" t="str">
        <x:v>Core</x:v>
      </x:c>
      <x:c r="Q800" t="str">
        <x:v>Verified</x:v>
      </x:c>
      <x:c r="R800" s="142" t="n">
        <x:v>46249</x:v>
      </x:c>
      <x:c r="S80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0" t="str">
        <x:v>iclr-2025-36781</x:v>
      </x:c>
      <x:c r="U800" t="str"/>
      <x:c r="V800" s="148"/>
      <x:c r="W800" t="str"/>
    </x:row>
    <x:row r="801">
      <x:c r="A801" t="str">
        <x:v>ST-801</x:v>
      </x:c>
      <x:c r="B801" t="str">
        <x:v>Talk</x:v>
      </x:c>
      <x:c r="C801" t="str">
        <x:v>Other</x:v>
      </x:c>
      <x:c r="D801" t="str">
        <x:v>Machine Learning Foundations</x:v>
      </x:c>
      <x:c r="E801" t="str">
        <x:v>Intelligence; Representation Learning; Learning Theory; Machine Learning Foundations; AI Research</x:v>
      </x:c>
      <x:c r="F801" t="str">
        <x:v>English</x:v>
      </x:c>
      <x:c r="G801" t="str">
        <x:v>Pursuing the Nature of Intelligence</x:v>
      </x:c>
      <x:c r="H801" t="str">
        <x:v>Yi Ma</x:v>
      </x:c>
      <x:c r="I801" t="str">
        <x:v>ICLR</x:v>
      </x:c>
      <x:c r="J801" t="str">
        <x:v>Conference Keynote</x:v>
      </x:c>
      <x:c r="K801" s="148" t="n">
        <x:v>60</x:v>
      </x:c>
      <x:c r="L801" t="str">
        <x:v>https://iclr.cc/virtual/2025/invited-talk/36785</x:v>
      </x:c>
      <x:c r="M801" t="str">
        <x:v>Conference Site</x:v>
      </x:c>
      <x:c r="N801" s="150" t="n">
        <x:v>0</x:v>
      </x:c>
      <x:c r="O801" t="str">
        <x:v>A | Official / Original Creator / Organizer</x:v>
      </x:c>
      <x:c r="P801" t="str">
        <x:v>Core</x:v>
      </x:c>
      <x:c r="Q801" t="str">
        <x:v>Verified</x:v>
      </x:c>
      <x:c r="R801" s="142" t="n">
        <x:v>46249</x:v>
      </x:c>
      <x:c r="S80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1" t="str">
        <x:v>iclr-2025-36785</x:v>
      </x:c>
      <x:c r="U801" t="str"/>
      <x:c r="V801" s="148"/>
      <x:c r="W801" t="str"/>
    </x:row>
    <x:row r="802">
      <x:c r="A802" t="str">
        <x:v>ST-802</x:v>
      </x:c>
      <x:c r="B802" t="str">
        <x:v>Talk</x:v>
      </x:c>
      <x:c r="C802" t="str">
        <x:v>Other</x:v>
      </x:c>
      <x:c r="D802" t="str">
        <x:v>AI Privacy / Security / Law</x:v>
      </x:c>
      <x:c r="E802" t="str">
        <x:v>AI Safety; AI Security; Privacy; Foundation Models; Trustworthy AI</x:v>
      </x:c>
      <x:c r="F802" t="str">
        <x:v>English</x:v>
      </x:c>
      <x:c r="G802" t="str">
        <x:v>Towards Building Safe and Secure AI: Lessons and Open Challenges</x:v>
      </x:c>
      <x:c r="H802" t="str">
        <x:v>Dawn Song</x:v>
      </x:c>
      <x:c r="I802" t="str">
        <x:v>ICLR</x:v>
      </x:c>
      <x:c r="J802" t="str">
        <x:v>Conference Keynote</x:v>
      </x:c>
      <x:c r="K802" s="148" t="n">
        <x:v>60</x:v>
      </x:c>
      <x:c r="L802" t="str">
        <x:v>https://iclr.cc/virtual/2025/invited-talk/36783</x:v>
      </x:c>
      <x:c r="M802" t="str">
        <x:v>Conference Site</x:v>
      </x:c>
      <x:c r="N802" s="150" t="n">
        <x:v>0</x:v>
      </x:c>
      <x:c r="O802" t="str">
        <x:v>A | Official / Original Creator / Organizer</x:v>
      </x:c>
      <x:c r="P802" t="str">
        <x:v>Core</x:v>
      </x:c>
      <x:c r="Q802" t="str">
        <x:v>Verified</x:v>
      </x:c>
      <x:c r="R802" s="142" t="n">
        <x:v>46249</x:v>
      </x:c>
      <x:c r="S80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2" t="str">
        <x:v>iclr-2025-36783</x:v>
      </x:c>
      <x:c r="U802" t="str"/>
      <x:c r="V802" s="148"/>
      <x:c r="W802" t="str"/>
    </x:row>
    <x:row r="803">
      <x:c r="A803" t="str">
        <x:v>ST-803</x:v>
      </x:c>
      <x:c r="B803" t="str">
        <x:v>Talk</x:v>
      </x:c>
      <x:c r="C803" t="str">
        <x:v>Other</x:v>
      </x:c>
      <x:c r="D803" t="str">
        <x:v>Natural Language Processing</x:v>
      </x:c>
      <x:c r="E803" t="str">
        <x:v>Language Models; Academic Research; Model Training; Open Science; Natural Language Processing</x:v>
      </x:c>
      <x:c r="F803" t="str">
        <x:v>English</x:v>
      </x:c>
      <x:c r="G803" t="str">
        <x:v>Training Language Models in Academia: Challenge or Calling?</x:v>
      </x:c>
      <x:c r="H803" t="str">
        <x:v>Danqi Chen</x:v>
      </x:c>
      <x:c r="I803" t="str">
        <x:v>ICLR</x:v>
      </x:c>
      <x:c r="J803" t="str">
        <x:v>Conference Keynote</x:v>
      </x:c>
      <x:c r="K803" s="148" t="n">
        <x:v>60</x:v>
      </x:c>
      <x:c r="L803" t="str">
        <x:v>https://iclr.cc/virtual/2025/invited-talk/36784</x:v>
      </x:c>
      <x:c r="M803" t="str">
        <x:v>Conference Site</x:v>
      </x:c>
      <x:c r="N803" s="150" t="n">
        <x:v>0</x:v>
      </x:c>
      <x:c r="O803" t="str">
        <x:v>A | Official / Original Creator / Organizer</x:v>
      </x:c>
      <x:c r="P803" t="str">
        <x:v>Core</x:v>
      </x:c>
      <x:c r="Q803" t="str">
        <x:v>Verified</x:v>
      </x:c>
      <x:c r="R803" s="142" t="n">
        <x:v>46249</x:v>
      </x:c>
      <x:c r="S80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3" t="str">
        <x:v>iclr-2025-36784</x:v>
      </x:c>
      <x:c r="U803" t="str"/>
      <x:c r="V803" s="148"/>
      <x:c r="W803" t="str"/>
    </x:row>
    <x:row r="804">
      <x:c r="A804" t="str">
        <x:v>ST-804</x:v>
      </x:c>
      <x:c r="B804" t="str">
        <x:v>Talk</x:v>
      </x:c>
      <x:c r="C804" t="str">
        <x:v>World Model</x:v>
      </x:c>
      <x:c r="D804" t="str">
        <x:v>World Models / Predictive Intelligence</x:v>
      </x:c>
      <x:c r="E804" t="str">
        <x:v>Open-Endedness; World Models; Foundation Models; AI Agents; Automated Innovation</x:v>
      </x:c>
      <x:c r="F804" t="str">
        <x:v>English</x:v>
      </x:c>
      <x:c r="G804" t="str">
        <x:v>Open-Endedness, World Models, and the Automation of Innovation</x:v>
      </x:c>
      <x:c r="H804" t="str">
        <x:v>Tim Rocktäschel</x:v>
      </x:c>
      <x:c r="I804" t="str">
        <x:v>ICLR</x:v>
      </x:c>
      <x:c r="J804" t="str">
        <x:v>Conference Keynote</x:v>
      </x:c>
      <x:c r="K804" s="148" t="n">
        <x:v>60</x:v>
      </x:c>
      <x:c r="L804" t="str">
        <x:v>https://iclr.cc/virtual/2025/invited-talk/36780</x:v>
      </x:c>
      <x:c r="M804" t="str">
        <x:v>Conference Site</x:v>
      </x:c>
      <x:c r="N804" s="150" t="n">
        <x:v>0</x:v>
      </x:c>
      <x:c r="O804" t="str">
        <x:v>A | Official / Original Creator / Organizer</x:v>
      </x:c>
      <x:c r="P804" t="str">
        <x:v>Core</x:v>
      </x:c>
      <x:c r="Q804" t="str">
        <x:v>Verified</x:v>
      </x:c>
      <x:c r="R804" s="142" t="n">
        <x:v>46249</x:v>
      </x:c>
      <x:c r="S80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4" t="str">
        <x:v>iclr-2025-36780</x:v>
      </x:c>
      <x:c r="U804" t="str"/>
      <x:c r="V804" s="148"/>
      <x:c r="W804" t="str"/>
    </x:row>
    <x:row r="805">
      <x:c r="A805" t="str">
        <x:v>ST-805</x:v>
      </x:c>
      <x:c r="B805" t="str">
        <x:v>Talk</x:v>
      </x:c>
      <x:c r="C805" t="str">
        <x:v>Other</x:v>
      </x:c>
      <x:c r="D805" t="str">
        <x:v>AI and Society</x:v>
      </x:c>
      <x:c r="E805" t="str">
        <x:v>AI Models; Human Decision-Making; Social Systems; Prediction; Societal Impact</x:v>
      </x:c>
      <x:c r="F805" t="str">
        <x:v>English</x:v>
      </x:c>
      <x:c r="G805" t="str">
        <x:v>AI's Models of the World, and Ours</x:v>
      </x:c>
      <x:c r="H805" t="str">
        <x:v>Jon Kleinberg</x:v>
      </x:c>
      <x:c r="I805" t="str">
        <x:v>ICML</x:v>
      </x:c>
      <x:c r="J805" t="str">
        <x:v>Conference Keynote</x:v>
      </x:c>
      <x:c r="K805" s="148" t="n">
        <x:v>60</x:v>
      </x:c>
      <x:c r="L805" t="str">
        <x:v>https://icml.cc/virtual/2025/invited-talk/39862</x:v>
      </x:c>
      <x:c r="M805" t="str">
        <x:v>Conference Site</x:v>
      </x:c>
      <x:c r="N805" s="150" t="n">
        <x:v>0</x:v>
      </x:c>
      <x:c r="O805" t="str">
        <x:v>A | Official / Original Creator / Organizer</x:v>
      </x:c>
      <x:c r="P805" t="str">
        <x:v>Core</x:v>
      </x:c>
      <x:c r="Q805" t="str">
        <x:v>Verified</x:v>
      </x:c>
      <x:c r="R805" s="142" t="n">
        <x:v>46249</x:v>
      </x:c>
      <x:c r="S80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5" t="str">
        <x:v>icml-2025-39862</x:v>
      </x:c>
      <x:c r="U805" t="str"/>
      <x:c r="V805" s="148"/>
      <x:c r="W805" t="str"/>
    </x:row>
    <x:row r="806">
      <x:c r="A806" t="str">
        <x:v>ST-806</x:v>
      </x:c>
      <x:c r="B806" t="str">
        <x:v>Talk</x:v>
      </x:c>
      <x:c r="C806" t="str">
        <x:v>Other</x:v>
      </x:c>
      <x:c r="D806" t="str">
        <x:v>AI Privacy / Security / Law</x:v>
      </x:c>
      <x:c r="E806" t="str">
        <x:v>Generative AI; Copyright; Law; Training Data; AI Policy</x:v>
      </x:c>
      <x:c r="F806" t="str">
        <x:v>English</x:v>
      </x:c>
      <x:c r="G806" t="str">
        <x:v>Generative AI's Collision with Copyright Law</x:v>
      </x:c>
      <x:c r="H806" t="str">
        <x:v>Pamela Samuelson</x:v>
      </x:c>
      <x:c r="I806" t="str">
        <x:v>ICML</x:v>
      </x:c>
      <x:c r="J806" t="str">
        <x:v>Conference Keynote</x:v>
      </x:c>
      <x:c r="K806" s="148" t="n">
        <x:v>60</x:v>
      </x:c>
      <x:c r="L806" t="str">
        <x:v>https://icml.cc/virtual/2025/invited-talk/39865</x:v>
      </x:c>
      <x:c r="M806" t="str">
        <x:v>Conference Site</x:v>
      </x:c>
      <x:c r="N806" s="150" t="n">
        <x:v>0</x:v>
      </x:c>
      <x:c r="O806" t="str">
        <x:v>A | Official / Original Creator / Organizer</x:v>
      </x:c>
      <x:c r="P806" t="str">
        <x:v>Recommended</x:v>
      </x:c>
      <x:c r="Q806" t="str">
        <x:v>Verified</x:v>
      </x:c>
      <x:c r="R806" s="142" t="n">
        <x:v>46249</x:v>
      </x:c>
      <x:c r="S80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6" t="str">
        <x:v>icml-2025-39865</x:v>
      </x:c>
      <x:c r="U806" t="str"/>
      <x:c r="V806" s="148"/>
      <x:c r="W806" t="str"/>
    </x:row>
    <x:row r="807">
      <x:c r="A807" t="str">
        <x:v>ST-807</x:v>
      </x:c>
      <x:c r="B807" t="str">
        <x:v>Talk</x:v>
      </x:c>
      <x:c r="C807" t="str">
        <x:v>Agent</x:v>
      </x:c>
      <x:c r="D807" t="str">
        <x:v>AI Safety / Alignment / Oversight</x:v>
      </x:c>
      <x:c r="E807" t="str">
        <x:v>Adaptive Alignment; Human Feedback; Social Systems; Evaluation; AI Governance</x:v>
      </x:c>
      <x:c r="F807" t="str">
        <x:v>English</x:v>
      </x:c>
      <x:c r="G807" t="str">
        <x:v>Adaptive Alignment: Designing AI for a Changing World</x:v>
      </x:c>
      <x:c r="H807" t="str">
        <x:v>Frauke Kreuter</x:v>
      </x:c>
      <x:c r="I807" t="str">
        <x:v>ICML</x:v>
      </x:c>
      <x:c r="J807" t="str">
        <x:v>Conference Keynote</x:v>
      </x:c>
      <x:c r="K807" s="148" t="n">
        <x:v>60</x:v>
      </x:c>
      <x:c r="L807" t="str">
        <x:v>https://icml.cc/virtual/2025/invited-talk/39871</x:v>
      </x:c>
      <x:c r="M807" t="str">
        <x:v>Conference Site</x:v>
      </x:c>
      <x:c r="N807" s="150" t="n">
        <x:v>0</x:v>
      </x:c>
      <x:c r="O807" t="str">
        <x:v>A | Official / Original Creator / Organizer</x:v>
      </x:c>
      <x:c r="P807" t="str">
        <x:v>Core</x:v>
      </x:c>
      <x:c r="Q807" t="str">
        <x:v>Verified</x:v>
      </x:c>
      <x:c r="R807" s="142" t="n">
        <x:v>46249</x:v>
      </x:c>
      <x:c r="S80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7" t="str">
        <x:v>icml-2025-39871</x:v>
      </x:c>
      <x:c r="U807" t="str"/>
      <x:c r="V807" s="148"/>
      <x:c r="W807" t="str"/>
    </x:row>
    <x:row r="808">
      <x:c r="A808" t="str">
        <x:v>ST-808</x:v>
      </x:c>
      <x:c r="B808" t="str">
        <x:v>Talk</x:v>
      </x:c>
      <x:c r="C808" t="str">
        <x:v>Robotics</x:v>
      </x:c>
      <x:c r="D808" t="str">
        <x:v>Robotics / Embodied AI</x:v>
      </x:c>
      <x:c r="E808" t="str">
        <x:v>Robotics; Optimization; Human-Robot Interaction; AI Alignment; Frontier AI</x:v>
      </x:c>
      <x:c r="F808" t="str">
        <x:v>English</x:v>
      </x:c>
      <x:c r="G808" t="str">
        <x:v>What to Optimize For — From Robot Arms to Frontier AI</x:v>
      </x:c>
      <x:c r="H808" t="str">
        <x:v>Anca Dragan</x:v>
      </x:c>
      <x:c r="I808" t="str">
        <x:v>ICML</x:v>
      </x:c>
      <x:c r="J808" t="str">
        <x:v>Conference Keynote</x:v>
      </x:c>
      <x:c r="K808" s="148" t="n">
        <x:v>60</x:v>
      </x:c>
      <x:c r="L808" t="str">
        <x:v>https://icml.cc/virtual/2025/invited-talk/39874</x:v>
      </x:c>
      <x:c r="M808" t="str">
        <x:v>Conference Site</x:v>
      </x:c>
      <x:c r="N808" s="150" t="n">
        <x:v>0</x:v>
      </x:c>
      <x:c r="O808" t="str">
        <x:v>A | Official / Original Creator / Organizer</x:v>
      </x:c>
      <x:c r="P808" t="str">
        <x:v>Core</x:v>
      </x:c>
      <x:c r="Q808" t="str">
        <x:v>Verified</x:v>
      </x:c>
      <x:c r="R808" s="142" t="n">
        <x:v>46249</x:v>
      </x:c>
      <x:c r="S80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8" t="str">
        <x:v>icml-2025-39874</x:v>
      </x:c>
      <x:c r="U808" t="str"/>
      <x:c r="V808" s="148"/>
      <x:c r="W808" t="str"/>
    </x:row>
    <x:row r="809">
      <x:c r="A809" t="str">
        <x:v>ST-809</x:v>
      </x:c>
      <x:c r="B809" t="str">
        <x:v>Talk</x:v>
      </x:c>
      <x:c r="C809" t="str">
        <x:v>Other</x:v>
      </x:c>
      <x:c r="D809" t="str">
        <x:v>AI for Science</x:v>
      </x:c>
      <x:c r="E809" t="str">
        <x:v>Machine Learning; Optimization; Scientific Discovery; Active Learning; Experimental Design</x:v>
      </x:c>
      <x:c r="F809" t="str">
        <x:v>English</x:v>
      </x:c>
      <x:c r="G809" t="str">
        <x:v>Closing the Loop: Machine Learning for Optimization and Discovery</x:v>
      </x:c>
      <x:c r="H809" t="str">
        <x:v>Andreas Krause</x:v>
      </x:c>
      <x:c r="I809" t="str">
        <x:v>ICML</x:v>
      </x:c>
      <x:c r="J809" t="str">
        <x:v>Conference Keynote</x:v>
      </x:c>
      <x:c r="K809" s="148" t="n">
        <x:v>60</x:v>
      </x:c>
      <x:c r="L809" t="str">
        <x:v>https://icml.cc/virtual/2025/invited-talk/39878</x:v>
      </x:c>
      <x:c r="M809" t="str">
        <x:v>Conference Site</x:v>
      </x:c>
      <x:c r="N809" s="150" t="n">
        <x:v>0</x:v>
      </x:c>
      <x:c r="O809" t="str">
        <x:v>A | Official / Original Creator / Organizer</x:v>
      </x:c>
      <x:c r="P809" t="str">
        <x:v>Core</x:v>
      </x:c>
      <x:c r="Q809" t="str">
        <x:v>Verified</x:v>
      </x:c>
      <x:c r="R809" s="142" t="n">
        <x:v>46249</x:v>
      </x:c>
      <x:c r="S80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09" t="str">
        <x:v>icml-2025-39878</x:v>
      </x:c>
      <x:c r="U809" t="str"/>
      <x:c r="V809" s="148"/>
      <x:c r="W809" t="str"/>
    </x:row>
    <x:row r="810">
      <x:c r="A810" t="str">
        <x:v>ST-810</x:v>
      </x:c>
      <x:c r="B810" t="str">
        <x:v>Talk</x:v>
      </x:c>
      <x:c r="C810" t="str">
        <x:v>Other</x:v>
      </x:c>
      <x:c r="D810" t="str">
        <x:v>AI Evaluation / Cognitive Science</x:v>
      </x:c>
      <x:c r="E810" t="str">
        <x:v>Cognitive Science; Child Learning; Artificial Intelligence; Causal Learning; Human Development</x:v>
      </x:c>
      <x:c r="F810" t="str">
        <x:v>English</x:v>
      </x:c>
      <x:c r="G810" t="str">
        <x:v>The Golem vs. Stone Soup: Understanding How Children Learn Can Help Us Understand and Improve AI</x:v>
      </x:c>
      <x:c r="H810" t="str">
        <x:v>Alison Gopnik</x:v>
      </x:c>
      <x:c r="I810" t="str">
        <x:v>NeurIPS</x:v>
      </x:c>
      <x:c r="J810" t="str">
        <x:v>Conference Keynote</x:v>
      </x:c>
      <x:c r="K810" s="148" t="n">
        <x:v>45</x:v>
      </x:c>
      <x:c r="L810" t="str">
        <x:v>https://neurips.cc/virtual/2024/invited-talk/101128</x:v>
      </x:c>
      <x:c r="M810" t="str">
        <x:v>Conference Site</x:v>
      </x:c>
      <x:c r="N810" s="150" t="n">
        <x:v>0</x:v>
      </x:c>
      <x:c r="O810" t="str">
        <x:v>A | Official / Original Creator / Organizer</x:v>
      </x:c>
      <x:c r="P810" t="str">
        <x:v>Core</x:v>
      </x:c>
      <x:c r="Q810" t="str">
        <x:v>Verified</x:v>
      </x:c>
      <x:c r="R810" s="142" t="n">
        <x:v>46249</x:v>
      </x:c>
      <x:c r="S81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0" t="str">
        <x:v>neurips-2024-101128</x:v>
      </x:c>
      <x:c r="U810" t="str"/>
      <x:c r="V810" s="148"/>
      <x:c r="W810" t="str"/>
    </x:row>
    <x:row r="811">
      <x:c r="A811" t="str">
        <x:v>ST-811</x:v>
      </x:c>
      <x:c r="B811" t="str">
        <x:v>Talk</x:v>
      </x:c>
      <x:c r="C811" t="str">
        <x:v>Other</x:v>
      </x:c>
      <x:c r="D811" t="str">
        <x:v>Machine Learning Frontiers</x:v>
      </x:c>
      <x:c r="E811" t="str">
        <x:v>Industrial AI; Deep Learning; Foundation Models; Machine Learning; AI Systems</x:v>
      </x:c>
      <x:c r="F811" t="str">
        <x:v>English</x:v>
      </x:c>
      <x:c r="G811" t="str">
        <x:v>Toward Industrial Artificial Intelligence</x:v>
      </x:c>
      <x:c r="H811" t="str">
        <x:v>Sepp Hochreiter</x:v>
      </x:c>
      <x:c r="I811" t="str">
        <x:v>NeurIPS</x:v>
      </x:c>
      <x:c r="J811" t="str">
        <x:v>Conference Keynote</x:v>
      </x:c>
      <x:c r="K811" s="148" t="n">
        <x:v>60</x:v>
      </x:c>
      <x:c r="L811" t="str">
        <x:v>https://neurips.cc/virtual/2024/invited-talk/101129</x:v>
      </x:c>
      <x:c r="M811" t="str">
        <x:v>Conference Site</x:v>
      </x:c>
      <x:c r="N811" s="150" t="n">
        <x:v>0</x:v>
      </x:c>
      <x:c r="O811" t="str">
        <x:v>A | Official / Original Creator / Organizer</x:v>
      </x:c>
      <x:c r="P811" t="str">
        <x:v>Core</x:v>
      </x:c>
      <x:c r="Q811" t="str">
        <x:v>Verified</x:v>
      </x:c>
      <x:c r="R811" s="142" t="n">
        <x:v>46249</x:v>
      </x:c>
      <x:c r="S81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1" t="str">
        <x:v>neurips-2024-101129</x:v>
      </x:c>
      <x:c r="U811" t="str"/>
      <x:c r="V811" s="148"/>
      <x:c r="W811" t="str"/>
    </x:row>
    <x:row r="812">
      <x:c r="A812" t="str">
        <x:v>ST-812</x:v>
      </x:c>
      <x:c r="B812" t="str">
        <x:v>Talk</x:v>
      </x:c>
      <x:c r="C812" t="str">
        <x:v>Vision</x:v>
      </x:c>
      <x:c r="D812" t="str">
        <x:v>Computer Vision / 3D Vision</x:v>
      </x:c>
      <x:c r="E812" t="str">
        <x:v>Visual Intelligence; Spatial Intelligence; Computer Vision; Robotics; Embodied AI</x:v>
      </x:c>
      <x:c r="F812" t="str">
        <x:v>English</x:v>
      </x:c>
      <x:c r="G812" t="str">
        <x:v>From Seeing to Doing: Ascending the Ladder of Visual Intelligence</x:v>
      </x:c>
      <x:c r="H812" t="str">
        <x:v>Fei-Fei Li</x:v>
      </x:c>
      <x:c r="I812" t="str">
        <x:v>NeurIPS</x:v>
      </x:c>
      <x:c r="J812" t="str">
        <x:v>Conference Keynote</x:v>
      </x:c>
      <x:c r="K812" s="148" t="n">
        <x:v>60</x:v>
      </x:c>
      <x:c r="L812" t="str">
        <x:v>https://neurips.cc/virtual/2024/invited-talk/101127</x:v>
      </x:c>
      <x:c r="M812" t="str">
        <x:v>Conference Site</x:v>
      </x:c>
      <x:c r="N812" s="150" t="n">
        <x:v>0</x:v>
      </x:c>
      <x:c r="O812" t="str">
        <x:v>A | Official / Original Creator / Organizer</x:v>
      </x:c>
      <x:c r="P812" t="str">
        <x:v>Core</x:v>
      </x:c>
      <x:c r="Q812" t="str">
        <x:v>Verified</x:v>
      </x:c>
      <x:c r="R812" s="142" t="n">
        <x:v>46249</x:v>
      </x:c>
      <x:c r="S81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2" t="str">
        <x:v>neurips-2024-101127</x:v>
      </x:c>
      <x:c r="U812" t="str"/>
      <x:c r="V812" s="148"/>
      <x:c r="W812" t="str"/>
    </x:row>
    <x:row r="813">
      <x:c r="A813" t="str">
        <x:v>ST-813</x:v>
      </x:c>
      <x:c r="B813" t="str">
        <x:v>Talk</x:v>
      </x:c>
      <x:c r="C813" t="str">
        <x:v>Other</x:v>
      </x:c>
      <x:c r="D813" t="str">
        <x:v>AI Systems / Infrastructure</x:v>
      </x:c>
      <x:c r="E813" t="str">
        <x:v>AI Systems; Distributed Systems; Hardware; Model Training; Inference</x:v>
      </x:c>
      <x:c r="F813" t="str">
        <x:v>English</x:v>
      </x:c>
      <x:c r="G813" t="str">
        <x:v>A Match Made in Silicon: The Co-Evolution of Systems and AI</x:v>
      </x:c>
      <x:c r="H813" t="str">
        <x:v>Lidong Zhou</x:v>
      </x:c>
      <x:c r="I813" t="str">
        <x:v>NeurIPS</x:v>
      </x:c>
      <x:c r="J813" t="str">
        <x:v>Conference Keynote</x:v>
      </x:c>
      <x:c r="K813" s="148" t="n">
        <x:v>60</x:v>
      </x:c>
      <x:c r="L813" t="str">
        <x:v>https://neurips.cc/virtual/2024/invited-talk/101132</x:v>
      </x:c>
      <x:c r="M813" t="str">
        <x:v>Conference Site</x:v>
      </x:c>
      <x:c r="N813" s="150" t="n">
        <x:v>0</x:v>
      </x:c>
      <x:c r="O813" t="str">
        <x:v>A | Official / Original Creator / Organizer</x:v>
      </x:c>
      <x:c r="P813" t="str">
        <x:v>Core</x:v>
      </x:c>
      <x:c r="Q813" t="str">
        <x:v>Verified</x:v>
      </x:c>
      <x:c r="R813" s="142" t="n">
        <x:v>46249</x:v>
      </x:c>
      <x:c r="S81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3" t="str">
        <x:v>neurips-2024-101132</x:v>
      </x:c>
      <x:c r="U813" t="str"/>
      <x:c r="V813" s="148"/>
      <x:c r="W813" t="str"/>
    </x:row>
    <x:row r="814">
      <x:c r="A814" t="str">
        <x:v>ST-814</x:v>
      </x:c>
      <x:c r="B814" t="str">
        <x:v>Talk</x:v>
      </x:c>
      <x:c r="C814" t="str">
        <x:v>Other</x:v>
      </x:c>
      <x:c r="D814" t="str">
        <x:v>Diffusion Models / Generative AI</x:v>
      </x:c>
      <x:c r="E814" t="str">
        <x:v>Diffusion Models; Schrödinger Bridges; Generative Modeling; Optimal Transport; Sampling</x:v>
      </x:c>
      <x:c r="F814" t="str">
        <x:v>English</x:v>
      </x:c>
      <x:c r="G814" t="str">
        <x:v>From Diffusion Models to Schrödinger Bridges</x:v>
      </x:c>
      <x:c r="H814" t="str">
        <x:v>Arnaud Doucet</x:v>
      </x:c>
      <x:c r="I814" t="str">
        <x:v>NeurIPS</x:v>
      </x:c>
      <x:c r="J814" t="str">
        <x:v>Conference Keynote</x:v>
      </x:c>
      <x:c r="K814" s="148" t="n">
        <x:v>60</x:v>
      </x:c>
      <x:c r="L814" t="str">
        <x:v>https://neurips.cc/virtual/2024/invited-talk/101133</x:v>
      </x:c>
      <x:c r="M814" t="str">
        <x:v>Conference Site</x:v>
      </x:c>
      <x:c r="N814" s="150" t="n">
        <x:v>0</x:v>
      </x:c>
      <x:c r="O814" t="str">
        <x:v>A | Official / Original Creator / Organizer</x:v>
      </x:c>
      <x:c r="P814" t="str">
        <x:v>Core</x:v>
      </x:c>
      <x:c r="Q814" t="str">
        <x:v>Verified</x:v>
      </x:c>
      <x:c r="R814" s="142" t="n">
        <x:v>46249</x:v>
      </x:c>
      <x:c r="S81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4" t="str">
        <x:v>neurips-2024-101133</x:v>
      </x:c>
      <x:c r="U814" t="str"/>
      <x:c r="V814" s="148"/>
      <x:c r="W814" t="str"/>
    </x:row>
    <x:row r="815">
      <x:c r="A815" t="str">
        <x:v>ST-815</x:v>
      </x:c>
      <x:c r="B815" t="str">
        <x:v>Talk</x:v>
      </x:c>
      <x:c r="C815" t="str">
        <x:v>Robotics</x:v>
      </x:c>
      <x:c r="D815" t="str">
        <x:v>Robotics / Embodied AI</x:v>
      </x:c>
      <x:c r="E815" t="str">
        <x:v>Robot Learning; Interaction; Embodied AI; Manipulation; Human-Robot Interaction</x:v>
      </x:c>
      <x:c r="F815" t="str">
        <x:v>English</x:v>
      </x:c>
      <x:c r="G815" t="str">
        <x:v>Learning for Interaction and Interaction for Learning</x:v>
      </x:c>
      <x:c r="H815" t="str">
        <x:v>Danica Kragic</x:v>
      </x:c>
      <x:c r="I815" t="str">
        <x:v>NeurIPS</x:v>
      </x:c>
      <x:c r="J815" t="str">
        <x:v>Conference Keynote</x:v>
      </x:c>
      <x:c r="K815" s="148" t="n">
        <x:v>60</x:v>
      </x:c>
      <x:c r="L815" t="str">
        <x:v>https://neurips.cc/virtual/2024/invited-talk/101131</x:v>
      </x:c>
      <x:c r="M815" t="str">
        <x:v>Conference Site</x:v>
      </x:c>
      <x:c r="N815" s="150" t="n">
        <x:v>0</x:v>
      </x:c>
      <x:c r="O815" t="str">
        <x:v>A | Official / Original Creator / Organizer</x:v>
      </x:c>
      <x:c r="P815" t="str">
        <x:v>Core</x:v>
      </x:c>
      <x:c r="Q815" t="str">
        <x:v>Verified</x:v>
      </x:c>
      <x:c r="R815" s="142" t="n">
        <x:v>46249</x:v>
      </x:c>
      <x:c r="S81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5" t="str">
        <x:v>neurips-2024-101131</x:v>
      </x:c>
      <x:c r="U815" t="str"/>
      <x:c r="V815" s="148"/>
      <x:c r="W815" t="str"/>
    </x:row>
    <x:row r="816">
      <x:c r="A816" t="str">
        <x:v>ST-816</x:v>
      </x:c>
      <x:c r="B816" t="str">
        <x:v>Talk</x:v>
      </x:c>
      <x:c r="C816" t="str">
        <x:v>Other</x:v>
      </x:c>
      <x:c r="D816" t="str">
        <x:v>AI and Society</x:v>
      </x:c>
      <x:c r="E816" t="str">
        <x:v>Human-Centered AI; Wellbeing; Affective Computing; Responsible AI; Optimization</x:v>
      </x:c>
      <x:c r="F816" t="str">
        <x:v>English</x:v>
      </x:c>
      <x:c r="G816" t="str">
        <x:v>How to Optimize What Matters Most?</x:v>
      </x:c>
      <x:c r="H816" t="str">
        <x:v>Rosalind Picard</x:v>
      </x:c>
      <x:c r="I816" t="str">
        <x:v>NeurIPS</x:v>
      </x:c>
      <x:c r="J816" t="str">
        <x:v>Conference Keynote</x:v>
      </x:c>
      <x:c r="K816" s="148" t="n">
        <x:v>60</x:v>
      </x:c>
      <x:c r="L816" t="str">
        <x:v>https://neurips.cc/virtual/2024/invited-talk/101130</x:v>
      </x:c>
      <x:c r="M816" t="str">
        <x:v>Conference Site</x:v>
      </x:c>
      <x:c r="N816" s="150" t="n">
        <x:v>0</x:v>
      </x:c>
      <x:c r="O816" t="str">
        <x:v>A | Official / Original Creator / Organizer</x:v>
      </x:c>
      <x:c r="P816" t="str">
        <x:v>Recommended</x:v>
      </x:c>
      <x:c r="Q816" t="str">
        <x:v>Verified</x:v>
      </x:c>
      <x:c r="R816" s="142" t="n">
        <x:v>46249</x:v>
      </x:c>
      <x:c r="S81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6" t="str">
        <x:v>neurips-2024-101130</x:v>
      </x:c>
      <x:c r="U816" t="str"/>
      <x:c r="V816" s="148"/>
      <x:c r="W816" t="str"/>
    </x:row>
    <x:row r="817">
      <x:c r="A817" t="str">
        <x:v>ST-817</x:v>
      </x:c>
      <x:c r="B817" t="str">
        <x:v>Talk</x:v>
      </x:c>
      <x:c r="C817" t="str">
        <x:v>Other</x:v>
      </x:c>
      <x:c r="D817" t="str">
        <x:v>AI Systems / Infrastructure</x:v>
      </x:c>
      <x:c r="E817" t="str">
        <x:v>Machine Learning Systems; Distributed Training; Accelerators; Inference; AI Infrastructure</x:v>
      </x:c>
      <x:c r="F817" t="str">
        <x:v>English</x:v>
      </x:c>
      <x:c r="G817" t="str">
        <x:v>Exciting Directions in Systems for Machine Learning</x:v>
      </x:c>
      <x:c r="H817" t="str">
        <x:v>Jeff Dean</x:v>
      </x:c>
      <x:c r="I817" t="str">
        <x:v>MLSys</x:v>
      </x:c>
      <x:c r="J817" t="str">
        <x:v>Conference Keynote</x:v>
      </x:c>
      <x:c r="K817" s="148" t="n">
        <x:v>60</x:v>
      </x:c>
      <x:c r="L817" t="str">
        <x:v>https://mlsys.org/virtual/2024/invited-talk/2592</x:v>
      </x:c>
      <x:c r="M817" t="str">
        <x:v>Conference Site</x:v>
      </x:c>
      <x:c r="N817" s="150" t="n">
        <x:v>0</x:v>
      </x:c>
      <x:c r="O817" t="str">
        <x:v>A | Official / Original Creator / Organizer</x:v>
      </x:c>
      <x:c r="P817" t="str">
        <x:v>Core</x:v>
      </x:c>
      <x:c r="Q817" t="str">
        <x:v>Verified</x:v>
      </x:c>
      <x:c r="R817" s="142" t="n">
        <x:v>46249</x:v>
      </x:c>
      <x:c r="S81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7" t="str">
        <x:v>mlsys-2024-2592</x:v>
      </x:c>
      <x:c r="U817" t="str"/>
      <x:c r="V817" s="148"/>
      <x:c r="W817" t="str"/>
    </x:row>
    <x:row r="818">
      <x:c r="A818" t="str">
        <x:v>ST-818</x:v>
      </x:c>
      <x:c r="B818" t="str">
        <x:v>Talk</x:v>
      </x:c>
      <x:c r="C818" t="str">
        <x:v>Other</x:v>
      </x:c>
      <x:c r="D818" t="str">
        <x:v>Natural Language Processing</x:v>
      </x:c>
      <x:c r="E818" t="str">
        <x:v>Language Models; Reasoning; Commonsense; AI Research; Model Evaluation</x:v>
      </x:c>
      <x:c r="F818" t="str">
        <x:v>English</x:v>
      </x:c>
      <x:c r="G818" t="str">
        <x:v>Possible Impossibilities and Impossible Possibilities</x:v>
      </x:c>
      <x:c r="H818" t="str">
        <x:v>Yejin Choi</x:v>
      </x:c>
      <x:c r="I818" t="str">
        <x:v>MLSys</x:v>
      </x:c>
      <x:c r="J818" t="str">
        <x:v>Conference Keynote</x:v>
      </x:c>
      <x:c r="K818" s="148" t="n">
        <x:v>60</x:v>
      </x:c>
      <x:c r="L818" t="str">
        <x:v>https://mlsys.org/virtual/2024/invited-talk/2590</x:v>
      </x:c>
      <x:c r="M818" t="str">
        <x:v>Conference Site</x:v>
      </x:c>
      <x:c r="N818" s="150" t="n">
        <x:v>0</x:v>
      </x:c>
      <x:c r="O818" t="str">
        <x:v>A | Official / Original Creator / Organizer</x:v>
      </x:c>
      <x:c r="P818" t="str">
        <x:v>Core</x:v>
      </x:c>
      <x:c r="Q818" t="str">
        <x:v>Verified</x:v>
      </x:c>
      <x:c r="R818" s="142" t="n">
        <x:v>46249</x:v>
      </x:c>
      <x:c r="S81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8" t="str">
        <x:v>mlsys-2024-2590</x:v>
      </x:c>
      <x:c r="U818" t="str"/>
      <x:c r="V818" s="148"/>
      <x:c r="W818" t="str"/>
    </x:row>
    <x:row r="819">
      <x:c r="A819" t="str">
        <x:v>ST-819</x:v>
      </x:c>
      <x:c r="B819" t="str">
        <x:v>Talk</x:v>
      </x:c>
      <x:c r="C819" t="str">
        <x:v>Other</x:v>
      </x:c>
      <x:c r="D819" t="str">
        <x:v>AI Privacy / Security / Law</x:v>
      </x:c>
      <x:c r="E819" t="str">
        <x:v>AI Robustness; AI Security; Large Language Models; Adversarial Machine Learning; Safety</x:v>
      </x:c>
      <x:c r="F819" t="str">
        <x:v>English</x:v>
      </x:c>
      <x:c r="G819" t="str">
        <x:v>AI Robustness and Security in the Age of LLMs</x:v>
      </x:c>
      <x:c r="H819" t="str">
        <x:v>Zico Kolter</x:v>
      </x:c>
      <x:c r="I819" t="str">
        <x:v>MLSys</x:v>
      </x:c>
      <x:c r="J819" t="str">
        <x:v>Conference Keynote</x:v>
      </x:c>
      <x:c r="K819" s="148" t="n">
        <x:v>60</x:v>
      </x:c>
      <x:c r="L819" t="str">
        <x:v>https://mlsys.org/virtual/2024/invited-talk/2593</x:v>
      </x:c>
      <x:c r="M819" t="str">
        <x:v>Conference Site</x:v>
      </x:c>
      <x:c r="N819" s="150" t="n">
        <x:v>0</x:v>
      </x:c>
      <x:c r="O819" t="str">
        <x:v>A | Official / Original Creator / Organizer</x:v>
      </x:c>
      <x:c r="P819" t="str">
        <x:v>Core</x:v>
      </x:c>
      <x:c r="Q819" t="str">
        <x:v>Verified</x:v>
      </x:c>
      <x:c r="R819" s="142" t="n">
        <x:v>46249</x:v>
      </x:c>
      <x:c r="S81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19" t="str">
        <x:v>mlsys-2024-2593</x:v>
      </x:c>
      <x:c r="U819" t="str"/>
      <x:c r="V819" s="148"/>
      <x:c r="W819" t="str"/>
    </x:row>
    <x:row r="820">
      <x:c r="A820" t="str">
        <x:v>ST-820</x:v>
      </x:c>
      <x:c r="B820" t="str">
        <x:v>Talk</x:v>
      </x:c>
      <x:c r="C820" t="str">
        <x:v>Other</x:v>
      </x:c>
      <x:c r="D820" t="str">
        <x:v>AI Systems / Energy Efficiency</x:v>
      </x:c>
      <x:c r="E820" t="str">
        <x:v>Generative AI; Efficiency; Hardware; Systems Optimization; Sustainable AI</x:v>
      </x:c>
      <x:c r="F820" t="str">
        <x:v>English</x:v>
      </x:c>
      <x:c r="G820" t="str">
        <x:v>GenAI Efficiency Is About More Than Models</x:v>
      </x:c>
      <x:c r="H820" t="str">
        <x:v>Kurt Keutzer</x:v>
      </x:c>
      <x:c r="I820" t="str">
        <x:v>MLSys</x:v>
      </x:c>
      <x:c r="J820" t="str">
        <x:v>Conference Keynote</x:v>
      </x:c>
      <x:c r="K820" s="148" t="n">
        <x:v>60</x:v>
      </x:c>
      <x:c r="L820" t="str">
        <x:v>https://mlsys.org/virtual/2024/invited-talk/2668</x:v>
      </x:c>
      <x:c r="M820" t="str">
        <x:v>Conference Site</x:v>
      </x:c>
      <x:c r="N820" s="150" t="n">
        <x:v>0</x:v>
      </x:c>
      <x:c r="O820" t="str">
        <x:v>A | Official / Original Creator / Organizer</x:v>
      </x:c>
      <x:c r="P820" t="str">
        <x:v>Core</x:v>
      </x:c>
      <x:c r="Q820" t="str">
        <x:v>Verified</x:v>
      </x:c>
      <x:c r="R820" s="142" t="n">
        <x:v>46249</x:v>
      </x:c>
      <x:c r="S82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0" t="str">
        <x:v>mlsys-2024-2668</x:v>
      </x:c>
      <x:c r="U820" t="str"/>
      <x:c r="V820" s="148"/>
      <x:c r="W820" t="str"/>
    </x:row>
    <x:row r="821">
      <x:c r="A821" t="str">
        <x:v>ST-821</x:v>
      </x:c>
      <x:c r="B821" t="str">
        <x:v>Talk</x:v>
      </x:c>
      <x:c r="C821" t="str">
        <x:v>Other</x:v>
      </x:c>
      <x:c r="D821" t="str">
        <x:v>AI for Science</x:v>
      </x:c>
      <x:c r="E821" t="str">
        <x:v>Climate Change; Machine Learning; Energy Systems; Responsible AI; Sustainability</x:v>
      </x:c>
      <x:c r="F821" t="str">
        <x:v>English</x:v>
      </x:c>
      <x:c r="G821" t="str">
        <x:v>Why Your Work Matters for Climate in More Ways Than You Think</x:v>
      </x:c>
      <x:c r="H821" t="str">
        <x:v>Priya Donti</x:v>
      </x:c>
      <x:c r="I821" t="str">
        <x:v>ICLR</x:v>
      </x:c>
      <x:c r="J821" t="str">
        <x:v>Conference Keynote</x:v>
      </x:c>
      <x:c r="K821" s="148" t="n">
        <x:v>60</x:v>
      </x:c>
      <x:c r="L821" t="str">
        <x:v>https://iclr.cc/virtual/2024/invited-talk/21797</x:v>
      </x:c>
      <x:c r="M821" t="str">
        <x:v>Conference Site</x:v>
      </x:c>
      <x:c r="N821" s="150" t="n">
        <x:v>0</x:v>
      </x:c>
      <x:c r="O821" t="str">
        <x:v>A | Official / Original Creator / Organizer</x:v>
      </x:c>
      <x:c r="P821" t="str">
        <x:v>Core</x:v>
      </x:c>
      <x:c r="Q821" t="str">
        <x:v>Verified</x:v>
      </x:c>
      <x:c r="R821" s="142" t="n">
        <x:v>46249</x:v>
      </x:c>
      <x:c r="S82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1" t="str">
        <x:v>iclr-2024-21797</x:v>
      </x:c>
      <x:c r="U821" t="str"/>
      <x:c r="V821" s="148"/>
      <x:c r="W821" t="str"/>
    </x:row>
    <x:row r="822">
      <x:c r="A822" t="str">
        <x:v>ST-822</x:v>
      </x:c>
      <x:c r="B822" t="str">
        <x:v>Talk</x:v>
      </x:c>
      <x:c r="C822" t="str">
        <x:v>Other</x:v>
      </x:c>
      <x:c r="D822" t="str">
        <x:v>AI Privacy / Security / Law</x:v>
      </x:c>
      <x:c r="E822" t="str">
        <x:v>Copyright; Generative AI; Training Data; AI Law; Research Practice</x:v>
      </x:c>
      <x:c r="F822" t="str">
        <x:v>English</x:v>
      </x:c>
      <x:c r="G822" t="str">
        <x:v>Copyright Fundamentals for AI Researchers</x:v>
      </x:c>
      <x:c r="H822" t="str">
        <x:v>Kate Downing</x:v>
      </x:c>
      <x:c r="I822" t="str">
        <x:v>ICLR</x:v>
      </x:c>
      <x:c r="J822" t="str">
        <x:v>Conference Keynote</x:v>
      </x:c>
      <x:c r="K822" s="148" t="n">
        <x:v>60</x:v>
      </x:c>
      <x:c r="L822" t="str">
        <x:v>https://iclr.cc/virtual/2024/invited-talk/21804</x:v>
      </x:c>
      <x:c r="M822" t="str">
        <x:v>Conference Site</x:v>
      </x:c>
      <x:c r="N822" s="150" t="n">
        <x:v>0</x:v>
      </x:c>
      <x:c r="O822" t="str">
        <x:v>A | Official / Original Creator / Organizer</x:v>
      </x:c>
      <x:c r="P822" t="str">
        <x:v>Recommended</x:v>
      </x:c>
      <x:c r="Q822" t="str">
        <x:v>Verified</x:v>
      </x:c>
      <x:c r="R822" s="142" t="n">
        <x:v>46249</x:v>
      </x:c>
      <x:c r="S82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2" t="str">
        <x:v>iclr-2024-21804</x:v>
      </x:c>
      <x:c r="U822" t="str"/>
      <x:c r="V822" s="148"/>
      <x:c r="W822" t="str"/>
    </x:row>
    <x:row r="823">
      <x:c r="A823" t="str">
        <x:v>ST-823</x:v>
      </x:c>
      <x:c r="B823" t="str">
        <x:v>Talk</x:v>
      </x:c>
      <x:c r="C823" t="str">
        <x:v>Other</x:v>
      </x:c>
      <x:c r="D823" t="str">
        <x:v>Machine Learning Frontiers</x:v>
      </x:c>
      <x:c r="E823" t="str">
        <x:v>AGI; Reinforcement Learning; Representation Learning; AI Research; Scaling</x:v>
      </x:c>
      <x:c r="F823" t="str">
        <x:v>English</x:v>
      </x:c>
      <x:c r="G823" t="str">
        <x:v>Learning Through AI's Winters and Springs: Unexpected Truths on the Road to AGI</x:v>
      </x:c>
      <x:c r="H823" t="str">
        <x:v>Raia Hadsell</x:v>
      </x:c>
      <x:c r="I823" t="str">
        <x:v>ICLR</x:v>
      </x:c>
      <x:c r="J823" t="str">
        <x:v>Conference Keynote</x:v>
      </x:c>
      <x:c r="K823" s="148" t="n">
        <x:v>60</x:v>
      </x:c>
      <x:c r="L823" t="str">
        <x:v>https://iclr.cc/virtual/2024/invited-talk/21798</x:v>
      </x:c>
      <x:c r="M823" t="str">
        <x:v>Conference Site</x:v>
      </x:c>
      <x:c r="N823" s="150" t="n">
        <x:v>0</x:v>
      </x:c>
      <x:c r="O823" t="str">
        <x:v>A | Official / Original Creator / Organizer</x:v>
      </x:c>
      <x:c r="P823" t="str">
        <x:v>Core</x:v>
      </x:c>
      <x:c r="Q823" t="str">
        <x:v>Verified</x:v>
      </x:c>
      <x:c r="R823" s="142" t="n">
        <x:v>46249</x:v>
      </x:c>
      <x:c r="S82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3" t="str">
        <x:v>iclr-2024-21798</x:v>
      </x:c>
      <x:c r="U823" t="str"/>
      <x:c r="V823" s="148"/>
      <x:c r="W823" t="str"/>
    </x:row>
    <x:row r="824">
      <x:c r="A824" t="str">
        <x:v>ST-824</x:v>
      </x:c>
      <x:c r="B824" t="str">
        <x:v>Talk</x:v>
      </x:c>
      <x:c r="C824" t="str">
        <x:v>Vision</x:v>
      </x:c>
      <x:c r="D824" t="str">
        <x:v>Computer Vision</x:v>
      </x:c>
      <x:c r="E824" t="str">
        <x:v>Computer Vision; Visual Question Answering; Human-AI Interaction; Research Practice; Responsible AI</x:v>
      </x:c>
      <x:c r="F824" t="str">
        <x:v>English</x:v>
      </x:c>
      <x:c r="G824" t="str">
        <x:v>Stories from My Life</x:v>
      </x:c>
      <x:c r="H824" t="str">
        <x:v>Devi Parikh</x:v>
      </x:c>
      <x:c r="I824" t="str">
        <x:v>ICLR</x:v>
      </x:c>
      <x:c r="J824" t="str">
        <x:v>Conference Keynote</x:v>
      </x:c>
      <x:c r="K824" s="148" t="n">
        <x:v>60</x:v>
      </x:c>
      <x:c r="L824" t="str">
        <x:v>https://iclr.cc/virtual/2024/invited-talk/21803</x:v>
      </x:c>
      <x:c r="M824" t="str">
        <x:v>Conference Site</x:v>
      </x:c>
      <x:c r="N824" s="150" t="n">
        <x:v>0</x:v>
      </x:c>
      <x:c r="O824" t="str">
        <x:v>A | Official / Original Creator / Organizer</x:v>
      </x:c>
      <x:c r="P824" t="str">
        <x:v>Recommended</x:v>
      </x:c>
      <x:c r="Q824" t="str">
        <x:v>Verified</x:v>
      </x:c>
      <x:c r="R824" s="142" t="n">
        <x:v>46249</x:v>
      </x:c>
      <x:c r="S82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4" t="str">
        <x:v>iclr-2024-21803</x:v>
      </x:c>
      <x:c r="U824" t="str"/>
      <x:c r="V824" s="148"/>
      <x:c r="W824" t="str"/>
    </x:row>
    <x:row r="825">
      <x:c r="A825" t="str">
        <x:v>ST-825</x:v>
      </x:c>
      <x:c r="B825" t="str">
        <x:v>Talk</x:v>
      </x:c>
      <x:c r="C825" t="str">
        <x:v>Other</x:v>
      </x:c>
      <x:c r="D825" t="str">
        <x:v>Natural Language Processing</x:v>
      </x:c>
      <x:c r="E825" t="str">
        <x:v>ChatGLM; Large Language Models; AGI; Model Training; Natural Language Processing</x:v>
      </x:c>
      <x:c r="F825" t="str">
        <x:v>English</x:v>
      </x:c>
      <x:c r="G825" t="str">
        <x:v>The ChatGLM's Road to AGI</x:v>
      </x:c>
      <x:c r="H825" t="str">
        <x:v>Jie Tang</x:v>
      </x:c>
      <x:c r="I825" t="str">
        <x:v>ICLR</x:v>
      </x:c>
      <x:c r="J825" t="str">
        <x:v>Conference Keynote</x:v>
      </x:c>
      <x:c r="K825" s="148" t="n">
        <x:v>60</x:v>
      </x:c>
      <x:c r="L825" t="str">
        <x:v>https://iclr.cc/virtual/2024/invited-talk/21802</x:v>
      </x:c>
      <x:c r="M825" t="str">
        <x:v>Conference Site</x:v>
      </x:c>
      <x:c r="N825" s="150" t="n">
        <x:v>0</x:v>
      </x:c>
      <x:c r="O825" t="str">
        <x:v>A | Official / Original Creator / Organizer</x:v>
      </x:c>
      <x:c r="P825" t="str">
        <x:v>Core</x:v>
      </x:c>
      <x:c r="Q825" t="str">
        <x:v>Verified</x:v>
      </x:c>
      <x:c r="R825" s="142" t="n">
        <x:v>46249</x:v>
      </x:c>
      <x:c r="S82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5" t="str">
        <x:v>iclr-2024-21802</x:v>
      </x:c>
      <x:c r="U825" t="str"/>
      <x:c r="V825" s="148"/>
      <x:c r="W825" t="str"/>
    </x:row>
    <x:row r="826">
      <x:c r="A826" t="str">
        <x:v>ST-826</x:v>
      </x:c>
      <x:c r="B826" t="str">
        <x:v>Talk</x:v>
      </x:c>
      <x:c r="C826" t="str">
        <x:v>How to Research</x:v>
      </x:c>
      <x:c r="D826" t="str">
        <x:v>AI Evaluation / Benchmarking</x:v>
      </x:c>
      <x:c r="E826" t="str">
        <x:v>Benchmarks; Evaluation; Machine Learning Science; Generalization; Measurement</x:v>
      </x:c>
      <x:c r="F826" t="str">
        <x:v>English</x:v>
      </x:c>
      <x:c r="G826" t="str">
        <x:v>The Emerging Science of Benchmarks</x:v>
      </x:c>
      <x:c r="H826" t="str">
        <x:v>Moritz Hardt</x:v>
      </x:c>
      <x:c r="I826" t="str">
        <x:v>ICLR</x:v>
      </x:c>
      <x:c r="J826" t="str">
        <x:v>Conference Keynote</x:v>
      </x:c>
      <x:c r="K826" s="148" t="n">
        <x:v>60</x:v>
      </x:c>
      <x:c r="L826" t="str">
        <x:v>https://iclr.cc/virtual/2024/invited-talk/21799</x:v>
      </x:c>
      <x:c r="M826" t="str">
        <x:v>Conference Site</x:v>
      </x:c>
      <x:c r="N826" s="150" t="n">
        <x:v>0</x:v>
      </x:c>
      <x:c r="O826" t="str">
        <x:v>A | Official / Original Creator / Organizer</x:v>
      </x:c>
      <x:c r="P826" t="str">
        <x:v>Core</x:v>
      </x:c>
      <x:c r="Q826" t="str">
        <x:v>Verified</x:v>
      </x:c>
      <x:c r="R826" s="142" t="n">
        <x:v>46249</x:v>
      </x:c>
      <x:c r="S82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6" t="str">
        <x:v>iclr-2024-21799</x:v>
      </x:c>
      <x:c r="U826" t="str"/>
      <x:c r="V826" s="148"/>
      <x:c r="W826" t="str"/>
    </x:row>
    <x:row r="827">
      <x:c r="A827" t="str">
        <x:v>ST-827</x:v>
      </x:c>
      <x:c r="B827" t="str">
        <x:v>Talk</x:v>
      </x:c>
      <x:c r="C827" t="str">
        <x:v>Other</x:v>
      </x:c>
      <x:c r="D827" t="str">
        <x:v>AI for Science</x:v>
      </x:c>
      <x:c r="E827" t="str">
        <x:v>Antibody Design; Machine Learning; Lab-in-the-Loop; Biology; Scientific Discovery</x:v>
      </x:c>
      <x:c r="F827" t="str">
        <x:v>English</x:v>
      </x:c>
      <x:c r="G827" t="str">
        <x:v>Machine Learning in Prescient Design's Lab-in-the-Loop Antibody Design</x:v>
      </x:c>
      <x:c r="H827" t="str">
        <x:v>Kyunghyun Cho</x:v>
      </x:c>
      <x:c r="I827" t="str">
        <x:v>ICLR</x:v>
      </x:c>
      <x:c r="J827" t="str">
        <x:v>Conference Keynote</x:v>
      </x:c>
      <x:c r="K827" s="148" t="n">
        <x:v>55</x:v>
      </x:c>
      <x:c r="L827" t="str">
        <x:v>https://iclr.cc/virtual/2024/invited-talk/21801</x:v>
      </x:c>
      <x:c r="M827" t="str">
        <x:v>Conference Site</x:v>
      </x:c>
      <x:c r="N827" s="150" t="n">
        <x:v>0</x:v>
      </x:c>
      <x:c r="O827" t="str">
        <x:v>A | Official / Original Creator / Organizer</x:v>
      </x:c>
      <x:c r="P827" t="str">
        <x:v>Core</x:v>
      </x:c>
      <x:c r="Q827" t="str">
        <x:v>Verified</x:v>
      </x:c>
      <x:c r="R827" s="142" t="n">
        <x:v>46249</x:v>
      </x:c>
      <x:c r="S82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7" t="str">
        <x:v>iclr-2024-21801</x:v>
      </x:c>
      <x:c r="U827" t="str"/>
      <x:c r="V827" s="148"/>
      <x:c r="W827" t="str"/>
    </x:row>
    <x:row r="828">
      <x:c r="A828" t="str">
        <x:v>ST-828</x:v>
      </x:c>
      <x:c r="B828" t="str">
        <x:v>Talk</x:v>
      </x:c>
      <x:c r="C828" t="str">
        <x:v>Other</x:v>
      </x:c>
      <x:c r="D828" t="str">
        <x:v>Machine Learning / Engineering Practice</x:v>
      </x:c>
      <x:c r="E828" t="str">
        <x:v>Open Science; Open Source; Machine Learning; Research Infrastructure; Reproducibility</x:v>
      </x:c>
      <x:c r="F828" t="str">
        <x:v>English</x:v>
      </x:c>
      <x:c r="G828" t="str">
        <x:v>Unapologetically Open Science — The Complexity and Challenges of Making Openness Win!</x:v>
      </x:c>
      <x:c r="H828" t="str">
        <x:v>Soumith Chintala</x:v>
      </x:c>
      <x:c r="I828" t="str">
        <x:v>ICML</x:v>
      </x:c>
      <x:c r="J828" t="str">
        <x:v>Conference Keynote</x:v>
      </x:c>
      <x:c r="K828" s="148" t="n">
        <x:v>60</x:v>
      </x:c>
      <x:c r="L828" t="str">
        <x:v>https://icml.cc/virtual/2024/invited-talk/35249</x:v>
      </x:c>
      <x:c r="M828" t="str">
        <x:v>Conference Site</x:v>
      </x:c>
      <x:c r="N828" s="150" t="n">
        <x:v>0</x:v>
      </x:c>
      <x:c r="O828" t="str">
        <x:v>A | Official / Original Creator / Organizer</x:v>
      </x:c>
      <x:c r="P828" t="str">
        <x:v>Core</x:v>
      </x:c>
      <x:c r="Q828" t="str">
        <x:v>Verified</x:v>
      </x:c>
      <x:c r="R828" s="142" t="n">
        <x:v>46249</x:v>
      </x:c>
      <x:c r="S82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8" t="str">
        <x:v>icml-2024-35249</x:v>
      </x:c>
      <x:c r="U828" t="str"/>
      <x:c r="V828" s="148"/>
      <x:c r="W828" t="str"/>
    </x:row>
    <x:row r="829">
      <x:c r="A829" t="str">
        <x:v>ST-829</x:v>
      </x:c>
      <x:c r="B829" t="str">
        <x:v>Talk</x:v>
      </x:c>
      <x:c r="C829" t="str">
        <x:v>Other</x:v>
      </x:c>
      <x:c r="D829" t="str">
        <x:v>AI and Society</x:v>
      </x:c>
      <x:c r="E829" t="str">
        <x:v>Digital Technology; Youth Development; Global South; Social Impact; Research Methods</x:v>
      </x:c>
      <x:c r="F829" t="str">
        <x:v>English</x:v>
      </x:c>
      <x:c r="G829" t="str">
        <x:v>The Effects of Digital Technology on Youth Development in Low-and-Middle-Income Countries</x:v>
      </x:c>
      <x:c r="H829" t="str">
        <x:v>Lucía Magis-Weinberg</x:v>
      </x:c>
      <x:c r="I829" t="str">
        <x:v>ICML</x:v>
      </x:c>
      <x:c r="J829" t="str">
        <x:v>Conference Keynote</x:v>
      </x:c>
      <x:c r="K829" s="148" t="n">
        <x:v>60</x:v>
      </x:c>
      <x:c r="L829" t="str">
        <x:v>https://icml.cc/virtual/2024/invited-talk/35667</x:v>
      </x:c>
      <x:c r="M829" t="str">
        <x:v>Conference Site</x:v>
      </x:c>
      <x:c r="N829" s="150" t="n">
        <x:v>0</x:v>
      </x:c>
      <x:c r="O829" t="str">
        <x:v>A | Official / Original Creator / Organizer</x:v>
      </x:c>
      <x:c r="P829" t="str">
        <x:v>Recommended</x:v>
      </x:c>
      <x:c r="Q829" t="str">
        <x:v>Verified</x:v>
      </x:c>
      <x:c r="R829" s="142" t="n">
        <x:v>46249</x:v>
      </x:c>
      <x:c r="S82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29" t="str">
        <x:v>icml-2024-35667</x:v>
      </x:c>
      <x:c r="U829" t="str"/>
      <x:c r="V829" s="148"/>
      <x:c r="W829" t="str"/>
    </x:row>
    <x:row r="830">
      <x:c r="A830" t="str">
        <x:v>ST-830</x:v>
      </x:c>
      <x:c r="B830" t="str">
        <x:v>Talk</x:v>
      </x:c>
      <x:c r="C830" t="str">
        <x:v>Other</x:v>
      </x:c>
      <x:c r="D830" t="str">
        <x:v>Natural Language Processing</x:v>
      </x:c>
      <x:c r="E830" t="str">
        <x:v>Low-Resource Languages; African Languages; Natural Language Processing; Datasets; Open Science</x:v>
      </x:c>
      <x:c r="F830" t="str">
        <x:v>English</x:v>
      </x:c>
      <x:c r="G830" t="str">
        <x:v>Gondzo — Charting a Path for African Low-Resource Languages</x:v>
      </x:c>
      <x:c r="H830" t="str">
        <x:v>Vukosi Marivate</x:v>
      </x:c>
      <x:c r="I830" t="str">
        <x:v>ICML</x:v>
      </x:c>
      <x:c r="J830" t="str">
        <x:v>Conference Keynote</x:v>
      </x:c>
      <x:c r="K830" s="148" t="n">
        <x:v>60</x:v>
      </x:c>
      <x:c r="L830" t="str">
        <x:v>https://icml.cc/virtual/2024/invited-talk/35251</x:v>
      </x:c>
      <x:c r="M830" t="str">
        <x:v>Conference Site</x:v>
      </x:c>
      <x:c r="N830" s="150" t="n">
        <x:v>0</x:v>
      </x:c>
      <x:c r="O830" t="str">
        <x:v>A | Official / Original Creator / Organizer</x:v>
      </x:c>
      <x:c r="P830" t="str">
        <x:v>Core</x:v>
      </x:c>
      <x:c r="Q830" t="str">
        <x:v>Verified</x:v>
      </x:c>
      <x:c r="R830" s="142" t="n">
        <x:v>46249</x:v>
      </x:c>
      <x:c r="S83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0" t="str">
        <x:v>icml-2024-35251</x:v>
      </x:c>
      <x:c r="U830" t="str"/>
      <x:c r="V830" s="148"/>
      <x:c r="W830" t="str"/>
    </x:row>
    <x:row r="831">
      <x:c r="A831" t="str">
        <x:v>ST-831</x:v>
      </x:c>
      <x:c r="B831" t="str">
        <x:v>Talk</x:v>
      </x:c>
      <x:c r="C831" t="str">
        <x:v>Other</x:v>
      </x:c>
      <x:c r="D831" t="str">
        <x:v>AI for Science</x:v>
      </x:c>
      <x:c r="E831" t="str">
        <x:v>Particle Physics; Machine Learning; Scientific Discovery; Accelerated Computing; Simulation</x:v>
      </x:c>
      <x:c r="F831" t="str">
        <x:v>English</x:v>
      </x:c>
      <x:c r="G831" t="str">
        <x:v>Machine Learning Opportunities for the Next Generation of Particle Physics</x:v>
      </x:c>
      <x:c r="H831" t="str">
        <x:v>Javier Duarte</x:v>
      </x:c>
      <x:c r="I831" t="str">
        <x:v>ICML</x:v>
      </x:c>
      <x:c r="J831" t="str">
        <x:v>Conference Keynote</x:v>
      </x:c>
      <x:c r="K831" s="148" t="n">
        <x:v>60</x:v>
      </x:c>
      <x:c r="L831" t="str">
        <x:v>https://icml.cc/virtual/2024/invited-talk/35254</x:v>
      </x:c>
      <x:c r="M831" t="str">
        <x:v>Conference Site</x:v>
      </x:c>
      <x:c r="N831" s="150" t="n">
        <x:v>0</x:v>
      </x:c>
      <x:c r="O831" t="str">
        <x:v>A | Official / Original Creator / Organizer</x:v>
      </x:c>
      <x:c r="P831" t="str">
        <x:v>Core</x:v>
      </x:c>
      <x:c r="Q831" t="str">
        <x:v>Verified</x:v>
      </x:c>
      <x:c r="R831" s="142" t="n">
        <x:v>46249</x:v>
      </x:c>
      <x:c r="S83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1" t="str">
        <x:v>icml-2024-35254</x:v>
      </x:c>
      <x:c r="U831" t="str"/>
      <x:c r="V831" s="148"/>
      <x:c r="W831" t="str"/>
    </x:row>
    <x:row r="832">
      <x:c r="A832" t="str">
        <x:v>ST-832</x:v>
      </x:c>
      <x:c r="B832" t="str">
        <x:v>Talk</x:v>
      </x:c>
      <x:c r="C832" t="str">
        <x:v>Robotics</x:v>
      </x:c>
      <x:c r="D832" t="str">
        <x:v>Robotics / Embodied AI</x:v>
      </x:c>
      <x:c r="E832" t="str">
        <x:v>Robot Learning; Meta-Learning; Reinforcement Learning; Generalization; Embodied AI</x:v>
      </x:c>
      <x:c r="F832" t="str">
        <x:v>English</x:v>
      </x:c>
      <x:c r="G832" t="str">
        <x:v>What Robots Have Taught Me About Machine Learning</x:v>
      </x:c>
      <x:c r="H832" t="str">
        <x:v>Chelsea Finn</x:v>
      </x:c>
      <x:c r="I832" t="str">
        <x:v>ICML</x:v>
      </x:c>
      <x:c r="J832" t="str">
        <x:v>Conference Keynote</x:v>
      </x:c>
      <x:c r="K832" s="148" t="n">
        <x:v>60</x:v>
      </x:c>
      <x:c r="L832" t="str">
        <x:v>https://icml.cc/virtual/2024/invited-talk/35253</x:v>
      </x:c>
      <x:c r="M832" t="str">
        <x:v>Conference Site</x:v>
      </x:c>
      <x:c r="N832" s="150" t="n">
        <x:v>0</x:v>
      </x:c>
      <x:c r="O832" t="str">
        <x:v>A | Official / Original Creator / Organizer</x:v>
      </x:c>
      <x:c r="P832" t="str">
        <x:v>Core</x:v>
      </x:c>
      <x:c r="Q832" t="str">
        <x:v>Verified</x:v>
      </x:c>
      <x:c r="R832" s="142" t="n">
        <x:v>46249</x:v>
      </x:c>
      <x:c r="S83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2" t="str">
        <x:v>icml-2024-35253</x:v>
      </x:c>
      <x:c r="U832" t="str"/>
      <x:c r="V832" s="148"/>
      <x:c r="W832" t="str"/>
    </x:row>
    <x:row r="833">
      <x:c r="A833" t="str">
        <x:v>ST-833</x:v>
      </x:c>
      <x:c r="B833" t="str">
        <x:v>Talk</x:v>
      </x:c>
      <x:c r="C833" t="str">
        <x:v>Robotics</x:v>
      </x:c>
      <x:c r="D833" t="str">
        <x:v>Robotics</x:v>
      </x:c>
      <x:c r="E833" t="str">
        <x:v>Autonomous Systems; Drones; Airspace; Robotics; Infrastructure</x:v>
      </x:c>
      <x:c r="F833" t="str">
        <x:v>English</x:v>
      </x:c>
      <x:c r="G833" t="str">
        <x:v>Exploring the Low Altitude Airspace: From Natural Resource to Economic Engine</x:v>
      </x:c>
      <x:c r="H833" t="str">
        <x:v>Harry Shum</x:v>
      </x:c>
      <x:c r="I833" t="str">
        <x:v>CVPR</x:v>
      </x:c>
      <x:c r="J833" t="str">
        <x:v>Conference Keynote</x:v>
      </x:c>
      <x:c r="K833" s="148" t="n">
        <x:v>60</x:v>
      </x:c>
      <x:c r="L833" t="str">
        <x:v>https://cvpr.thecvf.com/virtual/2025/invited-talk/35402</x:v>
      </x:c>
      <x:c r="M833" t="str">
        <x:v>Conference Site</x:v>
      </x:c>
      <x:c r="N833" s="150" t="n">
        <x:v>0</x:v>
      </x:c>
      <x:c r="O833" t="str">
        <x:v>A | Official / Original Creator / Organizer</x:v>
      </x:c>
      <x:c r="P833" t="str">
        <x:v>Recommended</x:v>
      </x:c>
      <x:c r="Q833" t="str">
        <x:v>Verified</x:v>
      </x:c>
      <x:c r="R833" s="142" t="n">
        <x:v>46249</x:v>
      </x:c>
      <x:c r="S83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3" t="str">
        <x:v>cvpr-2025-35402</x:v>
      </x:c>
      <x:c r="U833" t="str"/>
      <x:c r="V833" s="148"/>
      <x:c r="W833" t="str"/>
    </x:row>
    <x:row r="834">
      <x:c r="A834" t="str">
        <x:v>ST-834</x:v>
      </x:c>
      <x:c r="B834" t="str">
        <x:v>Talk</x:v>
      </x:c>
      <x:c r="C834" t="str">
        <x:v>Other</x:v>
      </x:c>
      <x:c r="D834" t="str">
        <x:v>Natural Language Processing / Transformers</x:v>
      </x:c>
      <x:c r="E834" t="str">
        <x:v>Llama; Foundation Models; Reasoning; Agents; Multimodal Models</x:v>
      </x:c>
      <x:c r="F834" t="str">
        <x:v>English</x:v>
      </x:c>
      <x:c r="G834" t="str">
        <x:v>The Llama Herd of Models: System 1, 2, 3 Go!</x:v>
      </x:c>
      <x:c r="H834" t="str">
        <x:v>Laurens van der Maaten</x:v>
      </x:c>
      <x:c r="I834" t="str">
        <x:v>CVPR</x:v>
      </x:c>
      <x:c r="J834" t="str">
        <x:v>Conference Keynote</x:v>
      </x:c>
      <x:c r="K834" s="148" t="n">
        <x:v>60</x:v>
      </x:c>
      <x:c r="L834" t="str">
        <x:v>https://cvpr.thecvf.com/virtual/2025/invited-talk/35403</x:v>
      </x:c>
      <x:c r="M834" t="str">
        <x:v>Conference Site</x:v>
      </x:c>
      <x:c r="N834" s="150" t="n">
        <x:v>0</x:v>
      </x:c>
      <x:c r="O834" t="str">
        <x:v>A | Official / Original Creator / Organizer</x:v>
      </x:c>
      <x:c r="P834" t="str">
        <x:v>Core</x:v>
      </x:c>
      <x:c r="Q834" t="str">
        <x:v>Verified</x:v>
      </x:c>
      <x:c r="R834" s="142" t="n">
        <x:v>46249</x:v>
      </x:c>
      <x:c r="S83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4" t="str">
        <x:v>cvpr-2025-35403</x:v>
      </x:c>
      <x:c r="U834" t="str"/>
      <x:c r="V834" s="148"/>
      <x:c r="W834" t="str"/>
    </x:row>
    <x:row r="835">
      <x:c r="A835" t="str">
        <x:v>ST-835</x:v>
      </x:c>
      <x:c r="B835" t="str">
        <x:v>Talk</x:v>
      </x:c>
      <x:c r="C835" t="str">
        <x:v>Robotics</x:v>
      </x:c>
      <x:c r="D835" t="str">
        <x:v>Robotics / Embodied AI</x:v>
      </x:c>
      <x:c r="E835" t="str">
        <x:v>Gemini Robotics; Embodied AI; Vision-Language-Action Models; Robot Learning; Physical AI</x:v>
      </x:c>
      <x:c r="F835" t="str">
        <x:v>English</x:v>
      </x:c>
      <x:c r="G835" t="str">
        <x:v>Gemini Robotics, Bringing AI to the Physical World</x:v>
      </x:c>
      <x:c r="H835" t="str">
        <x:v>Carolina Parada</x:v>
      </x:c>
      <x:c r="I835" t="str">
        <x:v>CVPR</x:v>
      </x:c>
      <x:c r="J835" t="str">
        <x:v>Conference Keynote</x:v>
      </x:c>
      <x:c r="K835" s="148" t="n">
        <x:v>60</x:v>
      </x:c>
      <x:c r="L835" t="str">
        <x:v>https://cvpr.thecvf.com/virtual/2025/invited-talk/35404</x:v>
      </x:c>
      <x:c r="M835" t="str">
        <x:v>Conference Site</x:v>
      </x:c>
      <x:c r="N835" s="150" t="n">
        <x:v>0</x:v>
      </x:c>
      <x:c r="O835" t="str">
        <x:v>A | Official / Original Creator / Organizer</x:v>
      </x:c>
      <x:c r="P835" t="str">
        <x:v>Core</x:v>
      </x:c>
      <x:c r="Q835" t="str">
        <x:v>Verified</x:v>
      </x:c>
      <x:c r="R835" s="142" t="n">
        <x:v>46249</x:v>
      </x:c>
      <x:c r="S83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5" t="str">
        <x:v>cvpr-2025-35404</x:v>
      </x:c>
      <x:c r="U835" t="str"/>
      <x:c r="V835" s="148"/>
      <x:c r="W835" t="str"/>
    </x:row>
    <x:row r="836">
      <x:c r="A836" t="str">
        <x:v>ST-836</x:v>
      </x:c>
      <x:c r="B836" t="str">
        <x:v>Talk</x:v>
      </x:c>
      <x:c r="C836" t="str">
        <x:v>Vision</x:v>
      </x:c>
      <x:c r="D836" t="str">
        <x:v>AI for Science</x:v>
      </x:c>
      <x:c r="E836" t="str">
        <x:v>Black Holes; Computational Imaging; Astronomy; Scientific Visualization; Computer Vision</x:v>
      </x:c>
      <x:c r="F836" t="str">
        <x:v>English</x:v>
      </x:c>
      <x:c r="G836" t="str">
        <x:v>Taking Pictures and Making Movies of Black Holes</x:v>
      </x:c>
      <x:c r="H836" t="str">
        <x:v>Sheperd Doeleman</x:v>
      </x:c>
      <x:c r="I836" t="str">
        <x:v>ICCV</x:v>
      </x:c>
      <x:c r="J836" t="str">
        <x:v>Conference Keynote</x:v>
      </x:c>
      <x:c r="K836" s="148" t="n">
        <x:v>60</x:v>
      </x:c>
      <x:c r="L836" t="str">
        <x:v>https://iccv.thecvf.com/virtual/2025/invited-talk/2718</x:v>
      </x:c>
      <x:c r="M836" t="str">
        <x:v>Conference Site</x:v>
      </x:c>
      <x:c r="N836" s="150" t="n">
        <x:v>0</x:v>
      </x:c>
      <x:c r="O836" t="str">
        <x:v>A | Official / Original Creator / Organizer</x:v>
      </x:c>
      <x:c r="P836" t="str">
        <x:v>Core</x:v>
      </x:c>
      <x:c r="Q836" t="str">
        <x:v>Verified</x:v>
      </x:c>
      <x:c r="R836" s="142" t="n">
        <x:v>46249</x:v>
      </x:c>
      <x:c r="S83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6" t="str">
        <x:v>iccv-2025-2718</x:v>
      </x:c>
      <x:c r="U836" t="str"/>
      <x:c r="V836" s="148"/>
      <x:c r="W836" t="str"/>
    </x:row>
    <x:row r="837">
      <x:c r="A837" t="str">
        <x:v>ST-837</x:v>
      </x:c>
      <x:c r="B837" t="str">
        <x:v>Talk</x:v>
      </x:c>
      <x:c r="C837" t="str">
        <x:v>Vision</x:v>
      </x:c>
      <x:c r="D837" t="str">
        <x:v>Computer Vision / 3D Vision</x:v>
      </x:c>
      <x:c r="E837" t="str">
        <x:v>Computational Imaging; 3D Reconstruction; Cultural Heritage; Computer Vision; Scientific Discovery</x:v>
      </x:c>
      <x:c r="F837" t="str">
        <x:v>English</x:v>
      </x:c>
      <x:c r="G837" t="str">
        <x:v>On Perseverance: Virtually Unwrapping the Herculaneum Scrolls</x:v>
      </x:c>
      <x:c r="H837" t="str">
        <x:v>Brent Seales</x:v>
      </x:c>
      <x:c r="I837" t="str">
        <x:v>ICCV</x:v>
      </x:c>
      <x:c r="J837" t="str">
        <x:v>Conference Keynote</x:v>
      </x:c>
      <x:c r="K837" s="148" t="n">
        <x:v>60</x:v>
      </x:c>
      <x:c r="L837" t="str">
        <x:v>https://iccv.thecvf.com/virtual/2025/invited-talk/2719</x:v>
      </x:c>
      <x:c r="M837" t="str">
        <x:v>Conference Site</x:v>
      </x:c>
      <x:c r="N837" s="150" t="n">
        <x:v>0</x:v>
      </x:c>
      <x:c r="O837" t="str">
        <x:v>A | Official / Original Creator / Organizer</x:v>
      </x:c>
      <x:c r="P837" t="str">
        <x:v>Core</x:v>
      </x:c>
      <x:c r="Q837" t="str">
        <x:v>Verified</x:v>
      </x:c>
      <x:c r="R837" s="142" t="n">
        <x:v>46249</x:v>
      </x:c>
      <x:c r="S83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7" t="str">
        <x:v>iccv-2025-2719</x:v>
      </x:c>
      <x:c r="U837" t="str"/>
      <x:c r="V837" s="148"/>
      <x:c r="W837" t="str"/>
    </x:row>
    <x:row r="838">
      <x:c r="A838" t="str">
        <x:v>ST-838</x:v>
      </x:c>
      <x:c r="B838" t="str">
        <x:v>Talk</x:v>
      </x:c>
      <x:c r="C838" t="str">
        <x:v>Other</x:v>
      </x:c>
      <x:c r="D838" t="str">
        <x:v>AI Evaluation / Cognitive Science</x:v>
      </x:c>
      <x:c r="E838" t="str">
        <x:v>Cognitive Science; Child Learning; Embodied Learning; Development; Artificial Intelligence</x:v>
      </x:c>
      <x:c r="F838" t="str">
        <x:v>English</x:v>
      </x:c>
      <x:c r="G838" t="str">
        <x:v>The Efficiency of Learner-Generated Experiences</x:v>
      </x:c>
      <x:c r="H838" t="str">
        <x:v>Linda B. Smith</x:v>
      </x:c>
      <x:c r="I838" t="str">
        <x:v>ICCV</x:v>
      </x:c>
      <x:c r="J838" t="str">
        <x:v>Conference Keynote</x:v>
      </x:c>
      <x:c r="K838" s="148" t="n">
        <x:v>60</x:v>
      </x:c>
      <x:c r="L838" t="str">
        <x:v>https://iccv.thecvf.com/virtual/2025/invited-talk/2720</x:v>
      </x:c>
      <x:c r="M838" t="str">
        <x:v>Conference Site</x:v>
      </x:c>
      <x:c r="N838" s="150" t="n">
        <x:v>0</x:v>
      </x:c>
      <x:c r="O838" t="str">
        <x:v>A | Official / Original Creator / Organizer</x:v>
      </x:c>
      <x:c r="P838" t="str">
        <x:v>Core</x:v>
      </x:c>
      <x:c r="Q838" t="str">
        <x:v>Verified</x:v>
      </x:c>
      <x:c r="R838" s="142" t="n">
        <x:v>46249</x:v>
      </x:c>
      <x:c r="S83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8" t="str">
        <x:v>iccv-2025-2720</x:v>
      </x:c>
      <x:c r="U838" t="str"/>
      <x:c r="V838" s="148"/>
      <x:c r="W838" t="str"/>
    </x:row>
    <x:row r="839">
      <x:c r="A839" t="str">
        <x:v>ST-839</x:v>
      </x:c>
      <x:c r="B839" t="str">
        <x:v>Talk</x:v>
      </x:c>
      <x:c r="C839" t="str">
        <x:v>Robotics</x:v>
      </x:c>
      <x:c r="D839" t="str">
        <x:v>Robotics / Embodied AI</x:v>
      </x:c>
      <x:c r="E839" t="str">
        <x:v>Embodiment; Evolutionary Robotics; Deep Learning; Morphology; Artificial Life</x:v>
      </x:c>
      <x:c r="F839" t="str">
        <x:v>English</x:v>
      </x:c>
      <x:c r="G839" t="str">
        <x:v>The Tip and the Iceberg: Deep Learning and Embodiment</x:v>
      </x:c>
      <x:c r="H839" t="str">
        <x:v>Joshua Bongard</x:v>
      </x:c>
      <x:c r="I839" t="str">
        <x:v>CVPR</x:v>
      </x:c>
      <x:c r="J839" t="str">
        <x:v>Conference Keynote</x:v>
      </x:c>
      <x:c r="K839" s="148" t="n">
        <x:v>60</x:v>
      </x:c>
      <x:c r="L839" t="str">
        <x:v>https://cvpr.thecvf.com/virtual/2024/invited-talk/32077</x:v>
      </x:c>
      <x:c r="M839" t="str">
        <x:v>Conference Site</x:v>
      </x:c>
      <x:c r="N839" s="150" t="n">
        <x:v>0</x:v>
      </x:c>
      <x:c r="O839" t="str">
        <x:v>A | Official / Original Creator / Organizer</x:v>
      </x:c>
      <x:c r="P839" t="str">
        <x:v>Core</x:v>
      </x:c>
      <x:c r="Q839" t="str">
        <x:v>Verified</x:v>
      </x:c>
      <x:c r="R839" s="142" t="n">
        <x:v>46249</x:v>
      </x:c>
      <x:c r="S83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39" t="str">
        <x:v>cvpr-2024-32077</x:v>
      </x:c>
      <x:c r="U839" t="str"/>
      <x:c r="V839" s="148"/>
      <x:c r="W839" t="str"/>
    </x:row>
    <x:row r="840">
      <x:c r="A840" t="str">
        <x:v>ST-840</x:v>
      </x:c>
      <x:c r="B840" t="str">
        <x:v>Talk</x:v>
      </x:c>
      <x:c r="C840" t="str">
        <x:v>Other</x:v>
      </x:c>
      <x:c r="D840" t="str">
        <x:v>AI for Science</x:v>
      </x:c>
      <x:c r="E840" t="str">
        <x:v>Protein Design; Deep Learning; Biology; Generative Models; Scientific Discovery</x:v>
      </x:c>
      <x:c r="F840" t="str">
        <x:v>English</x:v>
      </x:c>
      <x:c r="G840" t="str">
        <x:v>Design of New Protein Functions Using Deep Learning</x:v>
      </x:c>
      <x:c r="H840" t="str">
        <x:v>David Baker</x:v>
      </x:c>
      <x:c r="I840" t="str">
        <x:v>CVPR</x:v>
      </x:c>
      <x:c r="J840" t="str">
        <x:v>Conference Keynote</x:v>
      </x:c>
      <x:c r="K840" s="148" t="n">
        <x:v>60</x:v>
      </x:c>
      <x:c r="L840" t="str">
        <x:v>https://cvpr.thecvf.com/virtual/2024/invited-talk/32078</x:v>
      </x:c>
      <x:c r="M840" t="str">
        <x:v>Conference Site</x:v>
      </x:c>
      <x:c r="N840" s="150" t="n">
        <x:v>0</x:v>
      </x:c>
      <x:c r="O840" t="str">
        <x:v>A | Official / Original Creator / Organizer</x:v>
      </x:c>
      <x:c r="P840" t="str">
        <x:v>Core</x:v>
      </x:c>
      <x:c r="Q840" t="str">
        <x:v>Verified</x:v>
      </x:c>
      <x:c r="R840" s="142" t="n">
        <x:v>46249</x:v>
      </x:c>
      <x:c r="S84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0" t="str">
        <x:v>cvpr-2024-32078</x:v>
      </x:c>
      <x:c r="U840" t="str"/>
      <x:c r="V840" s="148"/>
      <x:c r="W840" t="str"/>
    </x:row>
    <x:row r="841">
      <x:c r="A841" t="str">
        <x:v>ST-841</x:v>
      </x:c>
      <x:c r="B841" t="str">
        <x:v>Talk</x:v>
      </x:c>
      <x:c r="C841" t="str">
        <x:v>Vision</x:v>
      </x:c>
      <x:c r="D841" t="str">
        <x:v>Representation Learning / Generative Models</x:v>
      </x:c>
      <x:c r="E841" t="str">
        <x:v>Generative Art; Artificial Biodiversity; Computer Vision; Generative Models; Visual Culture</x:v>
      </x:c>
      <x:c r="F841" t="str">
        <x:v>English</x:v>
      </x:c>
      <x:c r="G841" t="str">
        <x:v>Entanglements, Exploring Artificial Biodiversity</x:v>
      </x:c>
      <x:c r="H841" t="str">
        <x:v>Sofia Crespo</x:v>
      </x:c>
      <x:c r="I841" t="str">
        <x:v>CVPR</x:v>
      </x:c>
      <x:c r="J841" t="str">
        <x:v>Conference Keynote</x:v>
      </x:c>
      <x:c r="K841" s="148" t="n">
        <x:v>60</x:v>
      </x:c>
      <x:c r="L841" t="str">
        <x:v>https://cvpr.thecvf.com/virtual/2024/invited-talk/32079</x:v>
      </x:c>
      <x:c r="M841" t="str">
        <x:v>Conference Site</x:v>
      </x:c>
      <x:c r="N841" s="150" t="n">
        <x:v>0</x:v>
      </x:c>
      <x:c r="O841" t="str">
        <x:v>A | Official / Original Creator / Organizer</x:v>
      </x:c>
      <x:c r="P841" t="str">
        <x:v>Recommended</x:v>
      </x:c>
      <x:c r="Q841" t="str">
        <x:v>Verified</x:v>
      </x:c>
      <x:c r="R841" s="142" t="n">
        <x:v>46249</x:v>
      </x:c>
      <x:c r="S84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1" t="str">
        <x:v>cvpr-2024-32079</x:v>
      </x:c>
      <x:c r="U841" t="str"/>
      <x:c r="V841" s="148"/>
      <x:c r="W841" t="str"/>
    </x:row>
    <x:row r="842">
      <x:c r="A842" t="str">
        <x:v>ST-842</x:v>
      </x:c>
      <x:c r="B842" t="str">
        <x:v>Talk</x:v>
      </x:c>
      <x:c r="C842" t="str">
        <x:v>Vision</x:v>
      </x:c>
      <x:c r="D842" t="str">
        <x:v>Representation Learning / Generative Models</x:v>
      </x:c>
      <x:c r="E842" t="str">
        <x:v>AI Avatars; Computer Vision; Video Generation; Generative Models; Research Translation</x:v>
      </x:c>
      <x:c r="F842" t="str">
        <x:v>English</x:v>
      </x:c>
      <x:c r="G842" t="str">
        <x:v>Synthesia: From Computer Vision Research to Real-World AI Avatars</x:v>
      </x:c>
      <x:c r="H842" t="str">
        <x:v>Lourdes Agapito and Vittorio Ferrari</x:v>
      </x:c>
      <x:c r="I842" t="str">
        <x:v>ECCV</x:v>
      </x:c>
      <x:c r="J842" t="str">
        <x:v>Conference Keynote</x:v>
      </x:c>
      <x:c r="K842" s="148" t="n">
        <x:v>60</x:v>
      </x:c>
      <x:c r="L842" t="str">
        <x:v>https://eccv.ecva.net/virtual/2024/invited-talk/2703</x:v>
      </x:c>
      <x:c r="M842" t="str">
        <x:v>Conference Site</x:v>
      </x:c>
      <x:c r="N842" s="150" t="n">
        <x:v>0</x:v>
      </x:c>
      <x:c r="O842" t="str">
        <x:v>A | Official / Original Creator / Organizer</x:v>
      </x:c>
      <x:c r="P842" t="str">
        <x:v>Core</x:v>
      </x:c>
      <x:c r="Q842" t="str">
        <x:v>Verified</x:v>
      </x:c>
      <x:c r="R842" s="142" t="n">
        <x:v>46249</x:v>
      </x:c>
      <x:c r="S84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2" t="str">
        <x:v>eccv-2024-2703</x:v>
      </x:c>
      <x:c r="U842" t="str"/>
      <x:c r="V842" s="148"/>
      <x:c r="W842" t="str"/>
    </x:row>
    <x:row r="843">
      <x:c r="A843" t="str">
        <x:v>ST-843</x:v>
      </x:c>
      <x:c r="B843" t="str">
        <x:v>Talk</x:v>
      </x:c>
      <x:c r="C843" t="str">
        <x:v>Other</x:v>
      </x:c>
      <x:c r="D843" t="str">
        <x:v>AI and Society</x:v>
      </x:c>
      <x:c r="E843" t="str">
        <x:v>AI Fairness; Transparency; Accountability; AI Law; Responsible AI</x:v>
      </x:c>
      <x:c r="F843" t="str">
        <x:v>English</x:v>
      </x:c>
      <x:c r="G843" t="str">
        <x:v>Fair, Transparent, and Accountable AI: What Is Legally Required, What Is Ethically Desired, and What Is Technically Feasible?</x:v>
      </x:c>
      <x:c r="H843" t="str">
        <x:v>Sandra Wachter</x:v>
      </x:c>
      <x:c r="I843" t="str">
        <x:v>ECCV</x:v>
      </x:c>
      <x:c r="J843" t="str">
        <x:v>Conference Keynote</x:v>
      </x:c>
      <x:c r="K843" s="148" t="n">
        <x:v>60</x:v>
      </x:c>
      <x:c r="L843" t="str">
        <x:v>https://eccv.ecva.net/virtual/2024/invited-talk/2702</x:v>
      </x:c>
      <x:c r="M843" t="str">
        <x:v>Conference Site</x:v>
      </x:c>
      <x:c r="N843" s="150" t="n">
        <x:v>0</x:v>
      </x:c>
      <x:c r="O843" t="str">
        <x:v>A | Official / Original Creator / Organizer</x:v>
      </x:c>
      <x:c r="P843" t="str">
        <x:v>Recommended</x:v>
      </x:c>
      <x:c r="Q843" t="str">
        <x:v>Verified</x:v>
      </x:c>
      <x:c r="R843" s="142" t="n">
        <x:v>46249</x:v>
      </x:c>
      <x:c r="S84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3" t="str">
        <x:v>eccv-2024-2702</x:v>
      </x:c>
      <x:c r="U843" t="str"/>
      <x:c r="V843" s="148"/>
      <x:c r="W843" t="str"/>
    </x:row>
    <x:row r="844">
      <x:c r="A844" t="str">
        <x:v>ST-844</x:v>
      </x:c>
      <x:c r="B844" t="str">
        <x:v>Talk</x:v>
      </x:c>
      <x:c r="C844" t="str">
        <x:v>Other</x:v>
      </x:c>
      <x:c r="D844" t="str">
        <x:v>Machine Learning Research</x:v>
      </x:c>
      <x:c r="E844" t="str">
        <x:v>Distribution Shift; Robustness; Generalization; Foundation Models; Trustworthy AI</x:v>
      </x:c>
      <x:c r="F844" t="str">
        <x:v>English</x:v>
      </x:c>
      <x:c r="G844" t="str">
        <x:v>Is Distribution Shift Still an AI Problem?</x:v>
      </x:c>
      <x:c r="H844" t="str">
        <x:v>Sanmi Koyejo</x:v>
      </x:c>
      <x:c r="I844" t="str">
        <x:v>ECCV</x:v>
      </x:c>
      <x:c r="J844" t="str">
        <x:v>Conference Keynote</x:v>
      </x:c>
      <x:c r="K844" s="148" t="n">
        <x:v>60</x:v>
      </x:c>
      <x:c r="L844" t="str">
        <x:v>https://eccv.ecva.net/virtual/2024/invited-talk/2701</x:v>
      </x:c>
      <x:c r="M844" t="str">
        <x:v>Conference Site</x:v>
      </x:c>
      <x:c r="N844" s="150" t="n">
        <x:v>0</x:v>
      </x:c>
      <x:c r="O844" t="str">
        <x:v>A | Official / Original Creator / Organizer</x:v>
      </x:c>
      <x:c r="P844" t="str">
        <x:v>Core</x:v>
      </x:c>
      <x:c r="Q844" t="str">
        <x:v>Verified</x:v>
      </x:c>
      <x:c r="R844" s="142" t="n">
        <x:v>46249</x:v>
      </x:c>
      <x:c r="S84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4" t="str">
        <x:v>eccv-2024-2701</x:v>
      </x:c>
      <x:c r="U844" t="str"/>
      <x:c r="V844" s="148"/>
      <x:c r="W844" t="str"/>
    </x:row>
    <x:row r="845">
      <x:c r="A845" t="str">
        <x:v>ST-845</x:v>
      </x:c>
      <x:c r="B845" t="str">
        <x:v>Talk</x:v>
      </x:c>
      <x:c r="C845" t="str">
        <x:v>Other</x:v>
      </x:c>
      <x:c r="D845" t="str">
        <x:v>AI and Society</x:v>
      </x:c>
      <x:c r="E845" t="str">
        <x:v>Machine Learning in Health; Ethics; Bias; Clinical AI; Responsible AI</x:v>
      </x:c>
      <x:c r="F845" t="str">
        <x:v>English</x:v>
      </x:c>
      <x:c r="G845" t="str">
        <x:v>Taking the Pulse of Ethical ML in Health</x:v>
      </x:c>
      <x:c r="H845" t="str">
        <x:v>Marzyeh Ghassemi</x:v>
      </x:c>
      <x:c r="I845" t="str">
        <x:v>ICML</x:v>
      </x:c>
      <x:c r="J845" t="str">
        <x:v>Conference Keynote</x:v>
      </x:c>
      <x:c r="K845" s="148" t="n">
        <x:v>75</x:v>
      </x:c>
      <x:c r="L845" t="str">
        <x:v>https://icml.cc/virtual/2023/invited-talk/21544</x:v>
      </x:c>
      <x:c r="M845" t="str">
        <x:v>Conference Site</x:v>
      </x:c>
      <x:c r="N845" s="150" t="n">
        <x:v>0</x:v>
      </x:c>
      <x:c r="O845" t="str">
        <x:v>A | Official / Original Creator / Organizer</x:v>
      </x:c>
      <x:c r="P845" t="str">
        <x:v>Core</x:v>
      </x:c>
      <x:c r="Q845" t="str">
        <x:v>Verified</x:v>
      </x:c>
      <x:c r="R845" s="142" t="n">
        <x:v>46249</x:v>
      </x:c>
      <x:c r="S84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5" t="str">
        <x:v>icml-2023-21544</x:v>
      </x:c>
      <x:c r="U845" t="str"/>
      <x:c r="V845" s="148"/>
      <x:c r="W845" t="str"/>
    </x:row>
    <x:row r="846">
      <x:c r="A846" t="str">
        <x:v>ST-846</x:v>
      </x:c>
      <x:c r="B846" t="str">
        <x:v>Talk</x:v>
      </x:c>
      <x:c r="C846" t="str">
        <x:v>Other</x:v>
      </x:c>
      <x:c r="D846" t="str">
        <x:v>AI and Society</x:v>
      </x:c>
      <x:c r="E846" t="str">
        <x:v>Social Purpose; Responsible AI; Machine Learning; Global South; Societal Impact</x:v>
      </x:c>
      <x:c r="F846" t="str">
        <x:v>English</x:v>
      </x:c>
      <x:c r="G846" t="str">
        <x:v>Machine Learning with Social Purpose</x:v>
      </x:c>
      <x:c r="H846" t="str">
        <x:v>Shakir Mohamed</x:v>
      </x:c>
      <x:c r="I846" t="str">
        <x:v>ICML</x:v>
      </x:c>
      <x:c r="J846" t="str">
        <x:v>Conference Keynote</x:v>
      </x:c>
      <x:c r="K846" s="148" t="n">
        <x:v>60</x:v>
      </x:c>
      <x:c r="L846" t="str">
        <x:v>https://icml.cc/virtual/2023/invited-talk/21547</x:v>
      </x:c>
      <x:c r="M846" t="str">
        <x:v>Conference Site</x:v>
      </x:c>
      <x:c r="N846" s="150" t="n">
        <x:v>0</x:v>
      </x:c>
      <x:c r="O846" t="str">
        <x:v>A | Official / Original Creator / Organizer</x:v>
      </x:c>
      <x:c r="P846" t="str">
        <x:v>Core</x:v>
      </x:c>
      <x:c r="Q846" t="str">
        <x:v>Verified</x:v>
      </x:c>
      <x:c r="R846" s="142" t="n">
        <x:v>46249</x:v>
      </x:c>
      <x:c r="S84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6" t="str">
        <x:v>icml-2023-21547</x:v>
      </x:c>
      <x:c r="U846" t="str"/>
      <x:c r="V846" s="148"/>
      <x:c r="W846" t="str"/>
    </x:row>
    <x:row r="847">
      <x:c r="A847" t="str">
        <x:v>ST-847</x:v>
      </x:c>
      <x:c r="B847" t="str">
        <x:v>Talk</x:v>
      </x:c>
      <x:c r="C847" t="str">
        <x:v>Other</x:v>
      </x:c>
      <x:c r="D847" t="str">
        <x:v>AI for Science</x:v>
      </x:c>
      <x:c r="E847" t="str">
        <x:v>CRISPR; Biology; Machine Learning; Health; Climate</x:v>
      </x:c>
      <x:c r="F847" t="str">
        <x:v>English</x:v>
      </x:c>
      <x:c r="G847" t="str">
        <x:v>The Future of ML in Biology: CRISPR for Health and Climate</x:v>
      </x:c>
      <x:c r="H847" t="str">
        <x:v>Jennifer Doudna</x:v>
      </x:c>
      <x:c r="I847" t="str">
        <x:v>ICML</x:v>
      </x:c>
      <x:c r="J847" t="str">
        <x:v>Conference Keynote</x:v>
      </x:c>
      <x:c r="K847" s="148" t="n">
        <x:v>60</x:v>
      </x:c>
      <x:c r="L847" t="str">
        <x:v>https://icml.cc/virtual/2023/invited-talk/21546</x:v>
      </x:c>
      <x:c r="M847" t="str">
        <x:v>Conference Site</x:v>
      </x:c>
      <x:c r="N847" s="150" t="n">
        <x:v>0</x:v>
      </x:c>
      <x:c r="O847" t="str">
        <x:v>A | Official / Original Creator / Organizer</x:v>
      </x:c>
      <x:c r="P847" t="str">
        <x:v>Core</x:v>
      </x:c>
      <x:c r="Q847" t="str">
        <x:v>Verified</x:v>
      </x:c>
      <x:c r="R847" s="142" t="n">
        <x:v>46249</x:v>
      </x:c>
      <x:c r="S84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7" t="str">
        <x:v>icml-2023-21546</x:v>
      </x:c>
      <x:c r="U847" t="str"/>
      <x:c r="V847" s="148"/>
      <x:c r="W847" t="str"/>
    </x:row>
    <x:row r="848">
      <x:c r="A848" t="str">
        <x:v>ST-848</x:v>
      </x:c>
      <x:c r="B848" t="str">
        <x:v>Talk</x:v>
      </x:c>
      <x:c r="C848" t="str">
        <x:v>Agent</x:v>
      </x:c>
      <x:c r="D848" t="str">
        <x:v>Agents / Reinforcement Learning</x:v>
      </x:c>
      <x:c r="E848" t="str">
        <x:v>RLHF; Proxy Objectives; Reinforcement Learning; Alignment; Reward Modeling</x:v>
      </x:c>
      <x:c r="F848" t="str">
        <x:v>English</x:v>
      </x:c>
      <x:c r="G848" t="str">
        <x:v>Proxy Objectives in Reinforcement Learning from Human Feedback</x:v>
      </x:c>
      <x:c r="H848" t="str">
        <x:v>John Schulman</x:v>
      </x:c>
      <x:c r="I848" t="str">
        <x:v>ICML</x:v>
      </x:c>
      <x:c r="J848" t="str">
        <x:v>Conference Keynote</x:v>
      </x:c>
      <x:c r="K848" s="148" t="n">
        <x:v>60</x:v>
      </x:c>
      <x:c r="L848" t="str">
        <x:v>https://icml.cc/virtual/2023/invited-talk/21549</x:v>
      </x:c>
      <x:c r="M848" t="str">
        <x:v>Conference Site</x:v>
      </x:c>
      <x:c r="N848" s="150" t="n">
        <x:v>0</x:v>
      </x:c>
      <x:c r="O848" t="str">
        <x:v>A | Official / Original Creator / Organizer</x:v>
      </x:c>
      <x:c r="P848" t="str">
        <x:v>Core</x:v>
      </x:c>
      <x:c r="Q848" t="str">
        <x:v>Verified</x:v>
      </x:c>
      <x:c r="R848" s="142" t="n">
        <x:v>46249</x:v>
      </x:c>
      <x:c r="S848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8" t="str">
        <x:v>icml-2023-21549</x:v>
      </x:c>
      <x:c r="U848" t="str"/>
      <x:c r="V848" s="148"/>
      <x:c r="W848" t="str"/>
    </x:row>
    <x:row r="849">
      <x:c r="A849" t="str">
        <x:v>ST-849</x:v>
      </x:c>
      <x:c r="B849" t="str">
        <x:v>Talk</x:v>
      </x:c>
      <x:c r="C849" t="str">
        <x:v>Other</x:v>
      </x:c>
      <x:c r="D849" t="str">
        <x:v>Foundation Models / AI Frontiers</x:v>
      </x:c>
      <x:c r="E849" t="str">
        <x:v>Generative AI; Scaling; Foundation Models; Efficiency; AI Research</x:v>
      </x:c>
      <x:c r="F849" t="str">
        <x:v>English</x:v>
      </x:c>
      <x:c r="G849" t="str">
        <x:v>NextGenAI: The Delusion of Scaling and the Future of Generative AI</x:v>
      </x:c>
      <x:c r="H849" t="str">
        <x:v>Björn Ommer</x:v>
      </x:c>
      <x:c r="I849" t="str">
        <x:v>NeurIPS</x:v>
      </x:c>
      <x:c r="J849" t="str">
        <x:v>Conference Keynote</x:v>
      </x:c>
      <x:c r="K849" s="148" t="n">
        <x:v>50</x:v>
      </x:c>
      <x:c r="L849" t="str">
        <x:v>https://neurips.cc/virtual/2023/invited-talk/73988</x:v>
      </x:c>
      <x:c r="M849" t="str">
        <x:v>Conference Site</x:v>
      </x:c>
      <x:c r="N849" s="150" t="n">
        <x:v>0</x:v>
      </x:c>
      <x:c r="O849" t="str">
        <x:v>A | Official / Original Creator / Organizer</x:v>
      </x:c>
      <x:c r="P849" t="str">
        <x:v>Core</x:v>
      </x:c>
      <x:c r="Q849" t="str">
        <x:v>Verified</x:v>
      </x:c>
      <x:c r="R849" s="142" t="n">
        <x:v>46249</x:v>
      </x:c>
      <x:c r="S849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49" t="str">
        <x:v>neurips-2023-73988</x:v>
      </x:c>
      <x:c r="U849" t="str"/>
      <x:c r="V849" s="148"/>
      <x:c r="W849" t="str"/>
    </x:row>
    <x:row r="850">
      <x:c r="A850" t="str">
        <x:v>ST-850</x:v>
      </x:c>
      <x:c r="B850" t="str">
        <x:v>Talk</x:v>
      </x:c>
      <x:c r="C850" t="str">
        <x:v>Other</x:v>
      </x:c>
      <x:c r="D850" t="str">
        <x:v>AI and Society</x:v>
      </x:c>
      <x:c r="E850" t="str">
        <x:v>Responsible AI; Data Quality; Human-Centered AI; Evaluation; Governance</x:v>
      </x:c>
      <x:c r="F850" t="str">
        <x:v>English</x:v>
      </x:c>
      <x:c r="G850" t="str">
        <x:v>The Many Faces of Responsible AI</x:v>
      </x:c>
      <x:c r="H850" t="str">
        <x:v>Lora Aroyo</x:v>
      </x:c>
      <x:c r="I850" t="str">
        <x:v>NeurIPS</x:v>
      </x:c>
      <x:c r="J850" t="str">
        <x:v>Conference Keynote</x:v>
      </x:c>
      <x:c r="K850" s="148" t="n">
        <x:v>50</x:v>
      </x:c>
      <x:c r="L850" t="str">
        <x:v>https://neurips.cc/virtual/2023/invited-talk/73993</x:v>
      </x:c>
      <x:c r="M850" t="str">
        <x:v>Conference Site</x:v>
      </x:c>
      <x:c r="N850" s="150" t="n">
        <x:v>0</x:v>
      </x:c>
      <x:c r="O850" t="str">
        <x:v>A | Official / Original Creator / Organizer</x:v>
      </x:c>
      <x:c r="P850" t="str">
        <x:v>Core</x:v>
      </x:c>
      <x:c r="Q850" t="str">
        <x:v>Verified</x:v>
      </x:c>
      <x:c r="R850" s="142" t="n">
        <x:v>46249</x:v>
      </x:c>
      <x:c r="S850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0" t="str">
        <x:v>neurips-2023-73993</x:v>
      </x:c>
      <x:c r="U850" t="str"/>
      <x:c r="V850" s="148"/>
      <x:c r="W850" t="str"/>
    </x:row>
    <x:row r="851">
      <x:c r="A851" t="str">
        <x:v>ST-851</x:v>
      </x:c>
      <x:c r="B851" t="str">
        <x:v>Talk</x:v>
      </x:c>
      <x:c r="C851" t="str">
        <x:v>Other</x:v>
      </x:c>
      <x:c r="D851" t="str">
        <x:v>AI Evaluation / Cognitive Science</x:v>
      </x:c>
      <x:c r="E851" t="str">
        <x:v>Cognitive Science; Development; Self-Supervised Learning; Embodied Learning; AI Evaluation</x:v>
      </x:c>
      <x:c r="F851" t="str">
        <x:v>English</x:v>
      </x:c>
      <x:c r="G851" t="str">
        <x:v>Coherence Statistics, Self-Generated Experience, and Why Young Humans Are Much Smarter Than Current AI</x:v>
      </x:c>
      <x:c r="H851" t="str">
        <x:v>Linda B. Smith</x:v>
      </x:c>
      <x:c r="I851" t="str">
        <x:v>NeurIPS</x:v>
      </x:c>
      <x:c r="J851" t="str">
        <x:v>Conference Keynote</x:v>
      </x:c>
      <x:c r="K851" s="148" t="n">
        <x:v>50</x:v>
      </x:c>
      <x:c r="L851" t="str">
        <x:v>https://neurips.cc/virtual/2023/invited-talk/73992</x:v>
      </x:c>
      <x:c r="M851" t="str">
        <x:v>Conference Site</x:v>
      </x:c>
      <x:c r="N851" s="150" t="n">
        <x:v>0</x:v>
      </x:c>
      <x:c r="O851" t="str">
        <x:v>A | Official / Original Creator / Organizer</x:v>
      </x:c>
      <x:c r="P851" t="str">
        <x:v>Core</x:v>
      </x:c>
      <x:c r="Q851" t="str">
        <x:v>Verified</x:v>
      </x:c>
      <x:c r="R851" s="142" t="n">
        <x:v>46249</x:v>
      </x:c>
      <x:c r="S851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1" t="str">
        <x:v>neurips-2023-73992</x:v>
      </x:c>
      <x:c r="U851" t="str"/>
      <x:c r="V851" s="148"/>
      <x:c r="W851" t="str"/>
    </x:row>
    <x:row r="852">
      <x:c r="A852" t="str">
        <x:v>ST-852</x:v>
      </x:c>
      <x:c r="B852" t="str">
        <x:v>Talk</x:v>
      </x:c>
      <x:c r="C852" t="str">
        <x:v>Other</x:v>
      </x:c>
      <x:c r="D852" t="str">
        <x:v>Machine Learning Foundations</x:v>
      </x:c>
      <x:c r="E852" t="str">
        <x:v>Sketching Algorithms; Learning-Augmented Algorithms; Robustness; Streaming; Theoretical Computer Science</x:v>
      </x:c>
      <x:c r="F852" t="str">
        <x:v>English</x:v>
      </x:c>
      <x:c r="G852" t="str">
        <x:v>Sketching: Core Tools, Learning-Augmentation, and Adaptive Robustness</x:v>
      </x:c>
      <x:c r="H852" t="str">
        <x:v>Jelani Nelson</x:v>
      </x:c>
      <x:c r="I852" t="str">
        <x:v>NeurIPS</x:v>
      </x:c>
      <x:c r="J852" t="str">
        <x:v>Conference Keynote</x:v>
      </x:c>
      <x:c r="K852" s="148" t="n">
        <x:v>50</x:v>
      </x:c>
      <x:c r="L852" t="str">
        <x:v>https://neurips.cc/virtual/2023/invited-talk/73987</x:v>
      </x:c>
      <x:c r="M852" t="str">
        <x:v>Conference Site</x:v>
      </x:c>
      <x:c r="N852" s="150" t="n">
        <x:v>0</x:v>
      </x:c>
      <x:c r="O852" t="str">
        <x:v>A | Official / Original Creator / Organizer</x:v>
      </x:c>
      <x:c r="P852" t="str">
        <x:v>Core</x:v>
      </x:c>
      <x:c r="Q852" t="str">
        <x:v>Verified</x:v>
      </x:c>
      <x:c r="R852" s="142" t="n">
        <x:v>46249</x:v>
      </x:c>
      <x:c r="S852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2" t="str">
        <x:v>neurips-2023-73987</x:v>
      </x:c>
      <x:c r="U852" t="str"/>
      <x:c r="V852" s="148"/>
      <x:c r="W852" t="str"/>
    </x:row>
    <x:row r="853">
      <x:c r="A853" t="str">
        <x:v>ST-853</x:v>
      </x:c>
      <x:c r="B853" t="str">
        <x:v>Talk</x:v>
      </x:c>
      <x:c r="C853" t="str">
        <x:v>Other</x:v>
      </x:c>
      <x:c r="D853" t="str">
        <x:v>Foundation Models / AI Frontiers</x:v>
      </x:c>
      <x:c r="E853" t="str">
        <x:v>Scaling Laws; Foundation Models; Language Models; AI Research; Panel</x:v>
      </x:c>
      <x:c r="F853" t="str">
        <x:v>English</x:v>
      </x:c>
      <x:c r="G853" t="str">
        <x:v>Beyond Scaling Panel</x:v>
      </x:c>
      <x:c r="H853" t="str">
        <x:v>Alexander Rush, Aakanksha Chowdhery, Angela Fan, Percy Liang, and Jie Tang</x:v>
      </x:c>
      <x:c r="I853" t="str">
        <x:v>NeurIPS</x:v>
      </x:c>
      <x:c r="J853" t="str">
        <x:v>Conference Panel</x:v>
      </x:c>
      <x:c r="K853" s="148" t="n">
        <x:v>60</x:v>
      </x:c>
      <x:c r="L853" t="str">
        <x:v>https://neurips.cc/virtual/2023/invited-talk/73994</x:v>
      </x:c>
      <x:c r="M853" t="str">
        <x:v>Conference Site</x:v>
      </x:c>
      <x:c r="N853" s="150" t="n">
        <x:v>0</x:v>
      </x:c>
      <x:c r="O853" t="str">
        <x:v>A | Official / Original Creator / Organizer</x:v>
      </x:c>
      <x:c r="P853" t="str">
        <x:v>Core</x:v>
      </x:c>
      <x:c r="Q853" t="str">
        <x:v>Verified</x:v>
      </x:c>
      <x:c r="R853" s="142" t="n">
        <x:v>46249</x:v>
      </x:c>
      <x:c r="S853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3" t="str">
        <x:v>neurips-2023-73994</x:v>
      </x:c>
      <x:c r="U853" t="str"/>
      <x:c r="V853" s="148"/>
      <x:c r="W853" t="str"/>
    </x:row>
    <x:row r="854">
      <x:c r="A854" t="str">
        <x:v>ST-854</x:v>
      </x:c>
      <x:c r="B854" t="str">
        <x:v>Talk</x:v>
      </x:c>
      <x:c r="C854" t="str">
        <x:v>Other</x:v>
      </x:c>
      <x:c r="D854" t="str">
        <x:v>AI Systems / Infrastructure</x:v>
      </x:c>
      <x:c r="E854" t="str">
        <x:v>Foundation Models; AI Systems; Data Systems; Model Serving; Systems Research</x:v>
      </x:c>
      <x:c r="F854" t="str">
        <x:v>English</x:v>
      </x:c>
      <x:c r="G854" t="str">
        <x:v>Systems for Foundation Models, and Foundation Models for Systems</x:v>
      </x:c>
      <x:c r="H854" t="str">
        <x:v>Christopher Ré</x:v>
      </x:c>
      <x:c r="I854" t="str">
        <x:v>NeurIPS</x:v>
      </x:c>
      <x:c r="J854" t="str">
        <x:v>Conference Keynote</x:v>
      </x:c>
      <x:c r="K854" s="148" t="n">
        <x:v>50</x:v>
      </x:c>
      <x:c r="L854" t="str">
        <x:v>https://neurips.cc/virtual/2023/invited-talk/73990</x:v>
      </x:c>
      <x:c r="M854" t="str">
        <x:v>Conference Site</x:v>
      </x:c>
      <x:c r="N854" s="150" t="n">
        <x:v>0</x:v>
      </x:c>
      <x:c r="O854" t="str">
        <x:v>A | Official / Original Creator / Organizer</x:v>
      </x:c>
      <x:c r="P854" t="str">
        <x:v>Core</x:v>
      </x:c>
      <x:c r="Q854" t="str">
        <x:v>Verified</x:v>
      </x:c>
      <x:c r="R854" s="142" t="n">
        <x:v>46249</x:v>
      </x:c>
      <x:c r="S854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4" t="str">
        <x:v>neurips-2023-73990</x:v>
      </x:c>
      <x:c r="U854" t="str"/>
      <x:c r="V854" s="148"/>
      <x:c r="W854" t="str"/>
    </x:row>
    <x:row r="855">
      <x:c r="A855" t="str">
        <x:v>ST-855</x:v>
      </x:c>
      <x:c r="B855" t="str">
        <x:v>Talk</x:v>
      </x:c>
      <x:c r="C855" t="str">
        <x:v>Agent</x:v>
      </x:c>
      <x:c r="D855" t="str">
        <x:v>Agents / Reinforcement Learning</x:v>
      </x:c>
      <x:c r="E855" t="str">
        <x:v>Online Reinforcement Learning; Digital Health; Contextual Bandits; Personalization; Clinical AI</x:v>
      </x:c>
      <x:c r="F855" t="str">
        <x:v>English</x:v>
      </x:c>
      <x:c r="G855" t="str">
        <x:v>Online Reinforcement Learning in Digital Health Interventions</x:v>
      </x:c>
      <x:c r="H855" t="str">
        <x:v>Susan Murphy</x:v>
      </x:c>
      <x:c r="I855" t="str">
        <x:v>NeurIPS</x:v>
      </x:c>
      <x:c r="J855" t="str">
        <x:v>Conference Keynote</x:v>
      </x:c>
      <x:c r="K855" s="148" t="n">
        <x:v>50</x:v>
      </x:c>
      <x:c r="L855" t="str">
        <x:v>https://neurips.cc/virtual/2023/invited-talk/73989</x:v>
      </x:c>
      <x:c r="M855" t="str">
        <x:v>Conference Site</x:v>
      </x:c>
      <x:c r="N855" s="150" t="n">
        <x:v>0</x:v>
      </x:c>
      <x:c r="O855" t="str">
        <x:v>A | Official / Original Creator / Organizer</x:v>
      </x:c>
      <x:c r="P855" t="str">
        <x:v>Core</x:v>
      </x:c>
      <x:c r="Q855" t="str">
        <x:v>Verified</x:v>
      </x:c>
      <x:c r="R855" s="142" t="n">
        <x:v>46249</x:v>
      </x:c>
      <x:c r="S855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5" t="str">
        <x:v>neurips-2023-73989</x:v>
      </x:c>
      <x:c r="U855" t="str"/>
      <x:c r="V855" s="148"/>
      <x:c r="W855" t="str"/>
    </x:row>
    <x:row r="856">
      <x:c r="A856" t="str">
        <x:v>ST-856</x:v>
      </x:c>
      <x:c r="B856" t="str">
        <x:v>Talk</x:v>
      </x:c>
      <x:c r="C856" t="str">
        <x:v>Other</x:v>
      </x:c>
      <x:c r="D856" t="str">
        <x:v>Large-Model Systems</x:v>
      </x:c>
      <x:c r="E856" t="str">
        <x:v>Large Language Models; Factuality; Retrieval; Evaluation; ML Systems</x:v>
      </x:c>
      <x:c r="F856" t="str">
        <x:v>English</x:v>
      </x:c>
      <x:c r="G856" t="str">
        <x:v>Improving the Quality and Factuality of Large Language Model Applications</x:v>
      </x:c>
      <x:c r="H856" t="str">
        <x:v>Matei Zaharia</x:v>
      </x:c>
      <x:c r="I856" t="str">
        <x:v>MLSys</x:v>
      </x:c>
      <x:c r="J856" t="str">
        <x:v>Conference Keynote</x:v>
      </x:c>
      <x:c r="K856" s="148" t="n">
        <x:v>60</x:v>
      </x:c>
      <x:c r="L856" t="str">
        <x:v>https://mlsys.org/virtual/2023/invited-talk/2482</x:v>
      </x:c>
      <x:c r="M856" t="str">
        <x:v>Conference Site</x:v>
      </x:c>
      <x:c r="N856" s="150" t="n">
        <x:v>0</x:v>
      </x:c>
      <x:c r="O856" t="str">
        <x:v>A | Official / Original Creator / Organizer</x:v>
      </x:c>
      <x:c r="P856" t="str">
        <x:v>Core</x:v>
      </x:c>
      <x:c r="Q856" t="str">
        <x:v>Verified</x:v>
      </x:c>
      <x:c r="R856" s="142" t="n">
        <x:v>46249</x:v>
      </x:c>
      <x:c r="S856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6" t="str">
        <x:v>mlsys-2023-2482</x:v>
      </x:c>
      <x:c r="U856" t="str"/>
      <x:c r="V856" s="148"/>
      <x:c r="W856" t="str"/>
    </x:row>
    <x:row r="857">
      <x:c r="A857" t="str">
        <x:v>ST-857</x:v>
      </x:c>
      <x:c r="B857" t="str">
        <x:v>Talk</x:v>
      </x:c>
      <x:c r="C857" t="str">
        <x:v>Other</x:v>
      </x:c>
      <x:c r="D857" t="str">
        <x:v>Natural Language Processing / Transformers</x:v>
      </x:c>
      <x:c r="E857" t="str">
        <x:v>Attention; Transformers; Sequence Models; Language Models; Efficient Architectures</x:v>
      </x:c>
      <x:c r="F857" t="str">
        <x:v>English</x:v>
      </x:c>
      <x:c r="G857" t="str">
        <x:v>Do We Need Attention?</x:v>
      </x:c>
      <x:c r="H857" t="str">
        <x:v>Alexander Rush</x:v>
      </x:c>
      <x:c r="I857" t="str">
        <x:v>MLSys</x:v>
      </x:c>
      <x:c r="J857" t="str">
        <x:v>Conference Keynote</x:v>
      </x:c>
      <x:c r="K857" s="148" t="n">
        <x:v>60</x:v>
      </x:c>
      <x:c r="L857" t="str">
        <x:v>https://mlsys.org/virtual/2023/invited-talk/2483</x:v>
      </x:c>
      <x:c r="M857" t="str">
        <x:v>Conference Site</x:v>
      </x:c>
      <x:c r="N857" s="150" t="n">
        <x:v>0</x:v>
      </x:c>
      <x:c r="O857" t="str">
        <x:v>A | Official / Original Creator / Organizer</x:v>
      </x:c>
      <x:c r="P857" t="str">
        <x:v>Core</x:v>
      </x:c>
      <x:c r="Q857" t="str">
        <x:v>Verified</x:v>
      </x:c>
      <x:c r="R857" s="142" t="n">
        <x:v>46249</x:v>
      </x:c>
      <x:c r="S857" t="str">
        <x:v>Official conference detail page returned HTTP 200 and exposed an actual public SlidesLive or YouTube player; title, speaker, event date, and scheduled duration cross-checked. Short demos and duplicate overflow rooms excluded.</x:v>
      </x:c>
      <x:c r="T857" t="str">
        <x:v>mlsys-2023-2483</x:v>
      </x:c>
      <x:c r="U857" t="str"/>
      <x:c r="V857" s="148"/>
      <x:c r="W857" t="str"/>
    </x:row>
    <x:row r="858">
      <x:c r="A858" t="str">
        <x:v>ST-858</x:v>
      </x:c>
      <x:c r="B858" t="str">
        <x:v>Talk</x:v>
      </x:c>
      <x:c r="C858" t="str">
        <x:v>Other</x:v>
      </x:c>
      <x:c r="D858" t="str">
        <x:v>AI for Science</x:v>
      </x:c>
      <x:c r="E858" t="str">
        <x:v>Causal Inference; Multimodal Data; Genomics; Representation Learning; Scientific Discovery</x:v>
      </x:c>
      <x:c r="F858" t="str">
        <x:v>English</x:v>
      </x:c>
      <x:c r="G858" t="str">
        <x:v>KDD 2025 - Keynote Speakers: Caroline Uhler / Causality from Multi-Modal Data</x:v>
      </x:c>
      <x:c r="H858" t="str">
        <x:v>Caroline Uhler</x:v>
      </x:c>
      <x:c r="I858" t="str">
        <x:v>Association for Computing Machinery (ACM)</x:v>
      </x:c>
      <x:c r="J858" t="str">
        <x:v>Conference Keynote</x:v>
      </x:c>
      <x:c r="K858" s="148" t="n">
        <x:v>46</x:v>
      </x:c>
      <x:c r="L858" t="str">
        <x:v>https://www.youtube.com/watch?v=38H-GfiVHvg</x:v>
      </x:c>
      <x:c r="M858" t="str">
        <x:v>YouTube</x:v>
      </x:c>
      <x:c r="N858" s="150" t="n">
        <x:v>0</x:v>
      </x:c>
      <x:c r="O858" t="str">
        <x:v>A | Official / Original Creator / Organizer</x:v>
      </x:c>
      <x:c r="P858" t="str">
        <x:v>Core</x:v>
      </x:c>
      <x:c r="Q858" t="str">
        <x:v>Verified</x:v>
      </x:c>
      <x:c r="R858" s="142" t="n">
        <x:v>46249</x:v>
      </x:c>
      <x:c r="S858" t="str">
        <x:v>Official ACM YouTube upload cross-checked against the KDD 2025 keynote program; title, speaker, channel, upload date, and runtime verified.</x:v>
      </x:c>
      <x:c r="T858" t="str">
        <x:v>38H-GfiVHvg</x:v>
      </x:c>
      <x:c r="U858" t="str"/>
      <x:c r="V858" s="148"/>
      <x:c r="W858" t="str"/>
    </x:row>
    <x:row r="859">
      <x:c r="A859" t="str">
        <x:v>ST-859</x:v>
      </x:c>
      <x:c r="B859" t="str">
        <x:v>Talk</x:v>
      </x:c>
      <x:c r="C859" t="str">
        <x:v>Other</x:v>
      </x:c>
      <x:c r="D859" t="str">
        <x:v>AI Systems / Accelerated Computing</x:v>
      </x:c>
      <x:c r="E859" t="str">
        <x:v>Chip Design; Deep Learning; EDA; Hardware Acceleration; AI Systems</x:v>
      </x:c>
      <x:c r="F859" t="str">
        <x:v>English</x:v>
      </x:c>
      <x:c r="G859" t="str">
        <x:v>KDD 2025 - Keynote Speakers: Jason Cong / Deep Learning Meets Chip Design</x:v>
      </x:c>
      <x:c r="H859" t="str">
        <x:v>Jason Cong</x:v>
      </x:c>
      <x:c r="I859" t="str">
        <x:v>Association for Computing Machinery (ACM)</x:v>
      </x:c>
      <x:c r="J859" t="str">
        <x:v>Conference Keynote</x:v>
      </x:c>
      <x:c r="K859" s="148" t="n">
        <x:v>50</x:v>
      </x:c>
      <x:c r="L859" t="str">
        <x:v>https://www.youtube.com/watch?v=BZMlKOICg6c</x:v>
      </x:c>
      <x:c r="M859" t="str">
        <x:v>YouTube</x:v>
      </x:c>
      <x:c r="N859" s="150" t="n">
        <x:v>0</x:v>
      </x:c>
      <x:c r="O859" t="str">
        <x:v>A | Official / Original Creator / Organizer</x:v>
      </x:c>
      <x:c r="P859" t="str">
        <x:v>Core</x:v>
      </x:c>
      <x:c r="Q859" t="str">
        <x:v>Verified</x:v>
      </x:c>
      <x:c r="R859" s="142" t="n">
        <x:v>46249</x:v>
      </x:c>
      <x:c r="S859" t="str">
        <x:v>Official ACM YouTube upload cross-checked against the KDD 2025 keynote program; title, speaker, channel, upload date, and runtime verified.</x:v>
      </x:c>
      <x:c r="T859" t="str">
        <x:v>BZMlKOICg6c</x:v>
      </x:c>
      <x:c r="U859" t="str"/>
      <x:c r="V859" s="148"/>
      <x:c r="W859" t="str"/>
    </x:row>
    <x:row r="860">
      <x:c r="A860" t="str">
        <x:v>ST-860</x:v>
      </x:c>
      <x:c r="B860" t="str">
        <x:v>Talk</x:v>
      </x:c>
      <x:c r="C860" t="str">
        <x:v>Agent</x:v>
      </x:c>
      <x:c r="D860" t="str">
        <x:v>Natural Language Processing</x:v>
      </x:c>
      <x:c r="E860" t="str">
        <x:v>Reasoning; Large Language Models; Natural Language Processing; Evaluation; Knowledge Representation</x:v>
      </x:c>
      <x:c r="F860" t="str">
        <x:v>English</x:v>
      </x:c>
      <x:c r="G860" t="str">
        <x:v>KDD 2025 - Keynote Speakers: Dan Roth / On Reasoning LLMs: Myths, Merits, and How to Move Forward</x:v>
      </x:c>
      <x:c r="H860" t="str">
        <x:v>Dan Roth</x:v>
      </x:c>
      <x:c r="I860" t="str">
        <x:v>Association for Computing Machinery (ACM)</x:v>
      </x:c>
      <x:c r="J860" t="str">
        <x:v>Conference Keynote</x:v>
      </x:c>
      <x:c r="K860" s="148" t="n">
        <x:v>70</x:v>
      </x:c>
      <x:c r="L860" t="str">
        <x:v>https://www.youtube.com/watch?v=oKCbgurfb6M</x:v>
      </x:c>
      <x:c r="M860" t="str">
        <x:v>YouTube</x:v>
      </x:c>
      <x:c r="N860" s="150" t="n">
        <x:v>0</x:v>
      </x:c>
      <x:c r="O860" t="str">
        <x:v>A | Official / Original Creator / Organizer</x:v>
      </x:c>
      <x:c r="P860" t="str">
        <x:v>Core</x:v>
      </x:c>
      <x:c r="Q860" t="str">
        <x:v>Verified</x:v>
      </x:c>
      <x:c r="R860" s="142" t="n">
        <x:v>46249</x:v>
      </x:c>
      <x:c r="S860" t="str">
        <x:v>Official ACM YouTube upload cross-checked against the KDD 2025 keynote program; title, speaker, channel, upload date, and runtime verified.</x:v>
      </x:c>
      <x:c r="T860" t="str">
        <x:v>oKCbgurfb6M</x:v>
      </x:c>
      <x:c r="U860" t="str"/>
      <x:c r="V860" s="148"/>
      <x:c r="W860" t="str"/>
    </x:row>
    <x:row r="861">
      <x:c r="A861" t="str">
        <x:v>ST-861</x:v>
      </x:c>
      <x:c r="B861" t="str">
        <x:v>Talk</x:v>
      </x:c>
      <x:c r="C861" t="str">
        <x:v>How to Research</x:v>
      </x:c>
      <x:c r="D861" t="str">
        <x:v>Research Practice / Scientific Writing</x:v>
      </x:c>
      <x:c r="E861" t="str">
        <x:v>Research Paper; Scientific Writing; Argument; Structure; Peer Review</x:v>
      </x:c>
      <x:c r="F861" t="str">
        <x:v>English</x:v>
      </x:c>
      <x:c r="G861" t="str">
        <x:v>How to Write a Great Research Paper</x:v>
      </x:c>
      <x:c r="H861" t="str">
        <x:v>Simon Peyton Jones</x:v>
      </x:c>
      <x:c r="I861" t="str">
        <x:v>Microsoft Research</x:v>
      </x:c>
      <x:c r="J861" t="str">
        <x:v>Research Skills Lecture</x:v>
      </x:c>
      <x:c r="K861" s="148" t="n">
        <x:v>58</x:v>
      </x:c>
      <x:c r="L861" t="str">
        <x:v>https://www.youtube.com/watch?v=VK51E3gHENc</x:v>
      </x:c>
      <x:c r="M861" t="str">
        <x:v>YouTube</x:v>
      </x:c>
      <x:c r="N861" s="150" t="n">
        <x:v>136310</x:v>
      </x:c>
      <x:c r="O861" t="str">
        <x:v>A | Official / Original Creator / Organizer</x:v>
      </x:c>
      <x:c r="P861" t="str">
        <x:v>Core</x:v>
      </x:c>
      <x:c r="Q861" t="str">
        <x:v>Verified</x:v>
      </x:c>
      <x:c r="R861" s="142" t="n">
        <x:v>46251</x:v>
      </x:c>
      <x:c r="S861" t="str">
        <x:v>Canonical Microsoft Research upload linked from Simon Peyton Jones’s official research-writing page; title, runtime, channel, date, and public view snapshot cross-checked.</x:v>
      </x:c>
      <x:c r="T861" t="str">
        <x:v>VK51E3gHENc</x:v>
      </x:c>
      <x:c r="U861" t="str"/>
      <x:c r="V861" s="148"/>
      <x:c r="W861" t="str"/>
    </x:row>
    <x:row r="862">
      <x:c r="A862" t="str">
        <x:v>ST-862</x:v>
      </x:c>
      <x:c r="B862" t="str">
        <x:v>Talk</x:v>
      </x:c>
      <x:c r="C862" t="str">
        <x:v>How to Research</x:v>
      </x:c>
      <x:c r="D862" t="str">
        <x:v>Research Practice / Presentation</x:v>
      </x:c>
      <x:c r="E862" t="str">
        <x:v>Research Talk; Scientific Presentation; Storytelling; Slides; Communication</x:v>
      </x:c>
      <x:c r="F862" t="str">
        <x:v>English</x:v>
      </x:c>
      <x:c r="G862" t="str">
        <x:v>How to Give a Great Research Talk</x:v>
      </x:c>
      <x:c r="H862" t="str">
        <x:v>Simon Peyton Jones</x:v>
      </x:c>
      <x:c r="I862" t="str">
        <x:v>Microsoft Research</x:v>
      </x:c>
      <x:c r="J862" t="str">
        <x:v>Research Skills Lecture</x:v>
      </x:c>
      <x:c r="K862" s="148" t="n">
        <x:v>59</x:v>
      </x:c>
      <x:c r="L862" t="str">
        <x:v>https://www.youtube.com/watch?v=sT_-owjKIbA</x:v>
      </x:c>
      <x:c r="M862" t="str">
        <x:v>YouTube</x:v>
      </x:c>
      <x:c r="N862" s="150" t="n">
        <x:v>95152</x:v>
      </x:c>
      <x:c r="O862" t="str">
        <x:v>A | Official / Original Creator / Organizer</x:v>
      </x:c>
      <x:c r="P862" t="str">
        <x:v>Core</x:v>
      </x:c>
      <x:c r="Q862" t="str">
        <x:v>Verified</x:v>
      </x:c>
      <x:c r="R862" s="142" t="n">
        <x:v>46251</x:v>
      </x:c>
      <x:c r="S862" t="str">
        <x:v>Canonical Microsoft Research upload linked from Simon Peyton Jones’s official research-talk page; emphasizes audience value, narrative, and slide craft.</x:v>
      </x:c>
      <x:c r="T862" t="str">
        <x:v>sT_-owjKIbA</x:v>
      </x:c>
      <x:c r="U862" t="str"/>
      <x:c r="V862" s="148"/>
      <x:c r="W862" t="str"/>
    </x:row>
    <x:row r="863">
      <x:c r="A863" t="str">
        <x:v>ST-863</x:v>
      </x:c>
      <x:c r="B863" t="str">
        <x:v>Talk</x:v>
      </x:c>
      <x:c r="C863" t="str">
        <x:v>How to Research</x:v>
      </x:c>
      <x:c r="D863" t="str">
        <x:v>Research Practice / Funding</x:v>
      </x:c>
      <x:c r="E863" t="str">
        <x:v>Grant Proposal; Research Funding; Proposal Writing; Research Question; Impact</x:v>
      </x:c>
      <x:c r="F863" t="str">
        <x:v>English</x:v>
      </x:c>
      <x:c r="G863" t="str">
        <x:v>Professor Simon - How to write a grant proposal talk</x:v>
      </x:c>
      <x:c r="H863" t="str">
        <x:v>Simon Peyton Jones</x:v>
      </x:c>
      <x:c r="I863" t="str">
        <x:v>ECSnews</x:v>
      </x:c>
      <x:c r="J863" t="str">
        <x:v>Research Skills Lecture</x:v>
      </x:c>
      <x:c r="K863" s="148" t="n">
        <x:v>58</x:v>
      </x:c>
      <x:c r="L863" t="str">
        <x:v>https://www.youtube.com/watch?v=nEuK54bo6RE</x:v>
      </x:c>
      <x:c r="M863" t="str">
        <x:v>YouTube</x:v>
      </x:c>
      <x:c r="N863" s="150" t="n">
        <x:v>1394</x:v>
      </x:c>
      <x:c r="O863" t="str">
        <x:v>B | University / Conference / Institution</x:v>
      </x:c>
      <x:c r="P863" t="str">
        <x:v>Recommended</x:v>
      </x:c>
      <x:c r="Q863" t="str">
        <x:v>Verified</x:v>
      </x:c>
      <x:c r="R863" s="142" t="n">
        <x:v>46251</x:v>
      </x:c>
      <x:c r="S863" t="str">
        <x:v>University channel recording linked from the speaker’s official grant-writing page; useful for problem framing, reviewer expectations, and proposal structure.</x:v>
      </x:c>
      <x:c r="T863" t="str">
        <x:v>nEuK54bo6RE</x:v>
      </x:c>
      <x:c r="U863" t="str"/>
      <x:c r="V863" s="148"/>
      <x:c r="W863" t="str"/>
    </x:row>
    <x:row r="864">
      <x:c r="A864" t="str">
        <x:v>ST-864</x:v>
      </x:c>
      <x:c r="B864" t="str">
        <x:v>Talk</x:v>
      </x:c>
      <x:c r="C864" t="str">
        <x:v>How to Research</x:v>
      </x:c>
      <x:c r="D864" t="str">
        <x:v>Research Practice / Writing</x:v>
      </x:c>
      <x:c r="E864" t="str">
        <x:v>Academic Writing; Argument; Clarity; Reader Expectations; Revision</x:v>
      </x:c>
      <x:c r="F864" t="str">
        <x:v>English</x:v>
      </x:c>
      <x:c r="G864" t="str">
        <x:v>LEADERSHIP LAB: The Craft of Writing Effectively</x:v>
      </x:c>
      <x:c r="H864" t="str">
        <x:v>Larry McEnerney</x:v>
      </x:c>
      <x:c r="I864" t="str">
        <x:v>UChicago Social Sciences</x:v>
      </x:c>
      <x:c r="J864" t="str">
        <x:v>University Lecture</x:v>
      </x:c>
      <x:c r="K864" s="148" t="n">
        <x:v>82</x:v>
      </x:c>
      <x:c r="L864" t="str">
        <x:v>https://www.youtube.com/watch?v=vtIzMaLkCaM</x:v>
      </x:c>
      <x:c r="M864" t="str">
        <x:v>YouTube</x:v>
      </x:c>
      <x:c r="N864" s="150" t="n">
        <x:v>9145514</x:v>
      </x:c>
      <x:c r="O864" t="str">
        <x:v>A | Official / Original Creator / Organizer</x:v>
      </x:c>
      <x:c r="P864" t="str">
        <x:v>Core</x:v>
      </x:c>
      <x:c r="Q864" t="str">
        <x:v>Verified</x:v>
      </x:c>
      <x:c r="R864" s="142" t="n">
        <x:v>46251</x:v>
      </x:c>
      <x:c r="S864" t="str">
        <x:v>Official University of Chicago upload; a widely used framework for writing around reader value rather than merely reporting what the author knows.</x:v>
      </x:c>
      <x:c r="T864" t="str">
        <x:v>vtIzMaLkCaM</x:v>
      </x:c>
      <x:c r="U864" t="str"/>
      <x:c r="V864" s="148"/>
      <x:c r="W864" t="str"/>
    </x:row>
    <x:row r="865">
      <x:c r="A865" t="str">
        <x:v>ST-865</x:v>
      </x:c>
      <x:c r="B865" t="str">
        <x:v>Talk</x:v>
      </x:c>
      <x:c r="C865" t="str">
        <x:v>How to Research</x:v>
      </x:c>
      <x:c r="D865" t="str">
        <x:v>Research Practice / Presentation</x:v>
      </x:c>
      <x:c r="E865" t="str">
        <x:v>Scientific Presentation; Slide Design; Data Storytelling; Audience; Communication</x:v>
      </x:c>
      <x:c r="F865" t="str">
        <x:v>English</x:v>
      </x:c>
      <x:c r="G865" t="str">
        <x:v>Susan McConnell (Stanford): Designing effective scientific presentations</x:v>
      </x:c>
      <x:c r="H865" t="str">
        <x:v>Susan McConnell</x:v>
      </x:c>
      <x:c r="I865" t="str">
        <x:v>Science Communication Lab</x:v>
      </x:c>
      <x:c r="J865" t="str">
        <x:v>Scientific Communication Lecture</x:v>
      </x:c>
      <x:c r="K865" s="148" t="n">
        <x:v>42</x:v>
      </x:c>
      <x:c r="L865" t="str">
        <x:v>https://www.youtube.com/watch?v=Hp7Id3Yb9XQ</x:v>
      </x:c>
      <x:c r="M865" t="str">
        <x:v>YouTube</x:v>
      </x:c>
      <x:c r="N865" s="150" t="n">
        <x:v>596550</x:v>
      </x:c>
      <x:c r="O865" t="str">
        <x:v>A | Official / Original Creator / Organizer</x:v>
      </x:c>
      <x:c r="P865" t="str">
        <x:v>Core</x:v>
      </x:c>
      <x:c r="Q865" t="str">
        <x:v>Verified</x:v>
      </x:c>
      <x:c r="R865" s="142" t="n">
        <x:v>46251</x:v>
      </x:c>
      <x:c r="S865" t="str">
        <x:v>Original Science Communication Lab upload cross-checked against its official iBiology lesson page, including the 42-minute runtime and transcript.</x:v>
      </x:c>
      <x:c r="T865" t="str">
        <x:v>Hp7Id3Yb9XQ</x:v>
      </x:c>
      <x:c r="U865" t="str"/>
      <x:c r="V865" s="148"/>
      <x:c r="W865" t="str"/>
    </x:row>
    <x:row r="866">
      <x:c r="A866" t="str">
        <x:v>ST-866</x:v>
      </x:c>
      <x:c r="B866" t="str">
        <x:v>Talk</x:v>
      </x:c>
      <x:c r="C866" t="str">
        <x:v>How to Research</x:v>
      </x:c>
      <x:c r="D866" t="str">
        <x:v>Research Practice / Career</x:v>
      </x:c>
      <x:c r="E866" t="str">
        <x:v>Research Career; Problem Selection; Scientific Taste; Impact; Long-Term Thinking</x:v>
      </x:c>
      <x:c r="F866" t="str">
        <x:v>English</x:v>
      </x:c>
      <x:c r="G866" t="str">
        <x:v>Hamming, "You and Your Research" (June 6, 1995)</x:v>
      </x:c>
      <x:c r="H866" t="str">
        <x:v>Richard W. Hamming</x:v>
      </x:c>
      <x:c r="I866" t="str">
        <x:v>securitylectures</x:v>
      </x:c>
      <x:c r="J866" t="str">
        <x:v>Archival Research Lecture</x:v>
      </x:c>
      <x:c r="K866" s="148" t="n">
        <x:v>44</x:v>
      </x:c>
      <x:c r="L866" t="str">
        <x:v>https://www.youtube.com/watch?v=a1zDuOPkMSw</x:v>
      </x:c>
      <x:c r="M866" t="str">
        <x:v>YouTube</x:v>
      </x:c>
      <x:c r="N866" s="150" t="n">
        <x:v>357203</x:v>
      </x:c>
      <x:c r="O866" t="str">
        <x:v>C | Community Selection</x:v>
      </x:c>
      <x:c r="P866" t="str">
        <x:v>Core</x:v>
      </x:c>
      <x:c r="Q866" t="str">
        <x:v>Verified</x:v>
      </x:c>
      <x:c r="R866" s="142" t="n">
        <x:v>46251</x:v>
      </x:c>
      <x:c r="S866" t="str">
        <x:v>Community archival upload of Hamming’s 1995 Naval Postgraduate School lecture; retained because the complete talk is a durable classic on choosing consequential problems.</x:v>
      </x:c>
      <x:c r="T866" t="str">
        <x:v>a1zDuOPkMSw</x:v>
      </x:c>
      <x:c r="U866" t="str"/>
      <x:c r="V866" s="148"/>
      <x:c r="W866" t="str"/>
    </x:row>
    <x:row r="867">
      <x:c r="A867" t="str">
        <x:v>ST-867</x:v>
      </x:c>
      <x:c r="B867" t="str">
        <x:v>Talk</x:v>
      </x:c>
      <x:c r="C867" t="str">
        <x:v>How to Research</x:v>
      </x:c>
      <x:c r="D867" t="str">
        <x:v>Research Practice / Career</x:v>
      </x:c>
      <x:c r="E867" t="str">
        <x:v>Research Career; Collaboration; Problem Selection; Publishing; Computer Science</x:v>
      </x:c>
      <x:c r="F867" t="str">
        <x:v>English</x:v>
      </x:c>
      <x:c r="G867" t="str">
        <x:v>How to Have a Bad Career | David Patterson | Talks at Google</x:v>
      </x:c>
      <x:c r="H867" t="str">
        <x:v>David Patterson</x:v>
      </x:c>
      <x:c r="I867" t="str">
        <x:v>Talks at Google</x:v>
      </x:c>
      <x:c r="J867" t="str">
        <x:v>Research Career Talk</x:v>
      </x:c>
      <x:c r="K867" s="148" t="n">
        <x:v>59</x:v>
      </x:c>
      <x:c r="L867" t="str">
        <x:v>https://www.youtube.com/watch?v=Rn1w4MRHIhc</x:v>
      </x:c>
      <x:c r="M867" t="str">
        <x:v>YouTube</x:v>
      </x:c>
      <x:c r="N867" s="150" t="n">
        <x:v>68793</x:v>
      </x:c>
      <x:c r="O867" t="str">
        <x:v>A | Official / Original Creator / Organizer</x:v>
      </x:c>
      <x:c r="P867" t="str">
        <x:v>Recommended</x:v>
      </x:c>
      <x:c r="Q867" t="str">
        <x:v>Verified</x:v>
      </x:c>
      <x:c r="R867" s="142" t="n">
        <x:v>46251</x:v>
      </x:c>
      <x:c r="S867" t="str">
        <x:v>Official Talks at Google upload, also referenced from Patterson’s university materials; an inverse checklist of common research-career mistakes.</x:v>
      </x:c>
      <x:c r="T867" t="str">
        <x:v>Rn1w4MRHIhc</x:v>
      </x:c>
      <x:c r="U867" t="str"/>
      <x:c r="V867" s="148"/>
      <x:c r="W867" t="str"/>
    </x:row>
    <x:row r="868">
      <x:c r="A868" t="str">
        <x:v>ST-868</x:v>
      </x:c>
      <x:c r="B868" t="str">
        <x:v>Course</x:v>
      </x:c>
      <x:c r="C868" t="str">
        <x:v>How to Research</x:v>
      </x:c>
      <x:c r="D868" t="str">
        <x:v>AI Research / Research Process</x:v>
      </x:c>
      <x:c r="E868" t="str">
        <x:v>AI Research; Research Questions; Literature Review; Experiments; Research Workflow</x:v>
      </x:c>
      <x:c r="F868" t="str">
        <x:v>English</x:v>
      </x:c>
      <x:c r="G868" t="str">
        <x:v>Lecture 1.2 – Introduction to AI Research (MIT How to AI Almost Anything, Spring 2025)</x:v>
      </x:c>
      <x:c r="H868" t="str">
        <x:v>Paul Pu Liang</x:v>
      </x:c>
      <x:c r="I868" t="str">
        <x:v>Paul Liang</x:v>
      </x:c>
      <x:c r="J868" t="str">
        <x:v>Graduate Course Lecture</x:v>
      </x:c>
      <x:c r="K868" s="148" t="n">
        <x:v>28</x:v>
      </x:c>
      <x:c r="L868" t="str">
        <x:v>https://www.youtube.com/watch?v=104FX8MYKAM</x:v>
      </x:c>
      <x:c r="M868" t="str">
        <x:v>YouTube</x:v>
      </x:c>
      <x:c r="N868" s="150" t="n">
        <x:v>13564</x:v>
      </x:c>
      <x:c r="O868" t="str">
        <x:v>A | Official / Original Creator / Organizer</x:v>
      </x:c>
      <x:c r="P868" t="str">
        <x:v>Core</x:v>
      </x:c>
      <x:c r="Q868" t="str">
        <x:v>Verified</x:v>
      </x:c>
      <x:c r="R868" s="142" t="n">
        <x:v>46251</x:v>
      </x:c>
      <x:c r="S868" t="str">
        <x:v>Original course-instructor upload cross-checked against the MIT How to AI (Almost) Anything course page; directly introduces the AI research loop.</x:v>
      </x:c>
      <x:c r="T868" t="str">
        <x:v>104FX8MYKAM</x:v>
      </x:c>
      <x:c r="U868" t="str"/>
      <x:c r="V868" s="148"/>
      <x:c r="W868" t="str"/>
    </x:row>
    <x:row r="869">
      <x:c r="A869" t="str">
        <x:v>ST-869</x:v>
      </x:c>
      <x:c r="B869" t="str">
        <x:v>Course</x:v>
      </x:c>
      <x:c r="C869" t="str">
        <x:v>How to Research</x:v>
      </x:c>
      <x:c r="D869" t="str">
        <x:v>Research Practice / Peer Review</x:v>
      </x:c>
      <x:c r="E869" t="str">
        <x:v>Peer Review; Paper Reviewing; Rebuttal; Program Committee; Computer Vision</x:v>
      </x:c>
      <x:c r="F869" t="str">
        <x:v>English</x:v>
      </x:c>
      <x:c r="G869" t="str">
        <x:v>How to write a good review? - CVPR 2020 Tutorial</x:v>
      </x:c>
      <x:c r="H869" t="str">
        <x:v>Bill Freeman, Rick Szeliski, Jordi Pont-Tuset, Fatma Güney, Konrad Schindler, Michael Goesele, Andrew Fitzgibbon, Vittorio Ferrari, and Greg Mori</x:v>
      </x:c>
      <x:c r="I869" t="str">
        <x:v>Dynamic Vision and Learning Group</x:v>
      </x:c>
      <x:c r="J869" t="str">
        <x:v>Conference Tutorial</x:v>
      </x:c>
      <x:c r="K869" s="148" t="n">
        <x:v>304</x:v>
      </x:c>
      <x:c r="L869" t="str">
        <x:v>https://www.youtube.com/watch?v=W1zPtTt43LI</x:v>
      </x:c>
      <x:c r="M869" t="str">
        <x:v>YouTube</x:v>
      </x:c>
      <x:c r="N869" s="150" t="n">
        <x:v>25460</x:v>
      </x:c>
      <x:c r="O869" t="str">
        <x:v>B | University / Conference / Institution</x:v>
      </x:c>
      <x:c r="P869" t="str">
        <x:v>Core</x:v>
      </x:c>
      <x:c r="Q869" t="str">
        <x:v>Verified</x:v>
      </x:c>
      <x:c r="R869" s="142" t="n">
        <x:v>46251</x:v>
      </x:c>
      <x:c r="S869" t="str">
        <x:v>Complete CVPR tutorial covering the paper, review, rebuttal, decision process, and panel discussion; long-form format retained as a coherent course.</x:v>
      </x:c>
      <x:c r="T869" t="str">
        <x:v>W1zPtTt43LI</x:v>
      </x:c>
      <x:c r="U869" t="str"/>
      <x:c r="V869" s="148"/>
      <x:c r="W869" t="str"/>
    </x:row>
    <x:row r="870">
      <x:c r="A870" t="str">
        <x:v>ST-870</x:v>
      </x:c>
      <x:c r="B870" t="str">
        <x:v>Course</x:v>
      </x:c>
      <x:c r="C870" t="str">
        <x:v>Other</x:v>
      </x:c>
      <x:c r="D870" t="str">
        <x:v>Research Practice / Research Community</x:v>
      </x:c>
      <x:c r="E870" t="str">
        <x:v>Research Community; Peer Review; Scientific Communication; Computer Vision; Mentorship</x:v>
      </x:c>
      <x:c r="F870" t="str">
        <x:v>English</x:v>
      </x:c>
      <x:c r="G870" t="str">
        <x:v>CVPR18: Workshop: Part 1: Panel: How to be a Good Citizen of the CVPR Community</x:v>
      </x:c>
      <x:c r="H870" t="str">
        <x:v>Bill Freeman, Katsushi Ikeuchi, Timnit Gebru, and Sven Dickinson</x:v>
      </x:c>
      <x:c r="I870" t="str">
        <x:v>ComputerVisionFoundation Videos</x:v>
      </x:c>
      <x:c r="J870" t="str">
        <x:v>Conference Workshop</x:v>
      </x:c>
      <x:c r="K870" s="148" t="n">
        <x:v>86</x:v>
      </x:c>
      <x:c r="L870" t="str">
        <x:v>https://www.youtube.com/watch?v=MKUCz_3Ee0A</x:v>
      </x:c>
      <x:c r="M870" t="str">
        <x:v>YouTube</x:v>
      </x:c>
      <x:c r="N870" s="150" t="n">
        <x:v>7654</x:v>
      </x:c>
      <x:c r="O870" t="str">
        <x:v>A | Official / Original Creator / Organizer</x:v>
      </x:c>
      <x:c r="P870" t="str">
        <x:v>Recommended</x:v>
      </x:c>
      <x:c r="Q870" t="str">
        <x:v>Verified</x:v>
      </x:c>
      <x:c r="R870" s="142" t="n">
        <x:v>46251</x:v>
      </x:c>
      <x:c r="S870" t="str">
        <x:v>Official Computer Vision Foundation recording cross-checked against the workshop program.</x:v>
      </x:c>
      <x:c r="T870" t="str">
        <x:v>MKUCz_3Ee0A</x:v>
      </x:c>
      <x:c r="U870" t="str"/>
      <x:c r="V870" s="148"/>
      <x:c r="W870" t="str"/>
    </x:row>
    <x:row r="871">
      <x:c r="A871" t="str">
        <x:v>ST-871</x:v>
      </x:c>
      <x:c r="B871" t="str">
        <x:v>Course</x:v>
      </x:c>
      <x:c r="C871" t="str">
        <x:v>How to Research</x:v>
      </x:c>
      <x:c r="D871" t="str">
        <x:v>Research Practice / Research Community</x:v>
      </x:c>
      <x:c r="E871" t="str">
        <x:v>Research Practice; Research Talks; Literature Context; Scientific Communication; Computer Vision</x:v>
      </x:c>
      <x:c r="F871" t="str">
        <x:v>English</x:v>
      </x:c>
      <x:c r="G871" t="str">
        <x:v>CVPR18: Workshop: Part 2: Panel: How to be a Good Citizen of the CVPR Community</x:v>
      </x:c>
      <x:c r="H871" t="str">
        <x:v>Kristen Grauman, Vladlen Koltun, and Adriana Kovashka</x:v>
      </x:c>
      <x:c r="I871" t="str">
        <x:v>ComputerVisionFoundation Videos</x:v>
      </x:c>
      <x:c r="J871" t="str">
        <x:v>Conference Workshop</x:v>
      </x:c>
      <x:c r="K871" s="148" t="n">
        <x:v>79</x:v>
      </x:c>
      <x:c r="L871" t="str">
        <x:v>https://www.youtube.com/watch?v=4LEZED1YXm0</x:v>
      </x:c>
      <x:c r="M871" t="str">
        <x:v>YouTube</x:v>
      </x:c>
      <x:c r="N871" s="150" t="n">
        <x:v>7049</x:v>
      </x:c>
      <x:c r="O871" t="str">
        <x:v>A | Official / Original Creator / Organizer</x:v>
      </x:c>
      <x:c r="P871" t="str">
        <x:v>Recommended</x:v>
      </x:c>
      <x:c r="Q871" t="str">
        <x:v>Verified</x:v>
      </x:c>
      <x:c r="R871" s="142" t="n">
        <x:v>46251</x:v>
      </x:c>
      <x:c r="S871" t="str">
        <x:v>Official Computer Vision Foundation recording; covers clear talks, doing good research, and situating research in context.</x:v>
      </x:c>
      <x:c r="T871" t="str">
        <x:v>4LEZED1YXm0</x:v>
      </x:c>
      <x:c r="U871" t="str">
        <x:v>Good Citizen of CVPR 2018 — Research Practice Sessions</x:v>
      </x:c>
      <x:c r="V871" s="148" t="n">
        <x:v>1</x:v>
      </x:c>
      <x:c r="W871" t="str">
        <x:v>good-citizen-cvpr-2018-research-practice</x:v>
      </x:c>
    </x:row>
    <x:row r="872">
      <x:c r="A872" t="str">
        <x:v>ST-872</x:v>
      </x:c>
      <x:c r="B872" t="str">
        <x:v>Course</x:v>
      </x:c>
      <x:c r="C872" t="str">
        <x:v>How to Research</x:v>
      </x:c>
      <x:c r="D872" t="str">
        <x:v>Research Practice / Research Community</x:v>
      </x:c>
      <x:c r="E872" t="str">
        <x:v>Research Writing; Research Evaluation; Open Science; Mentorship; Computer Vision</x:v>
      </x:c>
      <x:c r="F872" t="str">
        <x:v>English</x:v>
      </x:c>
      <x:c r="G872" t="str">
        <x:v>CVPR18: Workshop: Part 3: Panel: How to be a Good Citizen of the CVPR Community</x:v>
      </x:c>
      <x:c r="H872" t="str">
        <x:v>Jitendra Malik, Cordelia Schmid, Derek Hoiem, Devi Parikh, Georgia Gkioxari, Michael Brown, and David Forsyth</x:v>
      </x:c>
      <x:c r="I872" t="str">
        <x:v>ComputerVisionFoundation Videos</x:v>
      </x:c>
      <x:c r="J872" t="str">
        <x:v>Conference Workshop</x:v>
      </x:c>
      <x:c r="K872" s="148" t="n">
        <x:v>140</x:v>
      </x:c>
      <x:c r="L872" t="str">
        <x:v>https://www.youtube.com/watch?v=imEtTnQKt4M</x:v>
      </x:c>
      <x:c r="M872" t="str">
        <x:v>YouTube</x:v>
      </x:c>
      <x:c r="N872" s="150" t="n">
        <x:v>8033</x:v>
      </x:c>
      <x:c r="O872" t="str">
        <x:v>A | Official / Original Creator / Organizer</x:v>
      </x:c>
      <x:c r="P872" t="str">
        <x:v>Recommended</x:v>
      </x:c>
      <x:c r="Q872" t="str">
        <x:v>Verified</x:v>
      </x:c>
      <x:c r="R872" s="142" t="n">
        <x:v>46251</x:v>
      </x:c>
      <x:c r="S872" t="str">
        <x:v>Official Computer Vision Foundation recording; covers writing, evaluation, openness, research community norms, and mentorship.</x:v>
      </x:c>
      <x:c r="T872" t="str">
        <x:v>imEtTnQKt4M</x:v>
      </x:c>
      <x:c r="U872" t="str">
        <x:v>Good Citizen of CVPR 2018 — Research Practice Sessions</x:v>
      </x:c>
      <x:c r="V872" s="148" t="n">
        <x:v>2</x:v>
      </x:c>
      <x:c r="W872" t="str">
        <x:v>good-citizen-cvpr-2018-research-practice</x:v>
      </x:c>
    </x:row>
    <x:row r="873">
      <x:c r="A873" t="str">
        <x:v>ST-873</x:v>
      </x:c>
      <x:c r="B873" t="str">
        <x:v>Course</x:v>
      </x:c>
      <x:c r="C873" t="str">
        <x:v>How to Research</x:v>
      </x:c>
      <x:c r="D873" t="str">
        <x:v>Research Practice / Presentation</x:v>
      </x:c>
      <x:c r="E873" t="str">
        <x:v>Research Poster; Poster Design; Scientific Communication; Visual Hierarchy; Conference</x:v>
      </x:c>
      <x:c r="F873" t="str">
        <x:v>English</x:v>
      </x:c>
      <x:c r="G873" t="str">
        <x:v>How to create a better research poster in less time (#betterposter Generation 1)</x:v>
      </x:c>
      <x:c r="H873" t="str">
        <x:v>Mike Morrison</x:v>
      </x:c>
      <x:c r="I873" t="str">
        <x:v>Mike Morrison</x:v>
      </x:c>
      <x:c r="J873" t="str">
        <x:v>Practical Tutorial</x:v>
      </x:c>
      <x:c r="K873" s="148" t="n">
        <x:v>20</x:v>
      </x:c>
      <x:c r="L873" t="str">
        <x:v>https://www.youtube.com/watch?v=1RwJbhkCA58</x:v>
      </x:c>
      <x:c r="M873" t="str">
        <x:v>YouTube</x:v>
      </x:c>
      <x:c r="N873" s="150" t="n">
        <x:v>1377332</x:v>
      </x:c>
      <x:c r="O873" t="str">
        <x:v>A | Official / Original Creator / Organizer</x:v>
      </x:c>
      <x:c r="P873" t="str">
        <x:v>Recommended</x:v>
      </x:c>
      <x:c r="Q873" t="str">
        <x:v>Verified</x:v>
      </x:c>
      <x:c r="R873" s="142" t="n">
        <x:v>46251</x:v>
      </x:c>
      <x:c r="S873" t="str">
        <x:v>Original creator tutorial introducing the better-poster layout; included as a practical complement for conference communication.</x:v>
      </x:c>
      <x:c r="T873" t="str">
        <x:v>1RwJbhkCA58</x:v>
      </x:c>
      <x:c r="U873" t="str"/>
      <x:c r="V873" s="148"/>
      <x:c r="W873" t="str"/>
    </x:row>
    <x:row r="874">
      <x:c r="A874" t="str">
        <x:v>ST-874</x:v>
      </x:c>
      <x:c r="B874" t="str">
        <x:v>Course</x:v>
      </x:c>
      <x:c r="C874" t="str">
        <x:v>How to Research</x:v>
      </x:c>
      <x:c r="D874" t="str">
        <x:v>AI Research / Research Practice</x:v>
      </x:c>
      <x:c r="E874" t="str">
        <x:v>Reading Papers; Research Career; Deep Learning; Literature Review; Research Advice</x:v>
      </x:c>
      <x:c r="F874" t="str">
        <x:v>English</x:v>
      </x:c>
      <x:c r="G874" t="str">
        <x:v>Stanford CS230: Deep Learning | Autumn 2018 | Lecture 8 - Career Advice / Reading Research Papers</x:v>
      </x:c>
      <x:c r="H874" t="str">
        <x:v>Andrew Ng and Kian Katanforoosh</x:v>
      </x:c>
      <x:c r="I874" t="str">
        <x:v>Stanford Online</x:v>
      </x:c>
      <x:c r="J874" t="str">
        <x:v>University Course Lecture</x:v>
      </x:c>
      <x:c r="K874" s="148" t="n">
        <x:v>65</x:v>
      </x:c>
      <x:c r="L874" t="str">
        <x:v>https://www.youtube.com/watch?v=733m6qBH-jI</x:v>
      </x:c>
      <x:c r="M874" t="str">
        <x:v>YouTube</x:v>
      </x:c>
      <x:c r="N874" s="150" t="n">
        <x:v>280894</x:v>
      </x:c>
      <x:c r="O874" t="str">
        <x:v>A | Official / Original Creator / Organizer</x:v>
      </x:c>
      <x:c r="P874" t="str">
        <x:v>Core</x:v>
      </x:c>
      <x:c r="Q874" t="str">
        <x:v>Verified</x:v>
      </x:c>
      <x:c r="R874" s="142" t="n">
        <x:v>46251</x:v>
      </x:c>
      <x:c r="S874" t="str">
        <x:v>Official Stanford Online course recording; combines paper-reading workflow with concrete early-career research advice.</x:v>
      </x:c>
      <x:c r="T874" t="str">
        <x:v>733m6qBH-jI</x:v>
      </x:c>
      <x:c r="U874" t="str"/>
      <x:c r="V874" s="148"/>
      <x:c r="W874" t="str"/>
    </x:row>
    <x:row r="875">
      <x:c r="A875" t="str">
        <x:v>ST-875</x:v>
      </x:c>
      <x:c r="B875" t="str">
        <x:v>Course</x:v>
      </x:c>
      <x:c r="C875" t="str">
        <x:v>How to Research</x:v>
      </x:c>
      <x:c r="D875" t="str">
        <x:v>Research Practice / Reading Papers</x:v>
      </x:c>
      <x:c r="E875" t="str">
        <x:v>论文阅读; 文献阅读; Research Paper; Critical Reading; 论文精读</x:v>
      </x:c>
      <x:c r="F875" t="str">
        <x:v>Chinese</x:v>
      </x:c>
      <x:c r="G875" t="str">
        <x:v>如何读论文【论文精读·1】</x:v>
      </x:c>
      <x:c r="H875" t="str">
        <x:v>李沐</x:v>
      </x:c>
      <x:c r="I875" t="str">
        <x:v>跟李沐学AI</x:v>
      </x:c>
      <x:c r="J875" t="str">
        <x:v>Research Skills Tutorial</x:v>
      </x:c>
      <x:c r="K875" s="148" t="n">
        <x:v>7</x:v>
      </x:c>
      <x:c r="L875" t="str">
        <x:v>https://www.bilibili.com/video/BV1H44y1t75x</x:v>
      </x:c>
      <x:c r="M875" t="str">
        <x:v>Bilibili</x:v>
      </x:c>
      <x:c r="N875" s="150" t="n">
        <x:v>654309</x:v>
      </x:c>
      <x:c r="O875" t="str">
        <x:v>A | Official / Original Creator / Organizer</x:v>
      </x:c>
      <x:c r="P875" t="str">
        <x:v>Core</x:v>
      </x:c>
      <x:c r="Q875" t="str">
        <x:v>Verified</x:v>
      </x:c>
      <x:c r="R875" s="142" t="n">
        <x:v>46251</x:v>
      </x:c>
      <x:c r="S875" t="str">
        <x:v>Bilibili original upload; title, owner, runtime, date, and view snapshot verified through the public API.</x:v>
      </x:c>
      <x:c r="T875" t="str">
        <x:v>BV1H44y1t75x</x:v>
      </x:c>
      <x:c r="U875" t="str"/>
      <x:c r="V875" s="148"/>
      <x:c r="W875" t="str"/>
    </x:row>
    <x:row r="876">
      <x:c r="A876" t="str">
        <x:v>ST-876</x:v>
      </x:c>
      <x:c r="B876" t="str">
        <x:v>Course</x:v>
      </x:c>
      <x:c r="C876" t="str">
        <x:v>How to Research</x:v>
      </x:c>
      <x:c r="D876" t="str">
        <x:v>Research Practice / Problem Selection</x:v>
      </x:c>
      <x:c r="E876" t="str">
        <x:v>研究想法; Problem Finding; Research Ideas; Literature Gap; 选题</x:v>
      </x:c>
      <x:c r="F876" t="str">
        <x:v>Chinese</x:v>
      </x:c>
      <x:c r="G876" t="str">
        <x:v>如何找研究想法 1【论文精读】</x:v>
      </x:c>
      <x:c r="H876" t="str">
        <x:v>李沐</x:v>
      </x:c>
      <x:c r="I876" t="str">
        <x:v>跟李沐学AI</x:v>
      </x:c>
      <x:c r="J876" t="str">
        <x:v>Research Skills Tutorial</x:v>
      </x:c>
      <x:c r="K876" s="148" t="n">
        <x:v>6</x:v>
      </x:c>
      <x:c r="L876" t="str">
        <x:v>https://www.bilibili.com/video/BV1qq4y1z7F2</x:v>
      </x:c>
      <x:c r="M876" t="str">
        <x:v>Bilibili</x:v>
      </x:c>
      <x:c r="N876" s="150" t="n">
        <x:v>143933</x:v>
      </x:c>
      <x:c r="O876" t="str">
        <x:v>A | Official / Original Creator / Organizer</x:v>
      </x:c>
      <x:c r="P876" t="str">
        <x:v>Core</x:v>
      </x:c>
      <x:c r="Q876" t="str">
        <x:v>Verified</x:v>
      </x:c>
      <x:c r="R876" s="142" t="n">
        <x:v>46251</x:v>
      </x:c>
      <x:c r="S876" t="str">
        <x:v>Bilibili original upload; concise guidance on generating research ideas, verified through the public view/player APIs.</x:v>
      </x:c>
      <x:c r="T876" t="str">
        <x:v>BV1qq4y1z7F2</x:v>
      </x:c>
      <x:c r="U876" t="str"/>
      <x:c r="V876" s="148"/>
      <x:c r="W876" t="str"/>
    </x:row>
    <x:row r="877">
      <x:c r="A877" t="str">
        <x:v>ST-877</x:v>
      </x:c>
      <x:c r="B877" t="str">
        <x:v>Course</x:v>
      </x:c>
      <x:c r="C877" t="str">
        <x:v>How to Research</x:v>
      </x:c>
      <x:c r="D877" t="str">
        <x:v>Research Practice / Evaluation</x:v>
      </x:c>
      <x:c r="E877" t="str">
        <x:v>研究价值; Research Impact; Problem Selection; Evaluation; Research Taste</x:v>
      </x:c>
      <x:c r="F877" t="str">
        <x:v>Chinese</x:v>
      </x:c>
      <x:c r="G877" t="str">
        <x:v>如何判断（你自己的）研究工作的价值【论文精读】</x:v>
      </x:c>
      <x:c r="H877" t="str">
        <x:v>李沐</x:v>
      </x:c>
      <x:c r="I877" t="str">
        <x:v>跟李沐学AI</x:v>
      </x:c>
      <x:c r="J877" t="str">
        <x:v>Research Skills Tutorial</x:v>
      </x:c>
      <x:c r="K877" s="148" t="n">
        <x:v>9</x:v>
      </x:c>
      <x:c r="L877" t="str">
        <x:v>https://www.bilibili.com/video/BV1oL411c7Us</x:v>
      </x:c>
      <x:c r="M877" t="str">
        <x:v>Bilibili</x:v>
      </x:c>
      <x:c r="N877" s="150" t="n">
        <x:v>125655</x:v>
      </x:c>
      <x:c r="O877" t="str">
        <x:v>A | Official / Original Creator / Organizer</x:v>
      </x:c>
      <x:c r="P877" t="str">
        <x:v>Core</x:v>
      </x:c>
      <x:c r="Q877" t="str">
        <x:v>Verified</x:v>
      </x:c>
      <x:c r="R877" s="142" t="n">
        <x:v>46251</x:v>
      </x:c>
      <x:c r="S877" t="str">
        <x:v>Bilibili original upload; focuses on judging the value and contribution of one’s own research work.</x:v>
      </x:c>
      <x:c r="T877" t="str">
        <x:v>BV1oL411c7Us</x:v>
      </x:c>
      <x:c r="U877" t="str"/>
      <x:c r="V877" s="148"/>
      <x:c r="W877" t="str"/>
    </x:row>
    <x:row r="878">
      <x:c r="A878" t="str">
        <x:v>ST-878</x:v>
      </x:c>
      <x:c r="B878" t="str">
        <x:v>Course</x:v>
      </x:c>
      <x:c r="C878" t="str">
        <x:v>How to Research</x:v>
      </x:c>
      <x:c r="D878" t="str">
        <x:v>Research Practice / Novelty</x:v>
      </x:c>
      <x:c r="E878" t="str">
        <x:v>Novelty; Research Contribution; 论文创新; Research Evaluation; Problem Framing</x:v>
      </x:c>
      <x:c r="F878" t="str">
        <x:v>Chinese</x:v>
      </x:c>
      <x:c r="G878" t="str">
        <x:v>你（被）吐槽过论文不够 novel 吗？【论文精读】</x:v>
      </x:c>
      <x:c r="H878" t="str">
        <x:v>李沐</x:v>
      </x:c>
      <x:c r="I878" t="str">
        <x:v>跟李沐学AI</x:v>
      </x:c>
      <x:c r="J878" t="str">
        <x:v>Research Skills Tutorial</x:v>
      </x:c>
      <x:c r="K878" s="148" t="n">
        <x:v>14</x:v>
      </x:c>
      <x:c r="L878" t="str">
        <x:v>https://www.bilibili.com/video/BV1ea41127Bq</x:v>
      </x:c>
      <x:c r="M878" t="str">
        <x:v>Bilibili</x:v>
      </x:c>
      <x:c r="N878" s="150" t="n">
        <x:v>110000</x:v>
      </x:c>
      <x:c r="O878" t="str">
        <x:v>A | Official / Original Creator / Organizer</x:v>
      </x:c>
      <x:c r="P878" t="str">
        <x:v>Recommended</x:v>
      </x:c>
      <x:c r="Q878" t="str">
        <x:v>Verified</x:v>
      </x:c>
      <x:c r="R878" s="142" t="n">
        <x:v>46251</x:v>
      </x:c>
      <x:c r="S878" t="str">
        <x:v>Bilibili original upload; discusses what reviewers mean by novelty and how to articulate a contribution.</x:v>
      </x:c>
      <x:c r="T878" t="str">
        <x:v>BV1ea41127Bq</x:v>
      </x:c>
      <x:c r="U878" t="str"/>
      <x:c r="V878" s="148"/>
      <x:c r="W878" t="str"/>
    </x:row>
    <x:row r="879">
      <x:c r="A879" t="str">
        <x:v>ST-879</x:v>
      </x:c>
      <x:c r="B879" t="str">
        <x:v>Course</x:v>
      </x:c>
      <x:c r="C879" t="str">
        <x:v>How to Research</x:v>
      </x:c>
      <x:c r="D879" t="str">
        <x:v>Research Practice / Scientific Writing</x:v>
      </x:c>
      <x:c r="E879" t="str">
        <x:v>科研论文; Scientific Writing; 逻辑结构; Argument; Paper Structure</x:v>
      </x:c>
      <x:c r="F879" t="str">
        <x:v>Chinese</x:v>
      </x:c>
      <x:c r="G879" t="str">
        <x:v>如何写好一篇科研论文-从逻辑结构谈起</x:v>
      </x:c>
      <x:c r="H879" t="str">
        <x:v>Awake</x:v>
      </x:c>
      <x:c r="I879" t="str">
        <x:v>小博士Awake</x:v>
      </x:c>
      <x:c r="J879" t="str">
        <x:v>Research Skills Lecture</x:v>
      </x:c>
      <x:c r="K879" s="148" t="n">
        <x:v>19</x:v>
      </x:c>
      <x:c r="L879" t="str">
        <x:v>https://www.bilibili.com/video/BV1q34y1E7QW</x:v>
      </x:c>
      <x:c r="M879" t="str">
        <x:v>Bilibili</x:v>
      </x:c>
      <x:c r="N879" s="150" t="n">
        <x:v>281944</x:v>
      </x:c>
      <x:c r="O879" t="str">
        <x:v>A | Official / Original Creator / Organizer</x:v>
      </x:c>
      <x:c r="P879" t="str">
        <x:v>Core</x:v>
      </x:c>
      <x:c r="Q879" t="str">
        <x:v>Verified</x:v>
      </x:c>
      <x:c r="R879" s="142" t="n">
        <x:v>46251</x:v>
      </x:c>
      <x:c r="S879" t="str">
        <x:v>Bilibili original upload; uses logical structure to explain how a research paper should build and support its central claim.</x:v>
      </x:c>
      <x:c r="T879" t="str">
        <x:v>BV1q34y1E7QW</x:v>
      </x:c>
      <x:c r="U879" t="str"/>
      <x:c r="V879" s="148"/>
      <x:c r="W879" t="str"/>
    </x:row>
    <x:row r="880">
      <x:c r="A880" t="str">
        <x:v>ST-880</x:v>
      </x:c>
      <x:c r="B880" t="str">
        <x:v>Course</x:v>
      </x:c>
      <x:c r="C880" t="str">
        <x:v>How to Research</x:v>
      </x:c>
      <x:c r="D880" t="str">
        <x:v>Research Practice / Literature Management</x:v>
      </x:c>
      <x:c r="E880" t="str">
        <x:v>文献阅读; 笔记整理; Literature Review; Note Taking; Knowledge Management</x:v>
      </x:c>
      <x:c r="F880" t="str">
        <x:v>Chinese</x:v>
      </x:c>
      <x:c r="G880" t="str">
        <x:v>如何做好文献阅读及笔记整理</x:v>
      </x:c>
      <x:c r="H880" t="str">
        <x:v>Awake</x:v>
      </x:c>
      <x:c r="I880" t="str">
        <x:v>小博士Awake</x:v>
      </x:c>
      <x:c r="J880" t="str">
        <x:v>Research Skills Lecture</x:v>
      </x:c>
      <x:c r="K880" s="148" t="n">
        <x:v>21</x:v>
      </x:c>
      <x:c r="L880" t="str">
        <x:v>https://www.bilibili.com/video/BV17W4y167SM</x:v>
      </x:c>
      <x:c r="M880" t="str">
        <x:v>Bilibili</x:v>
      </x:c>
      <x:c r="N880" s="150" t="n">
        <x:v>1518718</x:v>
      </x:c>
      <x:c r="O880" t="str">
        <x:v>A | Official / Original Creator / Organizer</x:v>
      </x:c>
      <x:c r="P880" t="str">
        <x:v>Core</x:v>
      </x:c>
      <x:c r="Q880" t="str">
        <x:v>Verified</x:v>
      </x:c>
      <x:c r="R880" s="142" t="n">
        <x:v>46251</x:v>
      </x:c>
      <x:c r="S880" t="str">
        <x:v>Bilibili original upload; popular, practical workflow for reading, annotating, and organizing research literature.</x:v>
      </x:c>
      <x:c r="T880" t="str">
        <x:v>BV17W4y167SM</x:v>
      </x:c>
      <x:c r="U880" t="str"/>
      <x:c r="V880" s="148"/>
      <x:c r="W880" t="str"/>
    </x:row>
    <x:row r="881">
      <x:c r="A881" t="str">
        <x:v>ST-881</x:v>
      </x:c>
      <x:c r="B881" t="str">
        <x:v>Course</x:v>
      </x:c>
      <x:c r="C881" t="str">
        <x:v>How to Research</x:v>
      </x:c>
      <x:c r="D881" t="str">
        <x:v>Research Practice / Literature Review</x:v>
      </x:c>
      <x:c r="E881" t="str">
        <x:v>文献综述; Literature Review; Synthesis; Scientific Writing; Research Gap</x:v>
      </x:c>
      <x:c r="F881" t="str">
        <x:v>Chinese</x:v>
      </x:c>
      <x:c r="G881" t="str">
        <x:v>如何去写一篇文献综述</x:v>
      </x:c>
      <x:c r="H881" t="str">
        <x:v>Awake</x:v>
      </x:c>
      <x:c r="I881" t="str">
        <x:v>小博士Awake</x:v>
      </x:c>
      <x:c r="J881" t="str">
        <x:v>Research Skills Lecture</x:v>
      </x:c>
      <x:c r="K881" s="148" t="n">
        <x:v>13</x:v>
      </x:c>
      <x:c r="L881" t="str">
        <x:v>https://www.bilibili.com/video/BV1SB4y197kG</x:v>
      </x:c>
      <x:c r="M881" t="str">
        <x:v>Bilibili</x:v>
      </x:c>
      <x:c r="N881" s="150" t="n">
        <x:v>755456</x:v>
      </x:c>
      <x:c r="O881" t="str">
        <x:v>A | Official / Original Creator / Organizer</x:v>
      </x:c>
      <x:c r="P881" t="str">
        <x:v>Core</x:v>
      </x:c>
      <x:c r="Q881" t="str">
        <x:v>Verified</x:v>
      </x:c>
      <x:c r="R881" s="142" t="n">
        <x:v>46251</x:v>
      </x:c>
      <x:c r="S881" t="str">
        <x:v>Bilibili original upload; a compact introduction to literature-review structure and synthesis.</x:v>
      </x:c>
      <x:c r="T881" t="str">
        <x:v>BV1SB4y197kG</x:v>
      </x:c>
      <x:c r="U881" t="str"/>
      <x:c r="V881" s="148"/>
      <x:c r="W881" t="str"/>
    </x:row>
    <x:row r="882">
      <x:c r="A882" t="str">
        <x:v>ST-882</x:v>
      </x:c>
      <x:c r="B882" t="str">
        <x:v>Course</x:v>
      </x:c>
      <x:c r="C882" t="str">
        <x:v>Other</x:v>
      </x:c>
      <x:c r="D882" t="str">
        <x:v>Research Practice / Wellbeing</x:v>
      </x:c>
      <x:c r="E882" t="str">
        <x:v>科研压力; Research Wellbeing; Burnout; Mental Health; Research Career</x:v>
      </x:c>
      <x:c r="F882" t="str">
        <x:v>Chinese</x:v>
      </x:c>
      <x:c r="G882" t="str">
        <x:v>如何应对科研压力及精神内耗</x:v>
      </x:c>
      <x:c r="H882" t="str">
        <x:v>Awake</x:v>
      </x:c>
      <x:c r="I882" t="str">
        <x:v>小博士Awake</x:v>
      </x:c>
      <x:c r="J882" t="str">
        <x:v>Research Career Lecture</x:v>
      </x:c>
      <x:c r="K882" s="148" t="n">
        <x:v>13</x:v>
      </x:c>
      <x:c r="L882" t="str">
        <x:v>https://www.bilibili.com/video/BV1tt4y1c7qc</x:v>
      </x:c>
      <x:c r="M882" t="str">
        <x:v>Bilibili</x:v>
      </x:c>
      <x:c r="N882" s="150" t="n">
        <x:v>131730</x:v>
      </x:c>
      <x:c r="O882" t="str">
        <x:v>A | Official / Original Creator / Organizer</x:v>
      </x:c>
      <x:c r="P882" t="str">
        <x:v>Recommended</x:v>
      </x:c>
      <x:c r="Q882" t="str">
        <x:v>Verified</x:v>
      </x:c>
      <x:c r="R882" s="142" t="n">
        <x:v>46251</x:v>
      </x:c>
      <x:c r="S882" t="str">
        <x:v>Bilibili original upload; included to cover sustainable research practice, stress, and unproductive self-comparison.</x:v>
      </x:c>
      <x:c r="T882" t="str">
        <x:v>BV1tt4y1c7qc</x:v>
      </x:c>
      <x:c r="U882" t="str"/>
      <x:c r="V882" s="148"/>
      <x:c r="W882" t="str"/>
    </x:row>
    <x:row r="883">
      <x:c r="A883" t="str">
        <x:v>ST-883</x:v>
      </x:c>
      <x:c r="B883" t="str">
        <x:v>Course</x:v>
      </x:c>
      <x:c r="C883" t="str">
        <x:v>How to Research</x:v>
      </x:c>
      <x:c r="D883" t="str">
        <x:v>Research Practice / Peer Review</x:v>
      </x:c>
      <x:c r="E883" t="str">
        <x:v>Peer Review; Manuscript Review; Reviewer Report; Research Integrity; Publishing</x:v>
      </x:c>
      <x:c r="F883" t="str">
        <x:v>English</x:v>
      </x:c>
      <x:c r="G883" t="str">
        <x:v>Focus on Peer Review</x:v>
      </x:c>
      <x:c r="H883" t="str">
        <x:v>Nature Masterclasses editors and contributors</x:v>
      </x:c>
      <x:c r="I883" t="str">
        <x:v>Nature Masterclasses</x:v>
      </x:c>
      <x:c r="J883" t="str">
        <x:v>Modular Online Course</x:v>
      </x:c>
      <x:c r="K883" s="148" t="n">
        <x:v>210</x:v>
      </x:c>
      <x:c r="L883" t="str">
        <x:v>https://www.nature.com/masterclasses/focus-peer-review/52042152</x:v>
      </x:c>
      <x:c r="M883" t="str">
        <x:v>Official Site</x:v>
      </x:c>
      <x:c r="N883" s="150" t="n">
        <x:v>0</x:v>
      </x:c>
      <x:c r="O883" t="str">
        <x:v>A | Official / Original Creator / Organizer</x:v>
      </x:c>
      <x:c r="P883" t="str">
        <x:v>Core</x:v>
      </x:c>
      <x:c r="Q883" t="str">
        <x:v>Verified</x:v>
      </x:c>
      <x:c r="R883" s="142" t="n">
        <x:v>46251</x:v>
      </x:c>
      <x:c r="S883" t="str">
        <x:v>Official Nature Masterclasses course page verifies 3.5 hours across four modules and short lessons; free registration is required to access the course.</x:v>
      </x:c>
      <x:c r="T883" t="str">
        <x:v>nature-focus-peer-review</x:v>
      </x:c>
      <x:c r="U883" t="str"/>
      <x:c r="V883" s="148"/>
      <x:c r="W883" t="str"/>
    </x:row>
    <x:row r="884">
      <x:c r="A884" t="str">
        <x:v>ST-884</x:v>
      </x:c>
      <x:c r="B884" t="str">
        <x:v>Course</x:v>
      </x:c>
      <x:c r="C884" t="str">
        <x:v>How to Research</x:v>
      </x:c>
      <x:c r="D884" t="str">
        <x:v>Research Practice / Scientific Writing</x:v>
      </x:c>
      <x:c r="E884" t="str">
        <x:v>Computer Science Research; Scientific Writing; Research Design; Literature Review; Presentation</x:v>
      </x:c>
      <x:c r="F884" t="str">
        <x:v>English</x:v>
      </x:c>
      <x:c r="G884" t="str">
        <x:v>Scientific Research and Writing for Computer Scientists</x:v>
      </x:c>
      <x:c r="H884" t="str">
        <x:v>Faculty contributors from TU Wien</x:v>
      </x:c>
      <x:c r="I884" t="str">
        <x:v>TU Wien</x:v>
      </x:c>
      <x:c r="J884" t="str">
        <x:v>University Video Course</x:v>
      </x:c>
      <x:c r="K884" s="148" t="n">
        <x:v>160</x:v>
      </x:c>
      <x:c r="L884" t="str">
        <x:v>https://media.tuwien.ac.at/scientific-research-and-writing-for-computer-scientists/</x:v>
      </x:c>
      <x:c r="M884" t="str">
        <x:v>Official Site</x:v>
      </x:c>
      <x:c r="N884" s="150" t="n">
        <x:v>0</x:v>
      </x:c>
      <x:c r="O884" t="str">
        <x:v>B | University / Conference / Institution</x:v>
      </x:c>
      <x:c r="P884" t="str">
        <x:v>Core</x:v>
      </x:c>
      <x:c r="Q884" t="str">
        <x:v>Verified</x:v>
      </x:c>
      <x:c r="R884" s="142" t="n">
        <x:v>46251</x:v>
      </x:c>
      <x:c r="S884" t="str">
        <x:v>Official TU Wien course page; 16 approximately ten-minute videos organized into four thematic blocks and released under CC BY-SA 4.0.</x:v>
      </x:c>
      <x:c r="T884" t="str">
        <x:v>tuwien-scientific-research-writing</x:v>
      </x:c>
      <x:c r="U884" t="str"/>
      <x:c r="V884" s="148"/>
      <x:c r="W884" t="str"/>
    </x:row>
    <x:row r="885">
      <x:c r="A885" t="str">
        <x:v>ST-885</x:v>
      </x:c>
      <x:c r="B885" t="str">
        <x:v>Course</x:v>
      </x:c>
      <x:c r="C885" t="str">
        <x:v>How to Research</x:v>
      </x:c>
      <x:c r="D885" t="str">
        <x:v>Research Practice / Problem Selection</x:v>
      </x:c>
      <x:c r="E885" t="str">
        <x:v>Research Topic; Exploratory Research; Search Strategy; Iteration; Research Process</x:v>
      </x:c>
      <x:c r="F885" t="str">
        <x:v>English</x:v>
      </x:c>
      <x:c r="G885" t="str">
        <x:v>Picking Your Topic Is Research!</x:v>
      </x:c>
      <x:c r="H885" t="str">
        <x:v>Mara Mathews and NC State Libraries contributors</x:v>
      </x:c>
      <x:c r="I885" t="str">
        <x:v>NC State University Libraries</x:v>
      </x:c>
      <x:c r="J885" t="str">
        <x:v>Library Research Tutorial</x:v>
      </x:c>
      <x:c r="K885" s="148" t="n">
        <x:v>3</x:v>
      </x:c>
      <x:c r="L885" t="str">
        <x:v>https://www.lib.ncsu.edu/videos/picking-your-topic-is-research</x:v>
      </x:c>
      <x:c r="M885" t="str">
        <x:v>Official Site</x:v>
      </x:c>
      <x:c r="N885" s="150" t="n">
        <x:v>0</x:v>
      </x:c>
      <x:c r="O885" t="str">
        <x:v>B | University / Conference / Institution</x:v>
      </x:c>
      <x:c r="P885" t="str">
        <x:v>Recommended</x:v>
      </x:c>
      <x:c r="Q885" t="str">
        <x:v>Verified</x:v>
      </x:c>
      <x:c r="R885" s="142" t="n">
        <x:v>46251</x:v>
      </x:c>
      <x:c r="S885" t="str">
        <x:v>Official NC State Libraries page with a complete transcript, exact 3:10 runtime, publication date, credits, and Creative Commons license.</x:v>
      </x:c>
      <x:c r="T885" t="str">
        <x:v>ncsu-picking-topic</x:v>
      </x:c>
      <x:c r="U885" t="str">
        <x:v>NC State Libraries Research Tips</x:v>
      </x:c>
      <x:c r="V885" s="148" t="n">
        <x:v>1</x:v>
      </x:c>
      <x:c r="W885" t="str">
        <x:v>ncsu-research-tips</x:v>
      </x:c>
    </x:row>
    <x:row r="886">
      <x:c r="A886" t="str">
        <x:v>ST-886</x:v>
      </x:c>
      <x:c r="B886" t="str">
        <x:v>Course</x:v>
      </x:c>
      <x:c r="C886" t="str">
        <x:v>How to Research</x:v>
      </x:c>
      <x:c r="D886" t="str">
        <x:v>Research Practice / Literature Search</x:v>
      </x:c>
      <x:c r="E886" t="str">
        <x:v>Google Scholar; Literature Search; Citation Chaining; Search Strategy; Academic Sources</x:v>
      </x:c>
      <x:c r="F886" t="str">
        <x:v>English</x:v>
      </x:c>
      <x:c r="G886" t="str">
        <x:v>Searching in Google Scholar</x:v>
      </x:c>
      <x:c r="H886" t="str">
        <x:v>NC State Libraries contributors</x:v>
      </x:c>
      <x:c r="I886" t="str">
        <x:v>NC State University Libraries</x:v>
      </x:c>
      <x:c r="J886" t="str">
        <x:v>Library Research Tutorial</x:v>
      </x:c>
      <x:c r="K886" s="148" t="n">
        <x:v>4</x:v>
      </x:c>
      <x:c r="L886" t="str">
        <x:v>https://www.lib.ncsu.edu/videos/searching-google-scholar</x:v>
      </x:c>
      <x:c r="M886" t="str">
        <x:v>Official Site</x:v>
      </x:c>
      <x:c r="N886" s="150" t="n">
        <x:v>0</x:v>
      </x:c>
      <x:c r="O886" t="str">
        <x:v>B | University / Conference / Institution</x:v>
      </x:c>
      <x:c r="P886" t="str">
        <x:v>Recommended</x:v>
      </x:c>
      <x:c r="Q886" t="str">
        <x:v>Verified</x:v>
      </x:c>
      <x:c r="R886" s="142" t="n">
        <x:v>46251</x:v>
      </x:c>
      <x:c r="S886" t="str">
        <x:v>Official NC State Libraries page; exact 4:23 runtime and a complete transcript are publicly listed.</x:v>
      </x:c>
      <x:c r="T886" t="str">
        <x:v>ncsu-google-scholar</x:v>
      </x:c>
      <x:c r="U886" t="str">
        <x:v>NC State Libraries Research Tips</x:v>
      </x:c>
      <x:c r="V886" s="148" t="n">
        <x:v>2</x:v>
      </x:c>
      <x:c r="W886" t="str">
        <x:v>ncsu-research-tips</x:v>
      </x:c>
    </x:row>
    <x:row r="887">
      <x:c r="A887" t="str">
        <x:v>ST-887</x:v>
      </x:c>
      <x:c r="B887" t="str">
        <x:v>Course</x:v>
      </x:c>
      <x:c r="C887" t="str">
        <x:v>How to Research</x:v>
      </x:c>
      <x:c r="D887" t="str">
        <x:v>Research Practice / Reading Papers</x:v>
      </x:c>
      <x:c r="E887" t="str">
        <x:v>Scholarly Article; Critical Reading; Abstract; Methods; Results</x:v>
      </x:c>
      <x:c r="F887" t="str">
        <x:v>English</x:v>
      </x:c>
      <x:c r="G887" t="str">
        <x:v>How to Read a Scholarly Article</x:v>
      </x:c>
      <x:c r="H887" t="str">
        <x:v>Erin McKenney, Chelsea Krieg, and Meagan Kittle Autry</x:v>
      </x:c>
      <x:c r="I887" t="str">
        <x:v>NC State University Libraries</x:v>
      </x:c>
      <x:c r="J887" t="str">
        <x:v>Library Research Tutorial</x:v>
      </x:c>
      <x:c r="K887" s="148" t="n">
        <x:v>7</x:v>
      </x:c>
      <x:c r="L887" t="str">
        <x:v>https://www.lib.ncsu.edu/videos/how-read-scholarly-article</x:v>
      </x:c>
      <x:c r="M887" t="str">
        <x:v>Official Site</x:v>
      </x:c>
      <x:c r="N887" s="150" t="n">
        <x:v>0</x:v>
      </x:c>
      <x:c r="O887" t="str">
        <x:v>B | University / Conference / Institution</x:v>
      </x:c>
      <x:c r="P887" t="str">
        <x:v>Core</x:v>
      </x:c>
      <x:c r="Q887" t="str">
        <x:v>Verified</x:v>
      </x:c>
      <x:c r="R887" s="142" t="n">
        <x:v>46251</x:v>
      </x:c>
      <x:c r="S887" t="str">
        <x:v>Official NC State Libraries page with a full transcript, faculty contributors, exact 7:02 runtime, publication date, and Creative Commons license.</x:v>
      </x:c>
      <x:c r="T887" t="str">
        <x:v>ncsu-read-scholarly-article</x:v>
      </x:c>
      <x:c r="U887" t="str">
        <x:v>NC State Libraries Research Tips</x:v>
      </x:c>
      <x:c r="V887" s="148" t="n">
        <x:v>3</x:v>
      </x:c>
      <x:c r="W887" t="str">
        <x:v>ncsu-research-tips</x:v>
      </x:c>
    </x:row>
    <x:row r="888">
      <x:c r="A888" t="str">
        <x:v>ST-888</x:v>
      </x:c>
      <x:c r="B888" t="str">
        <x:v>Course</x:v>
      </x:c>
      <x:c r="C888" t="str">
        <x:v>How to Research</x:v>
      </x:c>
      <x:c r="D888" t="str">
        <x:v>Research Practice / Literature Review</x:v>
      </x:c>
      <x:c r="E888" t="str">
        <x:v>Literature Review; Synthesis; Research Gap; Scholarly Literature; Scientific Writing</x:v>
      </x:c>
      <x:c r="F888" t="str">
        <x:v>English</x:v>
      </x:c>
      <x:c r="G888" t="str">
        <x:v>Literature Reviews: An Overview for Graduate Students</x:v>
      </x:c>
      <x:c r="H888" t="str">
        <x:v>John Classen and NC State Libraries contributors</x:v>
      </x:c>
      <x:c r="I888" t="str">
        <x:v>NC State University Libraries</x:v>
      </x:c>
      <x:c r="J888" t="str">
        <x:v>Library Research Tutorial</x:v>
      </x:c>
      <x:c r="K888" s="148" t="n">
        <x:v>10</x:v>
      </x:c>
      <x:c r="L888" t="str">
        <x:v>https://www.lib.ncsu.edu/videos/literature-reviews-overview-graduate-students</x:v>
      </x:c>
      <x:c r="M888" t="str">
        <x:v>Official Site</x:v>
      </x:c>
      <x:c r="N888" s="150" t="n">
        <x:v>0</x:v>
      </x:c>
      <x:c r="O888" t="str">
        <x:v>B | University / Conference / Institution</x:v>
      </x:c>
      <x:c r="P888" t="str">
        <x:v>Core</x:v>
      </x:c>
      <x:c r="Q888" t="str">
        <x:v>Verified</x:v>
      </x:c>
      <x:c r="R888" s="142" t="n">
        <x:v>46251</x:v>
      </x:c>
      <x:c r="S888" t="str">
        <x:v>Official NC State Libraries page with a complete transcript, exact 9:38 runtime, publication date, credits, and Creative Commons license.</x:v>
      </x:c>
      <x:c r="T888" t="str">
        <x:v>ncsu-literature-review-overview</x:v>
      </x:c>
      <x:c r="U888" t="str">
        <x:v>NC State Libraries Research Tips</x:v>
      </x:c>
      <x:c r="V888" s="148" t="n">
        <x:v>4</x:v>
      </x:c>
      <x:c r="W888" t="str">
        <x:v>ncsu-research-tips</x:v>
      </x:c>
    </x:row>
    <x:row r="889">
      <x:c r="A889" t="str">
        <x:v>ST-889</x:v>
      </x:c>
      <x:c r="B889" t="str">
        <x:v>Course</x:v>
      </x:c>
      <x:c r="C889" t="str">
        <x:v>How to Research</x:v>
      </x:c>
      <x:c r="D889" t="str">
        <x:v>Research Methods / Experimental Design</x:v>
      </x:c>
      <x:c r="E889" t="str">
        <x:v>Experimental Design; Causal Inference; Randomized Experiments; Statistics; Reproducibility</x:v>
      </x:c>
      <x:c r="F889" t="str">
        <x:v>English</x:v>
      </x:c>
      <x:c r="G889" t="str">
        <x:v>Lecture 22: Experimental Design</x:v>
      </x:c>
      <x:c r="H889" t="str">
        <x:v>Esther Duflo</x:v>
      </x:c>
      <x:c r="I889" t="str">
        <x:v>MIT OpenCourseWare</x:v>
      </x:c>
      <x:c r="J889" t="str">
        <x:v>Graduate Course Lecture</x:v>
      </x:c>
      <x:c r="K889" s="148" t="n">
        <x:v>71</x:v>
      </x:c>
      <x:c r="L889" t="str">
        <x:v>https://ocw.mit.edu/courses/14-310x-data-analysis-for-social-scientists-spring-2023/resources/14310x-lecture-22_mp4/</x:v>
      </x:c>
      <x:c r="M889" t="str">
        <x:v>Official Site</x:v>
      </x:c>
      <x:c r="N889" s="150" t="n">
        <x:v>0</x:v>
      </x:c>
      <x:c r="O889" t="str">
        <x:v>B | University / Conference / Institution</x:v>
      </x:c>
      <x:c r="P889" t="str">
        <x:v>Core</x:v>
      </x:c>
      <x:c r="Q889" t="str">
        <x:v>Verified</x:v>
      </x:c>
      <x:c r="R889" s="142" t="n">
        <x:v>46251</x:v>
      </x:c>
      <x:c r="S889" t="str">
        <x:v>Official MIT OpenCourseWare graduate lecture; course term, instructor, video, downloadable file, transcript, and 4,238-second runtime were cross-checked.</x:v>
      </x:c>
      <x:c r="T889" t="str">
        <x:v>Y7GyEUj88PI</x:v>
      </x:c>
      <x:c r="U889" t="str"/>
      <x:c r="V889" s="148"/>
      <x:c r="W889" t="str"/>
    </x:row>
    <x:row r="890">
      <x:c r="A890" t="str">
        <x:v>ST-890</x:v>
      </x:c>
      <x:c r="B890" t="str">
        <x:v>Talk</x:v>
      </x:c>
      <x:c r="C890" t="str">
        <x:v>Other</x:v>
      </x:c>
      <x:c r="D890" t="str">
        <x:v>Chinese AI Researchers / AI Futures</x:v>
      </x:c>
      <x:c r="E890" t="str">
        <x:v>Artificial Intelligence; Beneficial AI; Superintelligence; AI Futures; Governance</x:v>
      </x:c>
      <x:c r="F890" t="str">
        <x:v>Chinese</x:v>
      </x:c>
      <x:c r="G890" t="str">
        <x:v>「湖心讲堂」图灵奖得主姚期智——人工智能的未来</x:v>
      </x:c>
      <x:c r="H890" t="str">
        <x:v>姚期智</x:v>
      </x:c>
      <x:c r="I890" t="str">
        <x:v>西湖大学</x:v>
      </x:c>
      <x:c r="J890" t="str">
        <x:v>University Public Talk</x:v>
      </x:c>
      <x:c r="K890" s="148" t="n">
        <x:v>9</x:v>
      </x:c>
      <x:c r="L890" t="str">
        <x:v>https://www.bilibili.com/video/BV1me4y1g7Pp</x:v>
      </x:c>
      <x:c r="M890" t="str">
        <x:v>Bilibili</x:v>
      </x:c>
      <x:c r="N890" s="150" t="n">
        <x:v>1485</x:v>
      </x:c>
      <x:c r="O890" t="str">
        <x:v>B | University / Conference / Institution</x:v>
      </x:c>
      <x:c r="P890" t="str">
        <x:v>Recommended</x:v>
      </x:c>
      <x:c r="Q890" t="str">
        <x:v>Verified</x:v>
      </x:c>
      <x:c r="R890" s="142" t="n">
        <x:v>46251</x:v>
      </x:c>
      <x:c r="S890" t="str">
        <x:v>Official Westlake University upload. This is a concise 9:13 public segment on the future of AI, deliberately labelled Recommended rather than treated as a full-length lecture.</x:v>
      </x:c>
      <x:c r="T890" t="str">
        <x:v>BV1me4y1g7Pp</x:v>
      </x:c>
      <x:c r="U890" t="str"/>
      <x:c r="V890" s="148"/>
      <x:c r="W890" t="str"/>
    </x:row>
    <x:row r="891">
      <x:c r="A891" t="str">
        <x:v>ST-891</x:v>
      </x:c>
      <x:c r="B891" t="str">
        <x:v>Course</x:v>
      </x:c>
      <x:c r="C891" t="str">
        <x:v>Other</x:v>
      </x:c>
      <x:c r="D891" t="str">
        <x:v>Chinese AI Researchers / AI Strategy</x:v>
      </x:c>
      <x:c r="E891" t="str">
        <x:v>Artificial Intelligence; AI Strategy; AGI; AI Education; Computer Vision</x:v>
      </x:c>
      <x:c r="F891" t="str">
        <x:v>Chinese</x:v>
      </x:c>
      <x:c r="G891" t="str">
        <x:v>中学生 AI 微课十讲：人工智能的现状、趋势与战略</x:v>
      </x:c>
      <x:c r="H891" t="str">
        <x:v>朱松纯</x:v>
      </x:c>
      <x:c r="I891" t="str">
        <x:v>北京大学</x:v>
      </x:c>
      <x:c r="J891" t="str">
        <x:v>University Public Lecture</x:v>
      </x:c>
      <x:c r="K891" s="148" t="n">
        <x:v>53</x:v>
      </x:c>
      <x:c r="L891" t="str">
        <x:v>https://www.bilibili.com/video/BV1wX4y1t7Sw</x:v>
      </x:c>
      <x:c r="M891" t="str">
        <x:v>Bilibili</x:v>
      </x:c>
      <x:c r="N891" s="150" t="n">
        <x:v>35346</x:v>
      </x:c>
      <x:c r="O891" t="str">
        <x:v>B | University / Conference / Institution</x:v>
      </x:c>
      <x:c r="P891" t="str">
        <x:v>Core</x:v>
      </x:c>
      <x:c r="Q891" t="str">
        <x:v>Verified</x:v>
      </x:c>
      <x:c r="R891" s="142" t="n">
        <x:v>46251</x:v>
      </x:c>
      <x:c r="S891" t="str">
        <x:v>Official Peking University upload. The opening lecture frames current AI, future trajectories, strategy, and AGI for a broad audience.</x:v>
      </x:c>
      <x:c r="T891" t="str">
        <x:v>BV1wX4y1t7Sw</x:v>
      </x:c>
      <x:c r="U891" t="str"/>
      <x:c r="V891" s="148"/>
      <x:c r="W891" t="str"/>
    </x:row>
    <x:row r="892">
      <x:c r="A892" t="str">
        <x:v>ST-892</x:v>
      </x:c>
      <x:c r="B892" t="str">
        <x:v>Course</x:v>
      </x:c>
      <x:c r="C892" t="str">
        <x:v>Other</x:v>
      </x:c>
      <x:c r="D892" t="str">
        <x:v>Machine Learning Foundations / Chinese AI Researchers</x:v>
      </x:c>
      <x:c r="E892" t="str">
        <x:v>Machine Learning; Theory; Generalization; Representation Learning; Research Progress</x:v>
      </x:c>
      <x:c r="F892" t="str">
        <x:v>Chinese</x:v>
      </x:c>
      <x:c r="G892" t="str">
        <x:v>《机器学习进步》</x:v>
      </x:c>
      <x:c r="H892" t="str">
        <x:v>周志华</x:v>
      </x:c>
      <x:c r="I892" t="str">
        <x:v>yxl-bili</x:v>
      </x:c>
      <x:c r="J892" t="str">
        <x:v>Authorized Multi-Part Course</x:v>
      </x:c>
      <x:c r="K892" s="148" t="n">
        <x:v>380</x:v>
      </x:c>
      <x:c r="L892" t="str">
        <x:v>https://www.bilibili.com/video/BV1H356zME2Z</x:v>
      </x:c>
      <x:c r="M892" t="str">
        <x:v>Bilibili</x:v>
      </x:c>
      <x:c r="N892" s="150" t="n">
        <x:v>92195</x:v>
      </x:c>
      <x:c r="O892" t="str">
        <x:v>C | Community Selection</x:v>
      </x:c>
      <x:c r="P892" t="str">
        <x:v>Core</x:v>
      </x:c>
      <x:c r="Q892" t="str">
        <x:v>Verified</x:v>
      </x:c>
      <x:c r="R892" s="142" t="n">
        <x:v>46251</x:v>
      </x:c>
      <x:c r="S892" t="str">
        <x:v>A 45-part, roughly 6h20m series whose uploader states it is uniquely authorised. It is retained as a carefully labelled community-hosted copy rather than presented as a university-owned upload.</x:v>
      </x:c>
      <x:c r="T892" t="str">
        <x:v>BV1H356zME2Z</x:v>
      </x:c>
      <x:c r="U892" t="str"/>
      <x:c r="V892" s="148"/>
      <x:c r="W892" t="str"/>
    </x:row>
    <x:row r="893">
      <x:c r="A893" t="str">
        <x:v>ST-893</x:v>
      </x:c>
      <x:c r="B893" t="str">
        <x:v>Talk</x:v>
      </x:c>
      <x:c r="C893" t="str">
        <x:v>Other</x:v>
      </x:c>
      <x:c r="D893" t="str">
        <x:v>AI Foundations / Deep Learning</x:v>
      </x:c>
      <x:c r="E893" t="str">
        <x:v>Boltzmann Machines; Deep Learning; Neural Networks; Statistical Physics; Turing Award</x:v>
      </x:c>
      <x:c r="F893" t="str">
        <x:v>English</x:v>
      </x:c>
      <x:c r="G893" t="str">
        <x:v>Boltzmann Machines</x:v>
      </x:c>
      <x:c r="H893" t="str">
        <x:v>Geoffrey Hinton</x:v>
      </x:c>
      <x:c r="I893" t="str">
        <x:v>Nobel Prize</x:v>
      </x:c>
      <x:c r="J893" t="str">
        <x:v>Nobel Prize Lecture</x:v>
      </x:c>
      <x:c r="K893" s="148" t="n">
        <x:v>32</x:v>
      </x:c>
      <x:c r="L893" t="str">
        <x:v>https://www.nobelprize.org/prizes/physics/2024/hinton/lecture/</x:v>
      </x:c>
      <x:c r="M893" t="str">
        <x:v>Official Site</x:v>
      </x:c>
      <x:c r="N893" s="150" t="n">
        <x:v>94710</x:v>
      </x:c>
      <x:c r="O893" t="str">
        <x:v>A | Official / Original Creator / Organizer</x:v>
      </x:c>
      <x:c r="P893" t="str">
        <x:v>Core</x:v>
      </x:c>
      <x:c r="Q893" t="str">
        <x:v>Verified</x:v>
      </x:c>
      <x:c r="R893" s="142" t="n">
        <x:v>46251</x:v>
      </x:c>
      <x:c r="S893" t="str">
        <x:v>Official Nobel Prize recording of the 2024 Physics laureate’s lecture, delivered on 8 December 2024; title, embedded video, and runtime cross-checked.</x:v>
      </x:c>
      <x:c r="T893" t="str">
        <x:v>XDE9DjpcSdI</x:v>
      </x:c>
      <x:c r="U893" t="str"/>
      <x:c r="V893" s="148"/>
      <x:c r="W893" t="str"/>
    </x:row>
    <x:row r="894">
      <x:c r="A894" t="str">
        <x:v>ST-894</x:v>
      </x:c>
      <x:c r="B894" t="str">
        <x:v>Talk</x:v>
      </x:c>
      <x:c r="C894" t="str">
        <x:v>Other</x:v>
      </x:c>
      <x:c r="D894" t="str">
        <x:v>AI Foundations / Associative Memory</x:v>
      </x:c>
      <x:c r="E894" t="str">
        <x:v>Associative Memory; Hopfield Networks; Neural Networks; Energy Landscape; Physics</x:v>
      </x:c>
      <x:c r="F894" t="str">
        <x:v>English</x:v>
      </x:c>
      <x:c r="G894" t="str">
        <x:v>Physics Is a Point of View</x:v>
      </x:c>
      <x:c r="H894" t="str">
        <x:v>John J. Hopfield</x:v>
      </x:c>
      <x:c r="I894" t="str">
        <x:v>Nobel Prize</x:v>
      </x:c>
      <x:c r="J894" t="str">
        <x:v>Nobel Prize Lecture</x:v>
      </x:c>
      <x:c r="K894" s="148" t="n">
        <x:v>40</x:v>
      </x:c>
      <x:c r="L894" t="str">
        <x:v>https://www.nobelprize.org/prizes/physics/2024/hopfield/lecture/</x:v>
      </x:c>
      <x:c r="M894" t="str">
        <x:v>Official Site</x:v>
      </x:c>
      <x:c r="N894" s="150" t="n">
        <x:v>19821</x:v>
      </x:c>
      <x:c r="O894" t="str">
        <x:v>A | Official / Original Creator / Organizer</x:v>
      </x:c>
      <x:c r="P894" t="str">
        <x:v>Core</x:v>
      </x:c>
      <x:c r="Q894" t="str">
        <x:v>Verified</x:v>
      </x:c>
      <x:c r="R894" s="142" t="n">
        <x:v>46251</x:v>
      </x:c>
      <x:c r="S894" t="str">
        <x:v>Official Nobel Prize recording of the 2024 Physics laureate’s lecture, delivered on 8 December 2024; title, embedded video, and runtime cross-checked.</x:v>
      </x:c>
      <x:c r="T894" t="str">
        <x:v>8SffhDk4mdU</x:v>
      </x:c>
      <x:c r="U894" t="str"/>
      <x:c r="V894" s="148"/>
      <x:c r="W894" t="str"/>
    </x:row>
    <x:row r="895">
      <x:c r="A895" t="str">
        <x:v>ST-895</x:v>
      </x:c>
      <x:c r="B895" t="str">
        <x:v>Talk</x:v>
      </x:c>
      <x:c r="C895" t="str">
        <x:v>Other</x:v>
      </x:c>
      <x:c r="D895" t="str">
        <x:v>AI for Science / Protein Structure Prediction</x:v>
      </x:c>
      <x:c r="E895" t="str">
        <x:v>AlphaFold; Protein Structure; AI for Science; Scientific Discovery; DeepMind</x:v>
      </x:c>
      <x:c r="F895" t="str">
        <x:v>English</x:v>
      </x:c>
      <x:c r="G895" t="str">
        <x:v>Accelerating Scientific Discovery with AI</x:v>
      </x:c>
      <x:c r="H895" t="str">
        <x:v>Demis Hassabis</x:v>
      </x:c>
      <x:c r="I895" t="str">
        <x:v>Nobel Prize</x:v>
      </x:c>
      <x:c r="J895" t="str">
        <x:v>Nobel Prize Lecture</x:v>
      </x:c>
      <x:c r="K895" s="148" t="n">
        <x:v>29</x:v>
      </x:c>
      <x:c r="L895" t="str">
        <x:v>https://www.nobelprize.org/prizes/chemistry/2024/hassabis/lecture/</x:v>
      </x:c>
      <x:c r="M895" t="str">
        <x:v>Official Site</x:v>
      </x:c>
      <x:c r="N895" s="150" t="n">
        <x:v>201168</x:v>
      </x:c>
      <x:c r="O895" t="str">
        <x:v>A | Official / Original Creator / Organizer</x:v>
      </x:c>
      <x:c r="P895" t="str">
        <x:v>Core</x:v>
      </x:c>
      <x:c r="Q895" t="str">
        <x:v>Verified</x:v>
      </x:c>
      <x:c r="R895" s="142" t="n">
        <x:v>46251</x:v>
      </x:c>
      <x:c r="S895" t="str">
        <x:v>Official Nobel Prize recording of the 2024 Chemistry laureate’s lecture; connects AI methods to scientific discovery and AlphaFold.</x:v>
      </x:c>
      <x:c r="T895" t="str">
        <x:v>YtPaZsasmNA</x:v>
      </x:c>
      <x:c r="U895" t="str"/>
      <x:c r="V895" s="148"/>
      <x:c r="W895" t="str"/>
    </x:row>
    <x:row r="896">
      <x:c r="A896" t="str">
        <x:v>ST-896</x:v>
      </x:c>
      <x:c r="B896" t="str">
        <x:v>Talk</x:v>
      </x:c>
      <x:c r="C896" t="str">
        <x:v>Other</x:v>
      </x:c>
      <x:c r="D896" t="str">
        <x:v>AI for Science / Protein Structure Prediction</x:v>
      </x:c>
      <x:c r="E896" t="str">
        <x:v>AlphaFold; Protein Structure; Computational Biology; AI for Science; Deep Learning</x:v>
      </x:c>
      <x:c r="F896" t="str">
        <x:v>English</x:v>
      </x:c>
      <x:c r="G896" t="str">
        <x:v>Building Chemical and Biological Intuition into Protein Structure Prediction</x:v>
      </x:c>
      <x:c r="H896" t="str">
        <x:v>John Jumper</x:v>
      </x:c>
      <x:c r="I896" t="str">
        <x:v>Nobel Prize</x:v>
      </x:c>
      <x:c r="J896" t="str">
        <x:v>Nobel Prize Lecture</x:v>
      </x:c>
      <x:c r="K896" s="148" t="n">
        <x:v>30</x:v>
      </x:c>
      <x:c r="L896" t="str">
        <x:v>https://www.nobelprize.org/prizes/chemistry/2024/jumper/lecture/</x:v>
      </x:c>
      <x:c r="M896" t="str">
        <x:v>Official Site</x:v>
      </x:c>
      <x:c r="N896" s="150" t="n">
        <x:v>22208</x:v>
      </x:c>
      <x:c r="O896" t="str">
        <x:v>A | Official / Original Creator / Organizer</x:v>
      </x:c>
      <x:c r="P896" t="str">
        <x:v>Core</x:v>
      </x:c>
      <x:c r="Q896" t="str">
        <x:v>Verified</x:v>
      </x:c>
      <x:c r="R896" s="142" t="n">
        <x:v>46251</x:v>
      </x:c>
      <x:c r="S896" t="str">
        <x:v>Official Nobel Prize recording of the 2024 Chemistry laureate’s lecture on the design thinking behind protein structure prediction.</x:v>
      </x:c>
      <x:c r="T896" t="str">
        <x:v>qX1aYUckvnY</x:v>
      </x:c>
      <x:c r="U896" t="str"/>
      <x:c r="V896" s="148"/>
      <x:c r="W896" t="str"/>
    </x:row>
    <x:row r="897">
      <x:c r="A897" t="str">
        <x:v>ST-897</x:v>
      </x:c>
      <x:c r="B897" t="str">
        <x:v>Talk</x:v>
      </x:c>
      <x:c r="C897" t="str">
        <x:v>Other</x:v>
      </x:c>
      <x:c r="D897" t="str">
        <x:v>AI for Science / Protein Design</x:v>
      </x:c>
      <x:c r="E897" t="str">
        <x:v>Protein Design; Generative Design; AI for Science; Computational Biology; Rosetta</x:v>
      </x:c>
      <x:c r="F897" t="str">
        <x:v>English</x:v>
      </x:c>
      <x:c r="G897" t="str">
        <x:v>De Novo Protein Design</x:v>
      </x:c>
      <x:c r="H897" t="str">
        <x:v>David Baker</x:v>
      </x:c>
      <x:c r="I897" t="str">
        <x:v>Nobel Prize</x:v>
      </x:c>
      <x:c r="J897" t="str">
        <x:v>Nobel Prize Lecture</x:v>
      </x:c>
      <x:c r="K897" s="148" t="n">
        <x:v>39</x:v>
      </x:c>
      <x:c r="L897" t="str">
        <x:v>https://www.nobelprize.org/prizes/chemistry/2024/baker/lecture/</x:v>
      </x:c>
      <x:c r="M897" t="str">
        <x:v>Official Site</x:v>
      </x:c>
      <x:c r="N897" s="150" t="n">
        <x:v>19540</x:v>
      </x:c>
      <x:c r="O897" t="str">
        <x:v>A | Official / Original Creator / Organizer</x:v>
      </x:c>
      <x:c r="P897" t="str">
        <x:v>Core</x:v>
      </x:c>
      <x:c r="Q897" t="str">
        <x:v>Verified</x:v>
      </x:c>
      <x:c r="R897" s="142" t="n">
        <x:v>46251</x:v>
      </x:c>
      <x:c r="S897" t="str">
        <x:v>Official Nobel Prize recording of the 2024 Chemistry laureate’s lecture on computational protein design.</x:v>
      </x:c>
      <x:c r="T897" t="str">
        <x:v>KbDvQgsOI-E</x:v>
      </x:c>
      <x:c r="U897" t="str"/>
      <x:c r="V897" s="148"/>
      <x:c r="W897" t="str"/>
    </x:row>
    <x:row r="898">
      <x:c r="A898" t="str">
        <x:v>ST-898</x:v>
      </x:c>
      <x:c r="B898" t="str">
        <x:v>Talk</x:v>
      </x:c>
      <x:c r="C898" t="str">
        <x:v>Other</x:v>
      </x:c>
      <x:c r="D898" t="str">
        <x:v>Causal Inference / AI Foundations</x:v>
      </x:c>
      <x:c r="E898" t="str">
        <x:v>Causality; Causal Inference; Structural Causal Models; Counterfactuals; Turing Award</x:v>
      </x:c>
      <x:c r="F898" t="str">
        <x:v>English</x:v>
      </x:c>
      <x:c r="G898" t="str">
        <x:v>The Mechanization of Causal Inference</x:v>
      </x:c>
      <x:c r="H898" t="str">
        <x:v>Judea Pearl</x:v>
      </x:c>
      <x:c r="I898" t="str">
        <x:v>Association for Computing Machinery (ACM)</x:v>
      </x:c>
      <x:c r="J898" t="str">
        <x:v>Turing Award Lecture</x:v>
      </x:c>
      <x:c r="K898" s="148" t="n">
        <x:v>61</x:v>
      </x:c>
      <x:c r="L898" t="str">
        <x:v>https://www.youtube.com/watch?v=iNm4nFBFmvo</x:v>
      </x:c>
      <x:c r="M898" t="str">
        <x:v>YouTube</x:v>
      </x:c>
      <x:c r="N898" s="150" t="n">
        <x:v>37708</x:v>
      </x:c>
      <x:c r="O898" t="str">
        <x:v>A | Official / Original Creator / Organizer</x:v>
      </x:c>
      <x:c r="P898" t="str">
        <x:v>Core</x:v>
      </x:c>
      <x:c r="Q898" t="str">
        <x:v>Verified</x:v>
      </x:c>
      <x:c r="R898" s="142" t="n">
        <x:v>46251</x:v>
      </x:c>
      <x:c r="S898" t="str">
        <x:v>Official ACM upload of Judea Pearl’s 2012 A.M. Turing Award lecture; essential for causal reasoning and the limits of purely associational learning.</x:v>
      </x:c>
      <x:c r="T898" t="str">
        <x:v>iNm4nFBFmvo</x:v>
      </x:c>
      <x:c r="U898" t="str"/>
      <x:c r="V898" s="148"/>
      <x:c r="W898" t="str"/>
    </x:row>
    <x:row r="899">
      <x:c r="A899" t="str">
        <x:v>ST-899</x:v>
      </x:c>
      <x:c r="B899" t="str">
        <x:v>Talk</x:v>
      </x:c>
      <x:c r="C899" t="str">
        <x:v>Other</x:v>
      </x:c>
      <x:c r="D899" t="str">
        <x:v>AI Foundations / Deep Learning</x:v>
      </x:c>
      <x:c r="E899" t="str">
        <x:v>Deep Learning; Backpropagation; Representation Learning; Neural Networks; Turing Award</x:v>
      </x:c>
      <x:c r="F899" t="str">
        <x:v>English</x:v>
      </x:c>
      <x:c r="G899" t="str">
        <x:v>The Deep Learning Revolution</x:v>
      </x:c>
      <x:c r="H899" t="str">
        <x:v>Geoffrey Hinton and Yann LeCun</x:v>
      </x:c>
      <x:c r="I899" t="str">
        <x:v>Association for Computing Machinery (ACM)</x:v>
      </x:c>
      <x:c r="J899" t="str">
        <x:v>Turing Award Lecture</x:v>
      </x:c>
      <x:c r="K899" s="148" t="n">
        <x:v>92</x:v>
      </x:c>
      <x:c r="L899" t="str">
        <x:v>https://www.youtube.com/watch?v=VsnQf7exv5I</x:v>
      </x:c>
      <x:c r="M899" t="str">
        <x:v>YouTube</x:v>
      </x:c>
      <x:c r="N899" s="150" t="n">
        <x:v>86495</x:v>
      </x:c>
      <x:c r="O899" t="str">
        <x:v>A | Official / Original Creator / Organizer</x:v>
      </x:c>
      <x:c r="P899" t="str">
        <x:v>Core</x:v>
      </x:c>
      <x:c r="Q899" t="str">
        <x:v>Verified</x:v>
      </x:c>
      <x:c r="R899" s="142" t="n">
        <x:v>46251</x:v>
      </x:c>
      <x:c r="S899" t="str">
        <x:v>Full official ACM recording of the 2018 A.M. Turing Award lecture, including both Hinton and LeCun; selected in place of short award-highlight clips.</x:v>
      </x:c>
      <x:c r="T899" t="str">
        <x:v>VsnQf7exv5I</x:v>
      </x:c>
      <x:c r="U899" t="str"/>
      <x:c r="V899" s="148"/>
      <x:c r="W899" t="str"/>
    </x:row>
    <x:row r="900">
      <x:c r="A900" t="str">
        <x:v>ST-900</x:v>
      </x:c>
      <x:c r="B900" t="str">
        <x:v>Talk</x:v>
      </x:c>
      <x:c r="C900" t="str">
        <x:v>Other</x:v>
      </x:c>
      <x:c r="D900" t="str">
        <x:v>AI Safety / Alignment / Oversight</x:v>
      </x:c>
      <x:c r="E900" t="str">
        <x:v>Beneficial AI; Alignment; Control; AI Safety; Provable Guarantees</x:v>
      </x:c>
      <x:c r="F900" t="str">
        <x:v>English</x:v>
      </x:c>
      <x:c r="G900" t="str">
        <x:v>Provably Beneficial Artificial Intelligence</x:v>
      </x:c>
      <x:c r="H900" t="str">
        <x:v>Stuart Russell</x:v>
      </x:c>
      <x:c r="I900" t="str">
        <x:v>ACM SIGCHI</x:v>
      </x:c>
      <x:c r="J900" t="str">
        <x:v>Conference Keynote</x:v>
      </x:c>
      <x:c r="K900" s="148" t="n">
        <x:v>109</x:v>
      </x:c>
      <x:c r="L900" t="str">
        <x:v>https://www.youtube.com/watch?v=SYqVKrY8XpA</x:v>
      </x:c>
      <x:c r="M900" t="str">
        <x:v>YouTube</x:v>
      </x:c>
      <x:c r="N900" s="150" t="n">
        <x:v>1076</x:v>
      </x:c>
      <x:c r="O900" t="str">
        <x:v>A | Official / Original Creator / Organizer</x:v>
      </x:c>
      <x:c r="P900" t="str">
        <x:v>Core</x:v>
      </x:c>
      <x:c r="Q900" t="str">
        <x:v>Verified</x:v>
      </x:c>
      <x:c r="R900" s="142" t="n">
        <x:v>46251</x:v>
      </x:c>
      <x:c r="S900" t="str">
        <x:v>Official ACM SIGCHI recording of the IUI 2022 keynote. A long-form statement of Russell’s approach to beneficial AI and formal control objectives.</x:v>
      </x:c>
      <x:c r="T900" t="str">
        <x:v>SYqVKrY8XpA</x:v>
      </x:c>
      <x:c r="U900" t="str"/>
      <x:c r="V900" s="148"/>
      <x:c r="W900" t="str"/>
    </x:row>
    <x:row r="901">
      <x:c r="A901" t="str">
        <x:v>ST-901</x:v>
      </x:c>
      <x:c r="B901" t="str">
        <x:v>Talk</x:v>
      </x:c>
      <x:c r="C901" t="str">
        <x:v>Other</x:v>
      </x:c>
      <x:c r="D901" t="str">
        <x:v>AI Foundations / Intrinsic Motivation</x:v>
      </x:c>
      <x:c r="E901" t="str">
        <x:v>Intrinsic Motivation; Curiosity; Neural Networks; Compression Progress; Reinforcement Learning</x:v>
      </x:c>
      <x:c r="F901" t="str">
        <x:v>English</x:v>
      </x:c>
      <x:c r="G901" t="str">
        <x:v>Optimal AI — Neural Network ReNNaissance — Theory of Fun</x:v>
      </x:c>
      <x:c r="H901" t="str">
        <x:v>Jürgen Schmidhuber</x:v>
      </x:c>
      <x:c r="I901" t="str">
        <x:v>Max Planck Institute for Intelligent Systems</x:v>
      </x:c>
      <x:c r="J901" t="str">
        <x:v>Research Lecture</x:v>
      </x:c>
      <x:c r="K901" s="148" t="n">
        <x:v>60</x:v>
      </x:c>
      <x:c r="L901" t="str">
        <x:v>https://media.mis.mpg.de/conference-ei-2013/2013-03-01-schmidhuber/</x:v>
      </x:c>
      <x:c r="M901" t="str">
        <x:v>Official Site</x:v>
      </x:c>
      <x:c r="N901" s="150" t="n">
        <x:v>0</x:v>
      </x:c>
      <x:c r="O901" t="str">
        <x:v>B | University / Conference / Institution</x:v>
      </x:c>
      <x:c r="P901" t="str">
        <x:v>Core</x:v>
      </x:c>
      <x:c r="Q901" t="str">
        <x:v>Verified</x:v>
      </x:c>
      <x:c r="R901" s="142" t="n">
        <x:v>46251</x:v>
      </x:c>
      <x:c r="S901" t="str">
        <x:v>Direct MP4 recording hosted by the Max Planck Institute for Intelligent Systems. The conference programme scheduled this session from 09:00 to 10:00.</x:v>
      </x:c>
      <x:c r="T901" t="str">
        <x:v>schmidhuber-ei-2013</x:v>
      </x:c>
      <x:c r="U901" t="str"/>
      <x:c r="V901" s="148"/>
      <x:c r="W901" t="str"/>
    </x:row>
    <x:row r="902">
      <x:c r="A902" t="str">
        <x:v>ST-902</x:v>
      </x:c>
      <x:c r="B902" t="str">
        <x:v>Talk</x:v>
      </x:c>
      <x:c r="C902" t="str">
        <x:v>Other</x:v>
      </x:c>
      <x:c r="D902" t="str">
        <x:v>Transformers / Foundation Models</x:v>
      </x:c>
      <x:c r="E902" t="str">
        <x:v>Transformers; Attention; Foundation Models; Scaling; AI Research History</x:v>
      </x:c>
      <x:c r="F902" t="str">
        <x:v>English</x:v>
      </x:c>
      <x:c r="G902" t="str">
        <x:v>Transforming AI</x:v>
      </x:c>
      <x:c r="H902" t="str">
        <x:v>Jensen Huang with Ashish Vaswani, Noam Shazeer, Jakob Uszkoreit, Llion Jones, Aidan Gomez, Łukasz Kaiser, and Illia Polosukhin</x:v>
      </x:c>
      <x:c r="I902" t="str">
        <x:v>NVIDIA Developer</x:v>
      </x:c>
      <x:c r="J902" t="str">
        <x:v>Conference Panel</x:v>
      </x:c>
      <x:c r="K902" s="148" t="n">
        <x:v>54</x:v>
      </x:c>
      <x:c r="L902" t="str">
        <x:v>https://www.youtube.com/watch?v=hC_qASRcBhU</x:v>
      </x:c>
      <x:c r="M902" t="str">
        <x:v>YouTube</x:v>
      </x:c>
      <x:c r="N902" s="150" t="n">
        <x:v>116726</x:v>
      </x:c>
      <x:c r="O902" t="str">
        <x:v>A | Official / Original Creator / Organizer</x:v>
      </x:c>
      <x:c r="P902" t="str">
        <x:v>Core</x:v>
      </x:c>
      <x:c r="Q902" t="str">
        <x:v>Verified</x:v>
      </x:c>
      <x:c r="R902" s="142" t="n">
        <x:v>46251</x:v>
      </x:c>
      <x:c r="S902" t="str">
        <x:v>Official NVIDIA GTC 2024 panel with seven available original Transformer authors. Added as the verifiable full panel rather than relying on an unavailable individual 2017 spotlight recording.</x:v>
      </x:c>
      <x:c r="T902" t="str">
        <x:v>hC_qASRcBhU</x:v>
      </x:c>
      <x:c r="U902" t="str"/>
      <x:c r="V902" s="148"/>
      <x:c r="W902" t="str"/>
    </x:row>
    <x:row r="903">
      <x:c r="A903" t="str">
        <x:v>ST-903</x:v>
      </x:c>
      <x:c r="B903" t="str">
        <x:v>Course</x:v>
      </x:c>
      <x:c r="C903" t="str">
        <x:v>Other</x:v>
      </x:c>
      <x:c r="D903" t="str">
        <x:v>Mathematical Foundations for AI / Convex Optimization</x:v>
      </x:c>
      <x:c r="E903" t="str">
        <x:v>Convex Optimization; Optimization; Machine Learning; CVXPY; Regularization</x:v>
      </x:c>
      <x:c r="F903" t="str">
        <x:v>English</x:v>
      </x:c>
      <x:c r="G903" t="str">
        <x:v>Convex Optimization Short Course — Part I</x:v>
      </x:c>
      <x:c r="H903" t="str">
        <x:v>Stephen Boyd</x:v>
      </x:c>
      <x:c r="I903" t="str">
        <x:v>Max Planck Institute for Intelligent Systems</x:v>
      </x:c>
      <x:c r="J903" t="str">
        <x:v>University Course Lecture</x:v>
      </x:c>
      <x:c r="K903" s="148" t="n">
        <x:v>59</x:v>
      </x:c>
      <x:c r="L903" t="str">
        <x:v>https://www.youtube.com/watch?v=9sDidkln7R0</x:v>
      </x:c>
      <x:c r="M903" t="str">
        <x:v>YouTube</x:v>
      </x:c>
      <x:c r="N903" s="150" t="n">
        <x:v>17983</x:v>
      </x:c>
      <x:c r="O903" t="str">
        <x:v>B | University / Conference / Institution</x:v>
      </x:c>
      <x:c r="P903" t="str">
        <x:v>Core</x:v>
      </x:c>
      <x:c r="Q903" t="str">
        <x:v>Verified</x:v>
      </x:c>
      <x:c r="R903" s="142" t="n">
        <x:v>46251</x:v>
      </x:c>
      <x:c r="S903" t="str">
        <x:v>Part I of the three-video course linked from Stephen Boyd’s Stanford course page, with slides, notebooks, and exercises.</x:v>
      </x:c>
      <x:c r="T903" t="str">
        <x:v>9sDidkln7R0</x:v>
      </x:c>
      <x:c r="U903" t="str">
        <x:v>Stanford Convex Optimization Short Course</x:v>
      </x:c>
      <x:c r="V903" s="148" t="n">
        <x:v>1</x:v>
      </x:c>
      <x:c r="W903" t="str">
        <x:v>boyd-convex-optimization-short-course-2015</x:v>
      </x:c>
    </x:row>
    <x:row r="904">
      <x:c r="A904" t="str">
        <x:v>ST-904</x:v>
      </x:c>
      <x:c r="B904" t="str">
        <x:v>Course</x:v>
      </x:c>
      <x:c r="C904" t="str">
        <x:v>Other</x:v>
      </x:c>
      <x:c r="D904" t="str">
        <x:v>Mathematical Foundations for AI / Convex Optimization</x:v>
      </x:c>
      <x:c r="E904" t="str">
        <x:v>Convex Optimization; Optimization; Machine Learning; CVXPY; Regularization</x:v>
      </x:c>
      <x:c r="F904" t="str">
        <x:v>English</x:v>
      </x:c>
      <x:c r="G904" t="str">
        <x:v>Convex Optimization Short Course — Part II</x:v>
      </x:c>
      <x:c r="H904" t="str">
        <x:v>Stephen Boyd</x:v>
      </x:c>
      <x:c r="I904" t="str">
        <x:v>Max Planck Institute for Intelligent Systems</x:v>
      </x:c>
      <x:c r="J904" t="str">
        <x:v>University Course Lecture</x:v>
      </x:c>
      <x:c r="K904" s="148" t="n">
        <x:v>91</x:v>
      </x:c>
      <x:c r="L904" t="str">
        <x:v>https://www.youtube.com/watch?v=PFVOTBQJvSE</x:v>
      </x:c>
      <x:c r="M904" t="str">
        <x:v>YouTube</x:v>
      </x:c>
      <x:c r="N904" s="150" t="n">
        <x:v>7877</x:v>
      </x:c>
      <x:c r="O904" t="str">
        <x:v>B | University / Conference / Institution</x:v>
      </x:c>
      <x:c r="P904" t="str">
        <x:v>Core</x:v>
      </x:c>
      <x:c r="Q904" t="str">
        <x:v>Verified</x:v>
      </x:c>
      <x:c r="R904" s="142" t="n">
        <x:v>46251</x:v>
      </x:c>
      <x:c r="S904" t="str">
        <x:v>Part II of the three-video course linked from Stephen Boyd’s Stanford course page, with slides, notebooks, and exercises.</x:v>
      </x:c>
      <x:c r="T904" t="str">
        <x:v>PFVOTBQJvSE</x:v>
      </x:c>
      <x:c r="U904" t="str">
        <x:v>Stanford Convex Optimization Short Course</x:v>
      </x:c>
      <x:c r="V904" s="148" t="n">
        <x:v>2</x:v>
      </x:c>
      <x:c r="W904" t="str">
        <x:v>boyd-convex-optimization-short-course-2015</x:v>
      </x:c>
    </x:row>
    <x:row r="905">
      <x:c r="A905" t="str">
        <x:v>ST-905</x:v>
      </x:c>
      <x:c r="B905" t="str">
        <x:v>Course</x:v>
      </x:c>
      <x:c r="C905" t="str">
        <x:v>Other</x:v>
      </x:c>
      <x:c r="D905" t="str">
        <x:v>Mathematical Foundations for AI / Convex Optimization</x:v>
      </x:c>
      <x:c r="E905" t="str">
        <x:v>Convex Optimization; Optimization; Machine Learning; CVXPY; Regularization</x:v>
      </x:c>
      <x:c r="F905" t="str">
        <x:v>English</x:v>
      </x:c>
      <x:c r="G905" t="str">
        <x:v>Convex Optimization Short Course — Part III</x:v>
      </x:c>
      <x:c r="H905" t="str">
        <x:v>Stephen Boyd</x:v>
      </x:c>
      <x:c r="I905" t="str">
        <x:v>Max Planck Institute for Intelligent Systems</x:v>
      </x:c>
      <x:c r="J905" t="str">
        <x:v>University Course Lecture</x:v>
      </x:c>
      <x:c r="K905" s="148" t="n">
        <x:v>87</x:v>
      </x:c>
      <x:c r="L905" t="str">
        <x:v>https://www.youtube.com/watch?v=IlC7WvfdByo</x:v>
      </x:c>
      <x:c r="M905" t="str">
        <x:v>YouTube</x:v>
      </x:c>
      <x:c r="N905" s="150" t="n">
        <x:v>5459</x:v>
      </x:c>
      <x:c r="O905" t="str">
        <x:v>B | University / Conference / Institution</x:v>
      </x:c>
      <x:c r="P905" t="str">
        <x:v>Core</x:v>
      </x:c>
      <x:c r="Q905" t="str">
        <x:v>Verified</x:v>
      </x:c>
      <x:c r="R905" s="142" t="n">
        <x:v>46251</x:v>
      </x:c>
      <x:c r="S905" t="str">
        <x:v>Part III of the three-video course linked from Stephen Boyd’s Stanford course page, with slides, notebooks, and exercises.</x:v>
      </x:c>
      <x:c r="T905" t="str">
        <x:v>IlC7WvfdByo</x:v>
      </x:c>
      <x:c r="U905" t="str">
        <x:v>Stanford Convex Optimization Short Course</x:v>
      </x:c>
      <x:c r="V905" s="148" t="n">
        <x:v>3</x:v>
      </x:c>
      <x:c r="W905" t="str">
        <x:v>boyd-convex-optimization-short-course-2015</x:v>
      </x:c>
    </x:row>
    <x:row r="906">
      <x:c r="A906" t="str">
        <x:v>ST-906</x:v>
      </x:c>
      <x:c r="B906" t="str">
        <x:v>Course</x:v>
      </x:c>
      <x:c r="C906" t="str">
        <x:v>Other</x:v>
      </x:c>
      <x:c r="D906" t="str">
        <x:v>Mathematical Foundations for AI / Convex Optimization</x:v>
      </x:c>
      <x:c r="E906" t="str">
        <x:v>Convex Optimization; Statistical Machine Learning; Lagrangian; Constraints; Duality</x:v>
      </x:c>
      <x:c r="F906" t="str">
        <x:v>English</x:v>
      </x:c>
      <x:c r="G906" t="str">
        <x:v>What Is a Convex Optimization Problem?</x:v>
      </x:c>
      <x:c r="H906" t="str">
        <x:v>Ulrike von Luxburg</x:v>
      </x:c>
      <x:c r="I906" t="str">
        <x:v>Tübingen Machine Learning</x:v>
      </x:c>
      <x:c r="J906" t="str">
        <x:v>University Course Lecture</x:v>
      </x:c>
      <x:c r="K906" s="148" t="n">
        <x:v>20</x:v>
      </x:c>
      <x:c r="L906" t="str">
        <x:v>https://www.youtube.com/watch?v=pD6HHyhbGCI&amp;list=PL05umP7R6ij1a6KdEy8PVE9zoCv6SlHRS&amp;index=87</x:v>
      </x:c>
      <x:c r="M906" t="str">
        <x:v>YouTube</x:v>
      </x:c>
      <x:c r="N906" s="150" t="n">
        <x:v>7306</x:v>
      </x:c>
      <x:c r="O906" t="str">
        <x:v>B | University / Conference / Institution</x:v>
      </x:c>
      <x:c r="P906" t="str">
        <x:v>Recommended</x:v>
      </x:c>
      <x:c r="Q906" t="str">
        <x:v>Verified</x:v>
      </x:c>
      <x:c r="R906" s="142" t="n">
        <x:v>46251</x:v>
      </x:c>
      <x:c r="S906" t="str">
        <x:v>Part of the University of Tübingen Mathematics for Machine Learning playlist, which also covers linear algebra, multivariate analysis, probability, and statistics.</x:v>
      </x:c>
      <x:c r="T906" t="str">
        <x:v>pD6HHyhbGCI</x:v>
      </x:c>
      <x:c r="U906" t="str">
        <x:v>University of Tübingen — Mathematics for Machine Learning (Optimization unit)</x:v>
      </x:c>
      <x:c r="V906" s="148" t="n">
        <x:v>1</x:v>
      </x:c>
      <x:c r="W906" t="str">
        <x:v>tuebingen-mathematics-for-ml-optimization</x:v>
      </x:c>
    </x:row>
    <x:row r="907">
      <x:c r="A907" t="str">
        <x:v>ST-907</x:v>
      </x:c>
      <x:c r="B907" t="str">
        <x:v>Course</x:v>
      </x:c>
      <x:c r="C907" t="str">
        <x:v>Other</x:v>
      </x:c>
      <x:c r="D907" t="str">
        <x:v>Mathematical Foundations for AI / Convex Optimization</x:v>
      </x:c>
      <x:c r="E907" t="str">
        <x:v>Convex Optimization; Lagrangian; Duality; Statistical Machine Learning; Constraints</x:v>
      </x:c>
      <x:c r="F907" t="str">
        <x:v>English</x:v>
      </x:c>
      <x:c r="G907" t="str">
        <x:v>Convex Optimization, Lagrangian, Dual Problem</x:v>
      </x:c>
      <x:c r="H907" t="str">
        <x:v>Ulrike von Luxburg</x:v>
      </x:c>
      <x:c r="I907" t="str">
        <x:v>Tübingen Machine Learning</x:v>
      </x:c>
      <x:c r="J907" t="str">
        <x:v>University Course Lecture</x:v>
      </x:c>
      <x:c r="K907" s="148" t="n">
        <x:v>60</x:v>
      </x:c>
      <x:c r="L907" t="str">
        <x:v>https://www.youtube.com/watch?v=wtpHmTSLZ4c&amp;list=PL05umP7R6ij1a6KdEy8PVE9zoCv6SlHRS&amp;index=88</x:v>
      </x:c>
      <x:c r="M907" t="str">
        <x:v>YouTube</x:v>
      </x:c>
      <x:c r="N907" s="150" t="n">
        <x:v>9770</x:v>
      </x:c>
      <x:c r="O907" t="str">
        <x:v>B | University / Conference / Institution</x:v>
      </x:c>
      <x:c r="P907" t="str">
        <x:v>Recommended</x:v>
      </x:c>
      <x:c r="Q907" t="str">
        <x:v>Verified</x:v>
      </x:c>
      <x:c r="R907" s="142" t="n">
        <x:v>46251</x:v>
      </x:c>
      <x:c r="S907" t="str">
        <x:v>Part of the University of Tübingen Mathematics for Machine Learning playlist, which also covers linear algebra, multivariate analysis, probability, and statistics.</x:v>
      </x:c>
      <x:c r="T907" t="str">
        <x:v>wtpHmTSLZ4c</x:v>
      </x:c>
      <x:c r="U907" t="str">
        <x:v>University of Tübingen — Mathematics for Machine Learning (Optimization unit)</x:v>
      </x:c>
      <x:c r="V907" s="148" t="n">
        <x:v>2</x:v>
      </x:c>
      <x:c r="W907" t="str">
        <x:v>tuebingen-mathematics-for-ml-optimization</x:v>
      </x:c>
    </x:row>
    <x:row r="908">
      <x:c r="A908" t="str">
        <x:v>ST-908</x:v>
      </x:c>
      <x:c r="B908" t="str">
        <x:v>Course</x:v>
      </x:c>
      <x:c r="C908" t="str">
        <x:v>Other</x:v>
      </x:c>
      <x:c r="D908" t="str">
        <x:v>Mathematical Foundations for AI / Matrix Methods</x:v>
      </x:c>
      <x:c r="E908" t="str">
        <x:v>Linear Algebra; Matrix Methods; Optimization; Probability; Statistics; Deep Learning</x:v>
      </x:c>
      <x:c r="F908" t="str">
        <x:v>English</x:v>
      </x:c>
      <x:c r="G908" t="str">
        <x:v>MIT 18.065 — Lecture 1: The Column Space of A Contains All Vectors Ax</x:v>
      </x:c>
      <x:c r="H908" t="str">
        <x:v>Gilbert Strang</x:v>
      </x:c>
      <x:c r="I908" t="str">
        <x:v>MIT OpenCourseWare</x:v>
      </x:c>
      <x:c r="J908" t="str">
        <x:v>University Course Lecture</x:v>
      </x:c>
      <x:c r="K908" s="148" t="n">
        <x:v>52</x:v>
      </x:c>
      <x:c r="L908" t="str">
        <x:v>https://www.youtube.com/watch?v=YiqIkSHSmyc</x:v>
      </x:c>
      <x:c r="M908" t="str">
        <x:v>YouTube</x:v>
      </x:c>
      <x:c r="N908" s="150" t="n">
        <x:v>379346</x:v>
      </x:c>
      <x:c r="O908" t="str">
        <x:v>A | Official / Original Creator / Organizer</x:v>
      </x:c>
      <x:c r="P908" t="str">
        <x:v>Core</x:v>
      </x:c>
      <x:c r="Q908" t="str">
        <x:v>Verified</x:v>
      </x:c>
      <x:c r="R908" s="142" t="n">
        <x:v>46251</x:v>
      </x:c>
      <x:c r="S908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08" t="str">
        <x:v>YiqIkSHSmyc</x:v>
      </x:c>
      <x:c r="U908" t="str">
        <x:v>MIT 18.065 — Matrix Methods for Data Analysis, Signal Processing, and Machine Learning</x:v>
      </x:c>
      <x:c r="V908" s="148" t="n">
        <x:v>1</x:v>
      </x:c>
      <x:c r="W908" t="str">
        <x:v>mit-18-065-matrix-methods-2018</x:v>
      </x:c>
    </x:row>
    <x:row r="909">
      <x:c r="A909" t="str">
        <x:v>ST-909</x:v>
      </x:c>
      <x:c r="B909" t="str">
        <x:v>Course</x:v>
      </x:c>
      <x:c r="C909" t="str">
        <x:v>Other</x:v>
      </x:c>
      <x:c r="D909" t="str">
        <x:v>Mathematical Foundations for AI / Matrix Methods</x:v>
      </x:c>
      <x:c r="E909" t="str">
        <x:v>Linear Algebra; Matrix Methods; Optimization; Probability; Statistics; Deep Learning</x:v>
      </x:c>
      <x:c r="F909" t="str">
        <x:v>English</x:v>
      </x:c>
      <x:c r="G909" t="str">
        <x:v>MIT 18.065 — Lecture 2: Multiplying and Factoring Matrices</x:v>
      </x:c>
      <x:c r="H909" t="str">
        <x:v>Gilbert Strang</x:v>
      </x:c>
      <x:c r="I909" t="str">
        <x:v>MIT OpenCourseWare</x:v>
      </x:c>
      <x:c r="J909" t="str">
        <x:v>University Course Lecture</x:v>
      </x:c>
      <x:c r="K909" s="148" t="n">
        <x:v>48</x:v>
      </x:c>
      <x:c r="L909" t="str">
        <x:v>https://www.youtube.com/watch?v=or6C4yBk_SY</x:v>
      </x:c>
      <x:c r="M909" t="str">
        <x:v>YouTube</x:v>
      </x:c>
      <x:c r="N909" s="150" t="n">
        <x:v>180447</x:v>
      </x:c>
      <x:c r="O909" t="str">
        <x:v>A | Official / Original Creator / Organizer</x:v>
      </x:c>
      <x:c r="P909" t="str">
        <x:v>Core</x:v>
      </x:c>
      <x:c r="Q909" t="str">
        <x:v>Verified</x:v>
      </x:c>
      <x:c r="R909" s="142" t="n">
        <x:v>46251</x:v>
      </x:c>
      <x:c r="S909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09" t="str">
        <x:v>or6C4yBk_SY</x:v>
      </x:c>
      <x:c r="U909" t="str">
        <x:v>MIT 18.065 — Matrix Methods for Data Analysis, Signal Processing, and Machine Learning</x:v>
      </x:c>
      <x:c r="V909" s="148" t="n">
        <x:v>2</x:v>
      </x:c>
      <x:c r="W909" t="str">
        <x:v>mit-18-065-matrix-methods-2018</x:v>
      </x:c>
    </x:row>
    <x:row r="910">
      <x:c r="A910" t="str">
        <x:v>ST-910</x:v>
      </x:c>
      <x:c r="B910" t="str">
        <x:v>Course</x:v>
      </x:c>
      <x:c r="C910" t="str">
        <x:v>Other</x:v>
      </x:c>
      <x:c r="D910" t="str">
        <x:v>Mathematical Foundations for AI / Matrix Methods</x:v>
      </x:c>
      <x:c r="E910" t="str">
        <x:v>Linear Algebra; Matrix Methods; Optimization; Probability; Statistics; Deep Learning</x:v>
      </x:c>
      <x:c r="F910" t="str">
        <x:v>English</x:v>
      </x:c>
      <x:c r="G910" t="str">
        <x:v>MIT 18.065 — Lecture 3: Orthonormal Columns in Q Give Q’Q = I</x:v>
      </x:c>
      <x:c r="H910" t="str">
        <x:v>Gilbert Strang</x:v>
      </x:c>
      <x:c r="I910" t="str">
        <x:v>MIT OpenCourseWare</x:v>
      </x:c>
      <x:c r="J910" t="str">
        <x:v>University Course Lecture</x:v>
      </x:c>
      <x:c r="K910" s="148" t="n">
        <x:v>49</x:v>
      </x:c>
      <x:c r="L910" t="str">
        <x:v>https://www.youtube.com/watch?v=Xa2jPbURTjQ</x:v>
      </x:c>
      <x:c r="M910" t="str">
        <x:v>YouTube</x:v>
      </x:c>
      <x:c r="N910" s="150" t="n">
        <x:v>115410</x:v>
      </x:c>
      <x:c r="O910" t="str">
        <x:v>A | Official / Original Creator / Organizer</x:v>
      </x:c>
      <x:c r="P910" t="str">
        <x:v>Core</x:v>
      </x:c>
      <x:c r="Q910" t="str">
        <x:v>Verified</x:v>
      </x:c>
      <x:c r="R910" s="142" t="n">
        <x:v>46251</x:v>
      </x:c>
      <x:c r="S910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0" t="str">
        <x:v>Xa2jPbURTjQ</x:v>
      </x:c>
      <x:c r="U910" t="str">
        <x:v>MIT 18.065 — Matrix Methods for Data Analysis, Signal Processing, and Machine Learning</x:v>
      </x:c>
      <x:c r="V910" s="148" t="n">
        <x:v>3</x:v>
      </x:c>
      <x:c r="W910" t="str">
        <x:v>mit-18-065-matrix-methods-2018</x:v>
      </x:c>
    </x:row>
    <x:row r="911">
      <x:c r="A911" t="str">
        <x:v>ST-911</x:v>
      </x:c>
      <x:c r="B911" t="str">
        <x:v>Course</x:v>
      </x:c>
      <x:c r="C911" t="str">
        <x:v>Other</x:v>
      </x:c>
      <x:c r="D911" t="str">
        <x:v>Mathematical Foundations for AI / Matrix Methods</x:v>
      </x:c>
      <x:c r="E911" t="str">
        <x:v>Linear Algebra; Matrix Methods; Optimization; Probability; Statistics; Deep Learning</x:v>
      </x:c>
      <x:c r="F911" t="str">
        <x:v>English</x:v>
      </x:c>
      <x:c r="G911" t="str">
        <x:v>MIT 18.065 — Lecture 4: Eigenvalues and Eigenvectors</x:v>
      </x:c>
      <x:c r="H911" t="str">
        <x:v>Gilbert Strang</x:v>
      </x:c>
      <x:c r="I911" t="str">
        <x:v>MIT OpenCourseWare</x:v>
      </x:c>
      <x:c r="J911" t="str">
        <x:v>University Course Lecture</x:v>
      </x:c>
      <x:c r="K911" s="148" t="n">
        <x:v>49</x:v>
      </x:c>
      <x:c r="L911" t="str">
        <x:v>https://www.youtube.com/watch?v=k095NdrHxY4</x:v>
      </x:c>
      <x:c r="M911" t="str">
        <x:v>YouTube</x:v>
      </x:c>
      <x:c r="N911" s="150" t="n">
        <x:v>168607</x:v>
      </x:c>
      <x:c r="O911" t="str">
        <x:v>A | Official / Original Creator / Organizer</x:v>
      </x:c>
      <x:c r="P911" t="str">
        <x:v>Core</x:v>
      </x:c>
      <x:c r="Q911" t="str">
        <x:v>Verified</x:v>
      </x:c>
      <x:c r="R911" s="142" t="n">
        <x:v>46251</x:v>
      </x:c>
      <x:c r="S911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1" t="str">
        <x:v>k095NdrHxY4</x:v>
      </x:c>
      <x:c r="U911" t="str">
        <x:v>MIT 18.065 — Matrix Methods for Data Analysis, Signal Processing, and Machine Learning</x:v>
      </x:c>
      <x:c r="V911" s="148" t="n">
        <x:v>4</x:v>
      </x:c>
      <x:c r="W911" t="str">
        <x:v>mit-18-065-matrix-methods-2018</x:v>
      </x:c>
    </x:row>
    <x:row r="912">
      <x:c r="A912" t="str">
        <x:v>ST-912</x:v>
      </x:c>
      <x:c r="B912" t="str">
        <x:v>Course</x:v>
      </x:c>
      <x:c r="C912" t="str">
        <x:v>Other</x:v>
      </x:c>
      <x:c r="D912" t="str">
        <x:v>Mathematical Foundations for AI / Matrix Methods</x:v>
      </x:c>
      <x:c r="E912" t="str">
        <x:v>Linear Algebra; Matrix Methods; Optimization; Probability; Statistics; Deep Learning</x:v>
      </x:c>
      <x:c r="F912" t="str">
        <x:v>English</x:v>
      </x:c>
      <x:c r="G912" t="str">
        <x:v>MIT 18.065 — Lecture 5: Positive Definite and Semidefinite Matrices</x:v>
      </x:c>
      <x:c r="H912" t="str">
        <x:v>Gilbert Strang</x:v>
      </x:c>
      <x:c r="I912" t="str">
        <x:v>MIT OpenCourseWare</x:v>
      </x:c>
      <x:c r="J912" t="str">
        <x:v>University Course Lecture</x:v>
      </x:c>
      <x:c r="K912" s="148" t="n">
        <x:v>45</x:v>
      </x:c>
      <x:c r="L912" t="str">
        <x:v>https://www.youtube.com/watch?v=xsP-S7yKaRA</x:v>
      </x:c>
      <x:c r="M912" t="str">
        <x:v>YouTube</x:v>
      </x:c>
      <x:c r="N912" s="150" t="n">
        <x:v>184945</x:v>
      </x:c>
      <x:c r="O912" t="str">
        <x:v>A | Official / Original Creator / Organizer</x:v>
      </x:c>
      <x:c r="P912" t="str">
        <x:v>Core</x:v>
      </x:c>
      <x:c r="Q912" t="str">
        <x:v>Verified</x:v>
      </x:c>
      <x:c r="R912" s="142" t="n">
        <x:v>46251</x:v>
      </x:c>
      <x:c r="S912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2" t="str">
        <x:v>xsP-S7yKaRA</x:v>
      </x:c>
      <x:c r="U912" t="str">
        <x:v>MIT 18.065 — Matrix Methods for Data Analysis, Signal Processing, and Machine Learning</x:v>
      </x:c>
      <x:c r="V912" s="148" t="n">
        <x:v>5</x:v>
      </x:c>
      <x:c r="W912" t="str">
        <x:v>mit-18-065-matrix-methods-2018</x:v>
      </x:c>
    </x:row>
    <x:row r="913">
      <x:c r="A913" t="str">
        <x:v>ST-913</x:v>
      </x:c>
      <x:c r="B913" t="str">
        <x:v>Course</x:v>
      </x:c>
      <x:c r="C913" t="str">
        <x:v>Other</x:v>
      </x:c>
      <x:c r="D913" t="str">
        <x:v>Mathematical Foundations for AI / Matrix Methods</x:v>
      </x:c>
      <x:c r="E913" t="str">
        <x:v>Linear Algebra; Matrix Methods; Optimization; Probability; Statistics; Deep Learning</x:v>
      </x:c>
      <x:c r="F913" t="str">
        <x:v>English</x:v>
      </x:c>
      <x:c r="G913" t="str">
        <x:v>MIT 18.065 — Lecture 6: Singular Value Decomposition (SVD)</x:v>
      </x:c>
      <x:c r="H913" t="str">
        <x:v>Gilbert Strang</x:v>
      </x:c>
      <x:c r="I913" t="str">
        <x:v>MIT OpenCourseWare</x:v>
      </x:c>
      <x:c r="J913" t="str">
        <x:v>University Course Lecture</x:v>
      </x:c>
      <x:c r="K913" s="148" t="n">
        <x:v>54</x:v>
      </x:c>
      <x:c r="L913" t="str">
        <x:v>https://www.youtube.com/watch?v=rYz83XPxiZo</x:v>
      </x:c>
      <x:c r="M913" t="str">
        <x:v>YouTube</x:v>
      </x:c>
      <x:c r="N913" s="150" t="n">
        <x:v>268430</x:v>
      </x:c>
      <x:c r="O913" t="str">
        <x:v>A | Official / Original Creator / Organizer</x:v>
      </x:c>
      <x:c r="P913" t="str">
        <x:v>Core</x:v>
      </x:c>
      <x:c r="Q913" t="str">
        <x:v>Verified</x:v>
      </x:c>
      <x:c r="R913" s="142" t="n">
        <x:v>46251</x:v>
      </x:c>
      <x:c r="S913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3" t="str">
        <x:v>rYz83XPxiZo</x:v>
      </x:c>
      <x:c r="U913" t="str">
        <x:v>MIT 18.065 — Matrix Methods for Data Analysis, Signal Processing, and Machine Learning</x:v>
      </x:c>
      <x:c r="V913" s="148" t="n">
        <x:v>6</x:v>
      </x:c>
      <x:c r="W913" t="str">
        <x:v>mit-18-065-matrix-methods-2018</x:v>
      </x:c>
    </x:row>
    <x:row r="914">
      <x:c r="A914" t="str">
        <x:v>ST-914</x:v>
      </x:c>
      <x:c r="B914" t="str">
        <x:v>Course</x:v>
      </x:c>
      <x:c r="C914" t="str">
        <x:v>Other</x:v>
      </x:c>
      <x:c r="D914" t="str">
        <x:v>Mathematical Foundations for AI / Matrix Methods</x:v>
      </x:c>
      <x:c r="E914" t="str">
        <x:v>Linear Algebra; Matrix Methods; Optimization; Probability; Statistics; Deep Learning</x:v>
      </x:c>
      <x:c r="F914" t="str">
        <x:v>English</x:v>
      </x:c>
      <x:c r="G914" t="str">
        <x:v>MIT 18.065 — Lecture 7: Eckart-Young: The Closest Rank k Matrix to A</x:v>
      </x:c>
      <x:c r="H914" t="str">
        <x:v>Gilbert Strang</x:v>
      </x:c>
      <x:c r="I914" t="str">
        <x:v>MIT OpenCourseWare</x:v>
      </x:c>
      <x:c r="J914" t="str">
        <x:v>University Course Lecture</x:v>
      </x:c>
      <x:c r="K914" s="148" t="n">
        <x:v>47</x:v>
      </x:c>
      <x:c r="L914" t="str">
        <x:v>https://www.youtube.com/watch?v=Y4f7K9XF04k</x:v>
      </x:c>
      <x:c r="M914" t="str">
        <x:v>YouTube</x:v>
      </x:c>
      <x:c r="N914" s="150" t="n">
        <x:v>104604</x:v>
      </x:c>
      <x:c r="O914" t="str">
        <x:v>A | Official / Original Creator / Organizer</x:v>
      </x:c>
      <x:c r="P914" t="str">
        <x:v>Core</x:v>
      </x:c>
      <x:c r="Q914" t="str">
        <x:v>Verified</x:v>
      </x:c>
      <x:c r="R914" s="142" t="n">
        <x:v>46251</x:v>
      </x:c>
      <x:c r="S914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4" t="str">
        <x:v>Y4f7K9XF04k</x:v>
      </x:c>
      <x:c r="U914" t="str">
        <x:v>MIT 18.065 — Matrix Methods for Data Analysis, Signal Processing, and Machine Learning</x:v>
      </x:c>
      <x:c r="V914" s="148" t="n">
        <x:v>7</x:v>
      </x:c>
      <x:c r="W914" t="str">
        <x:v>mit-18-065-matrix-methods-2018</x:v>
      </x:c>
    </x:row>
    <x:row r="915">
      <x:c r="A915" t="str">
        <x:v>ST-915</x:v>
      </x:c>
      <x:c r="B915" t="str">
        <x:v>Course</x:v>
      </x:c>
      <x:c r="C915" t="str">
        <x:v>Other</x:v>
      </x:c>
      <x:c r="D915" t="str">
        <x:v>Mathematical Foundations for AI / Matrix Methods</x:v>
      </x:c>
      <x:c r="E915" t="str">
        <x:v>Linear Algebra; Matrix Methods; Optimization; Probability; Statistics; Deep Learning</x:v>
      </x:c>
      <x:c r="F915" t="str">
        <x:v>English</x:v>
      </x:c>
      <x:c r="G915" t="str">
        <x:v>MIT 18.065 — Lecture 8: Norms of Vectors and Matrices</x:v>
      </x:c>
      <x:c r="H915" t="str">
        <x:v>Gilbert Strang</x:v>
      </x:c>
      <x:c r="I915" t="str">
        <x:v>MIT OpenCourseWare</x:v>
      </x:c>
      <x:c r="J915" t="str">
        <x:v>University Course Lecture</x:v>
      </x:c>
      <x:c r="K915" s="148" t="n">
        <x:v>49</x:v>
      </x:c>
      <x:c r="L915" t="str">
        <x:v>https://www.youtube.com/watch?v=NcPUI7aPFhA</x:v>
      </x:c>
      <x:c r="M915" t="str">
        <x:v>YouTube</x:v>
      </x:c>
      <x:c r="N915" s="150" t="n">
        <x:v>185943</x:v>
      </x:c>
      <x:c r="O915" t="str">
        <x:v>A | Official / Original Creator / Organizer</x:v>
      </x:c>
      <x:c r="P915" t="str">
        <x:v>Core</x:v>
      </x:c>
      <x:c r="Q915" t="str">
        <x:v>Verified</x:v>
      </x:c>
      <x:c r="R915" s="142" t="n">
        <x:v>46251</x:v>
      </x:c>
      <x:c r="S915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5" t="str">
        <x:v>NcPUI7aPFhA</x:v>
      </x:c>
      <x:c r="U915" t="str">
        <x:v>MIT 18.065 — Matrix Methods for Data Analysis, Signal Processing, and Machine Learning</x:v>
      </x:c>
      <x:c r="V915" s="148" t="n">
        <x:v>8</x:v>
      </x:c>
      <x:c r="W915" t="str">
        <x:v>mit-18-065-matrix-methods-2018</x:v>
      </x:c>
    </x:row>
    <x:row r="916">
      <x:c r="A916" t="str">
        <x:v>ST-916</x:v>
      </x:c>
      <x:c r="B916" t="str">
        <x:v>Course</x:v>
      </x:c>
      <x:c r="C916" t="str">
        <x:v>Other</x:v>
      </x:c>
      <x:c r="D916" t="str">
        <x:v>Mathematical Foundations for AI / Matrix Methods</x:v>
      </x:c>
      <x:c r="E916" t="str">
        <x:v>Linear Algebra; Matrix Methods; Optimization; Probability; Statistics; Deep Learning</x:v>
      </x:c>
      <x:c r="F916" t="str">
        <x:v>English</x:v>
      </x:c>
      <x:c r="G916" t="str">
        <x:v>MIT 18.065 — Lecture 9: Four Ways to Solve Least Squares Problems</x:v>
      </x:c>
      <x:c r="H916" t="str">
        <x:v>Gilbert Strang</x:v>
      </x:c>
      <x:c r="I916" t="str">
        <x:v>MIT OpenCourseWare</x:v>
      </x:c>
      <x:c r="J916" t="str">
        <x:v>University Course Lecture</x:v>
      </x:c>
      <x:c r="K916" s="148" t="n">
        <x:v>50</x:v>
      </x:c>
      <x:c r="L916" t="str">
        <x:v>https://www.youtube.com/watch?v=ZUU57Q3CFOU</x:v>
      </x:c>
      <x:c r="M916" t="str">
        <x:v>YouTube</x:v>
      </x:c>
      <x:c r="N916" s="150" t="n">
        <x:v>140552</x:v>
      </x:c>
      <x:c r="O916" t="str">
        <x:v>A | Official / Original Creator / Organizer</x:v>
      </x:c>
      <x:c r="P916" t="str">
        <x:v>Core</x:v>
      </x:c>
      <x:c r="Q916" t="str">
        <x:v>Verified</x:v>
      </x:c>
      <x:c r="R916" s="142" t="n">
        <x:v>46251</x:v>
      </x:c>
      <x:c r="S916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6" t="str">
        <x:v>ZUU57Q3CFOU</x:v>
      </x:c>
      <x:c r="U916" t="str">
        <x:v>MIT 18.065 — Matrix Methods for Data Analysis, Signal Processing, and Machine Learning</x:v>
      </x:c>
      <x:c r="V916" s="148" t="n">
        <x:v>9</x:v>
      </x:c>
      <x:c r="W916" t="str">
        <x:v>mit-18-065-matrix-methods-2018</x:v>
      </x:c>
    </x:row>
    <x:row r="917">
      <x:c r="A917" t="str">
        <x:v>ST-917</x:v>
      </x:c>
      <x:c r="B917" t="str">
        <x:v>Course</x:v>
      </x:c>
      <x:c r="C917" t="str">
        <x:v>Other</x:v>
      </x:c>
      <x:c r="D917" t="str">
        <x:v>Mathematical Foundations for AI / Matrix Methods</x:v>
      </x:c>
      <x:c r="E917" t="str">
        <x:v>Linear Algebra; Matrix Methods; Optimization; Probability; Statistics; Deep Learning</x:v>
      </x:c>
      <x:c r="F917" t="str">
        <x:v>English</x:v>
      </x:c>
      <x:c r="G917" t="str">
        <x:v>MIT 18.065 — Lecture 10: Survey of Difficulties with Ax = b</x:v>
      </x:c>
      <x:c r="H917" t="str">
        <x:v>Gilbert Strang</x:v>
      </x:c>
      <x:c r="I917" t="str">
        <x:v>MIT OpenCourseWare</x:v>
      </x:c>
      <x:c r="J917" t="str">
        <x:v>University Course Lecture</x:v>
      </x:c>
      <x:c r="K917" s="148" t="n">
        <x:v>50</x:v>
      </x:c>
      <x:c r="L917" t="str">
        <x:v>https://www.youtube.com/watch?v=Z_5uLqcwDgM</x:v>
      </x:c>
      <x:c r="M917" t="str">
        <x:v>YouTube</x:v>
      </x:c>
      <x:c r="N917" s="150" t="n">
        <x:v>60971</x:v>
      </x:c>
      <x:c r="O917" t="str">
        <x:v>A | Official / Original Creator / Organizer</x:v>
      </x:c>
      <x:c r="P917" t="str">
        <x:v>Core</x:v>
      </x:c>
      <x:c r="Q917" t="str">
        <x:v>Verified</x:v>
      </x:c>
      <x:c r="R917" s="142" t="n">
        <x:v>46251</x:v>
      </x:c>
      <x:c r="S917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7" t="str">
        <x:v>Z_5uLqcwDgM</x:v>
      </x:c>
      <x:c r="U917" t="str">
        <x:v>MIT 18.065 — Matrix Methods for Data Analysis, Signal Processing, and Machine Learning</x:v>
      </x:c>
      <x:c r="V917" s="148" t="n">
        <x:v>10</x:v>
      </x:c>
      <x:c r="W917" t="str">
        <x:v>mit-18-065-matrix-methods-2018</x:v>
      </x:c>
    </x:row>
    <x:row r="918">
      <x:c r="A918" t="str">
        <x:v>ST-918</x:v>
      </x:c>
      <x:c r="B918" t="str">
        <x:v>Course</x:v>
      </x:c>
      <x:c r="C918" t="str">
        <x:v>Other</x:v>
      </x:c>
      <x:c r="D918" t="str">
        <x:v>Mathematical Foundations for AI / Matrix Methods</x:v>
      </x:c>
      <x:c r="E918" t="str">
        <x:v>Linear Algebra; Matrix Methods; Optimization; Probability; Statistics; Deep Learning</x:v>
      </x:c>
      <x:c r="F918" t="str">
        <x:v>English</x:v>
      </x:c>
      <x:c r="G918" t="str">
        <x:v>MIT 18.065 — Lecture 11: Minimizing ‖x‖ Subject to Ax = b</x:v>
      </x:c>
      <x:c r="H918" t="str">
        <x:v>Gilbert Strang</x:v>
      </x:c>
      <x:c r="I918" t="str">
        <x:v>MIT OpenCourseWare</x:v>
      </x:c>
      <x:c r="J918" t="str">
        <x:v>University Course Lecture</x:v>
      </x:c>
      <x:c r="K918" s="148" t="n">
        <x:v>50</x:v>
      </x:c>
      <x:c r="L918" t="str">
        <x:v>https://www.youtube.com/watch?v=MuEW9pG9oxE</x:v>
      </x:c>
      <x:c r="M918" t="str">
        <x:v>YouTube</x:v>
      </x:c>
      <x:c r="N918" s="150" t="n">
        <x:v>58787</x:v>
      </x:c>
      <x:c r="O918" t="str">
        <x:v>A | Official / Original Creator / Organizer</x:v>
      </x:c>
      <x:c r="P918" t="str">
        <x:v>Core</x:v>
      </x:c>
      <x:c r="Q918" t="str">
        <x:v>Verified</x:v>
      </x:c>
      <x:c r="R918" s="142" t="n">
        <x:v>46251</x:v>
      </x:c>
      <x:c r="S918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8" t="str">
        <x:v>MuEW9pG9oxE</x:v>
      </x:c>
      <x:c r="U918" t="str">
        <x:v>MIT 18.065 — Matrix Methods for Data Analysis, Signal Processing, and Machine Learning</x:v>
      </x:c>
      <x:c r="V918" s="148" t="n">
        <x:v>11</x:v>
      </x:c>
      <x:c r="W918" t="str">
        <x:v>mit-18-065-matrix-methods-2018</x:v>
      </x:c>
    </x:row>
    <x:row r="919">
      <x:c r="A919" t="str">
        <x:v>ST-919</x:v>
      </x:c>
      <x:c r="B919" t="str">
        <x:v>Course</x:v>
      </x:c>
      <x:c r="C919" t="str">
        <x:v>Other</x:v>
      </x:c>
      <x:c r="D919" t="str">
        <x:v>Mathematical Foundations for AI / Matrix Methods</x:v>
      </x:c>
      <x:c r="E919" t="str">
        <x:v>Linear Algebra; Matrix Methods; Optimization; Probability; Statistics; Deep Learning</x:v>
      </x:c>
      <x:c r="F919" t="str">
        <x:v>English</x:v>
      </x:c>
      <x:c r="G919" t="str">
        <x:v>MIT 18.065 — Lecture 12: Computing Eigenvalues and Singular Values</x:v>
      </x:c>
      <x:c r="H919" t="str">
        <x:v>Gilbert Strang</x:v>
      </x:c>
      <x:c r="I919" t="str">
        <x:v>MIT OpenCourseWare</x:v>
      </x:c>
      <x:c r="J919" t="str">
        <x:v>University Course Lecture</x:v>
      </x:c>
      <x:c r="K919" s="148" t="n">
        <x:v>49</x:v>
      </x:c>
      <x:c r="L919" t="str">
        <x:v>https://www.youtube.com/watch?v=d32WV1rKoVk</x:v>
      </x:c>
      <x:c r="M919" t="str">
        <x:v>YouTube</x:v>
      </x:c>
      <x:c r="N919" s="150" t="n">
        <x:v>72529</x:v>
      </x:c>
      <x:c r="O919" t="str">
        <x:v>A | Official / Original Creator / Organizer</x:v>
      </x:c>
      <x:c r="P919" t="str">
        <x:v>Core</x:v>
      </x:c>
      <x:c r="Q919" t="str">
        <x:v>Verified</x:v>
      </x:c>
      <x:c r="R919" s="142" t="n">
        <x:v>46251</x:v>
      </x:c>
      <x:c r="S919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19" t="str">
        <x:v>d32WV1rKoVk</x:v>
      </x:c>
      <x:c r="U919" t="str">
        <x:v>MIT 18.065 — Matrix Methods for Data Analysis, Signal Processing, and Machine Learning</x:v>
      </x:c>
      <x:c r="V919" s="148" t="n">
        <x:v>12</x:v>
      </x:c>
      <x:c r="W919" t="str">
        <x:v>mit-18-065-matrix-methods-2018</x:v>
      </x:c>
    </x:row>
    <x:row r="920">
      <x:c r="A920" t="str">
        <x:v>ST-920</x:v>
      </x:c>
      <x:c r="B920" t="str">
        <x:v>Course</x:v>
      </x:c>
      <x:c r="C920" t="str">
        <x:v>Other</x:v>
      </x:c>
      <x:c r="D920" t="str">
        <x:v>Mathematical Foundations for AI / Matrix Methods</x:v>
      </x:c>
      <x:c r="E920" t="str">
        <x:v>Linear Algebra; Matrix Methods; Optimization; Probability; Statistics; Deep Learning</x:v>
      </x:c>
      <x:c r="F920" t="str">
        <x:v>English</x:v>
      </x:c>
      <x:c r="G920" t="str">
        <x:v>MIT 18.065 — Lecture 13: Randomized Matrix Multiplication</x:v>
      </x:c>
      <x:c r="H920" t="str">
        <x:v>Gilbert Strang</x:v>
      </x:c>
      <x:c r="I920" t="str">
        <x:v>MIT OpenCourseWare</x:v>
      </x:c>
      <x:c r="J920" t="str">
        <x:v>University Course Lecture</x:v>
      </x:c>
      <x:c r="K920" s="148" t="n">
        <x:v>52</x:v>
      </x:c>
      <x:c r="L920" t="str">
        <x:v>https://www.youtube.com/watch?v=z0ykhV15wLw</x:v>
      </x:c>
      <x:c r="M920" t="str">
        <x:v>YouTube</x:v>
      </x:c>
      <x:c r="N920" s="150" t="n">
        <x:v>42350</x:v>
      </x:c>
      <x:c r="O920" t="str">
        <x:v>A | Official / Original Creator / Organizer</x:v>
      </x:c>
      <x:c r="P920" t="str">
        <x:v>Core</x:v>
      </x:c>
      <x:c r="Q920" t="str">
        <x:v>Verified</x:v>
      </x:c>
      <x:c r="R920" s="142" t="n">
        <x:v>46251</x:v>
      </x:c>
      <x:c r="S920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0" t="str">
        <x:v>z0ykhV15wLw</x:v>
      </x:c>
      <x:c r="U920" t="str">
        <x:v>MIT 18.065 — Matrix Methods for Data Analysis, Signal Processing, and Machine Learning</x:v>
      </x:c>
      <x:c r="V920" s="148" t="n">
        <x:v>13</x:v>
      </x:c>
      <x:c r="W920" t="str">
        <x:v>mit-18-065-matrix-methods-2018</x:v>
      </x:c>
    </x:row>
    <x:row r="921">
      <x:c r="A921" t="str">
        <x:v>ST-921</x:v>
      </x:c>
      <x:c r="B921" t="str">
        <x:v>Course</x:v>
      </x:c>
      <x:c r="C921" t="str">
        <x:v>Other</x:v>
      </x:c>
      <x:c r="D921" t="str">
        <x:v>Mathematical Foundations for AI / Matrix Methods</x:v>
      </x:c>
      <x:c r="E921" t="str">
        <x:v>Linear Algebra; Matrix Methods; Optimization; Probability; Statistics; Deep Learning</x:v>
      </x:c>
      <x:c r="F921" t="str">
        <x:v>English</x:v>
      </x:c>
      <x:c r="G921" t="str">
        <x:v>MIT 18.065 — Lecture 14: Low Rank Changes in A and Its Inverse</x:v>
      </x:c>
      <x:c r="H921" t="str">
        <x:v>Gilbert Strang</x:v>
      </x:c>
      <x:c r="I921" t="str">
        <x:v>MIT OpenCourseWare</x:v>
      </x:c>
      <x:c r="J921" t="str">
        <x:v>University Course Lecture</x:v>
      </x:c>
      <x:c r="K921" s="148" t="n">
        <x:v>51</x:v>
      </x:c>
      <x:c r="L921" t="str">
        <x:v>https://www.youtube.com/watch?v=XhSk_Lw2X_U</x:v>
      </x:c>
      <x:c r="M921" t="str">
        <x:v>YouTube</x:v>
      </x:c>
      <x:c r="N921" s="150" t="n">
        <x:v>40393</x:v>
      </x:c>
      <x:c r="O921" t="str">
        <x:v>A | Official / Original Creator / Organizer</x:v>
      </x:c>
      <x:c r="P921" t="str">
        <x:v>Core</x:v>
      </x:c>
      <x:c r="Q921" t="str">
        <x:v>Verified</x:v>
      </x:c>
      <x:c r="R921" s="142" t="n">
        <x:v>46251</x:v>
      </x:c>
      <x:c r="S921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1" t="str">
        <x:v>XhSk_Lw2X_U</x:v>
      </x:c>
      <x:c r="U921" t="str">
        <x:v>MIT 18.065 — Matrix Methods for Data Analysis, Signal Processing, and Machine Learning</x:v>
      </x:c>
      <x:c r="V921" s="148" t="n">
        <x:v>14</x:v>
      </x:c>
      <x:c r="W921" t="str">
        <x:v>mit-18-065-matrix-methods-2018</x:v>
      </x:c>
    </x:row>
    <x:row r="922">
      <x:c r="A922" t="str">
        <x:v>ST-922</x:v>
      </x:c>
      <x:c r="B922" t="str">
        <x:v>Course</x:v>
      </x:c>
      <x:c r="C922" t="str">
        <x:v>Other</x:v>
      </x:c>
      <x:c r="D922" t="str">
        <x:v>Mathematical Foundations for AI / Matrix Methods</x:v>
      </x:c>
      <x:c r="E922" t="str">
        <x:v>Linear Algebra; Matrix Methods; Optimization; Probability; Statistics; Deep Learning</x:v>
      </x:c>
      <x:c r="F922" t="str">
        <x:v>English</x:v>
      </x:c>
      <x:c r="G922" t="str">
        <x:v>MIT 18.065 — Lecture 15: Matrices A(t) Depending on t, Derivative = dA/dt</x:v>
      </x:c>
      <x:c r="H922" t="str">
        <x:v>Gilbert Strang</x:v>
      </x:c>
      <x:c r="I922" t="str">
        <x:v>MIT OpenCourseWare</x:v>
      </x:c>
      <x:c r="J922" t="str">
        <x:v>University Course Lecture</x:v>
      </x:c>
      <x:c r="K922" s="148" t="n">
        <x:v>51</x:v>
      </x:c>
      <x:c r="L922" t="str">
        <x:v>https://www.youtube.com/watch?v=z3SmljnD_nQ</x:v>
      </x:c>
      <x:c r="M922" t="str">
        <x:v>YouTube</x:v>
      </x:c>
      <x:c r="N922" s="150" t="n">
        <x:v>50205</x:v>
      </x:c>
      <x:c r="O922" t="str">
        <x:v>A | Official / Original Creator / Organizer</x:v>
      </x:c>
      <x:c r="P922" t="str">
        <x:v>Core</x:v>
      </x:c>
      <x:c r="Q922" t="str">
        <x:v>Verified</x:v>
      </x:c>
      <x:c r="R922" s="142" t="n">
        <x:v>46251</x:v>
      </x:c>
      <x:c r="S922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2" t="str">
        <x:v>z3SmljnD_nQ</x:v>
      </x:c>
      <x:c r="U922" t="str">
        <x:v>MIT 18.065 — Matrix Methods for Data Analysis, Signal Processing, and Machine Learning</x:v>
      </x:c>
      <x:c r="V922" s="148" t="n">
        <x:v>15</x:v>
      </x:c>
      <x:c r="W922" t="str">
        <x:v>mit-18-065-matrix-methods-2018</x:v>
      </x:c>
    </x:row>
    <x:row r="923">
      <x:c r="A923" t="str">
        <x:v>ST-923</x:v>
      </x:c>
      <x:c r="B923" t="str">
        <x:v>Course</x:v>
      </x:c>
      <x:c r="C923" t="str">
        <x:v>Other</x:v>
      </x:c>
      <x:c r="D923" t="str">
        <x:v>Mathematical Foundations for AI / Matrix Methods</x:v>
      </x:c>
      <x:c r="E923" t="str">
        <x:v>Linear Algebra; Matrix Methods; Optimization; Probability; Statistics; Deep Learning</x:v>
      </x:c>
      <x:c r="F923" t="str">
        <x:v>English</x:v>
      </x:c>
      <x:c r="G923" t="str">
        <x:v>MIT 18.065 — Lecture 16: Derivatives of Inverse and Singular Values</x:v>
      </x:c>
      <x:c r="H923" t="str">
        <x:v>Gilbert Strang</x:v>
      </x:c>
      <x:c r="I923" t="str">
        <x:v>MIT OpenCourseWare</x:v>
      </x:c>
      <x:c r="J923" t="str">
        <x:v>University Course Lecture</x:v>
      </x:c>
      <x:c r="K923" s="148" t="n">
        <x:v>43</x:v>
      </x:c>
      <x:c r="L923" t="str">
        <x:v>https://www.youtube.com/watch?v=AdTvkFsqcDc</x:v>
      </x:c>
      <x:c r="M923" t="str">
        <x:v>YouTube</x:v>
      </x:c>
      <x:c r="N923" s="150" t="n">
        <x:v>28890</x:v>
      </x:c>
      <x:c r="O923" t="str">
        <x:v>A | Official / Original Creator / Organizer</x:v>
      </x:c>
      <x:c r="P923" t="str">
        <x:v>Core</x:v>
      </x:c>
      <x:c r="Q923" t="str">
        <x:v>Verified</x:v>
      </x:c>
      <x:c r="R923" s="142" t="n">
        <x:v>46251</x:v>
      </x:c>
      <x:c r="S923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3" t="str">
        <x:v>AdTvkFsqcDc</x:v>
      </x:c>
      <x:c r="U923" t="str">
        <x:v>MIT 18.065 — Matrix Methods for Data Analysis, Signal Processing, and Machine Learning</x:v>
      </x:c>
      <x:c r="V923" s="148" t="n">
        <x:v>16</x:v>
      </x:c>
      <x:c r="W923" t="str">
        <x:v>mit-18-065-matrix-methods-2018</x:v>
      </x:c>
    </x:row>
    <x:row r="924">
      <x:c r="A924" t="str">
        <x:v>ST-924</x:v>
      </x:c>
      <x:c r="B924" t="str">
        <x:v>Course</x:v>
      </x:c>
      <x:c r="C924" t="str">
        <x:v>Other</x:v>
      </x:c>
      <x:c r="D924" t="str">
        <x:v>Mathematical Foundations for AI / Matrix Methods</x:v>
      </x:c>
      <x:c r="E924" t="str">
        <x:v>Linear Algebra; Matrix Methods; Optimization; Probability; Statistics; Deep Learning</x:v>
      </x:c>
      <x:c r="F924" t="str">
        <x:v>English</x:v>
      </x:c>
      <x:c r="G924" t="str">
        <x:v>MIT 18.065 — Lecture 17: Rapidly Decreasing Singular Values</x:v>
      </x:c>
      <x:c r="H924" t="str">
        <x:v>Gilbert Strang</x:v>
      </x:c>
      <x:c r="I924" t="str">
        <x:v>MIT OpenCourseWare</x:v>
      </x:c>
      <x:c r="J924" t="str">
        <x:v>University Course Lecture</x:v>
      </x:c>
      <x:c r="K924" s="148" t="n">
        <x:v>51</x:v>
      </x:c>
      <x:c r="L924" t="str">
        <x:v>https://www.youtube.com/watch?v=9BYsNpTCZGg</x:v>
      </x:c>
      <x:c r="M924" t="str">
        <x:v>YouTube</x:v>
      </x:c>
      <x:c r="N924" s="150" t="n">
        <x:v>35666</x:v>
      </x:c>
      <x:c r="O924" t="str">
        <x:v>A | Official / Original Creator / Organizer</x:v>
      </x:c>
      <x:c r="P924" t="str">
        <x:v>Core</x:v>
      </x:c>
      <x:c r="Q924" t="str">
        <x:v>Verified</x:v>
      </x:c>
      <x:c r="R924" s="142" t="n">
        <x:v>46251</x:v>
      </x:c>
      <x:c r="S924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4" t="str">
        <x:v>9BYsNpTCZGg</x:v>
      </x:c>
      <x:c r="U924" t="str">
        <x:v>MIT 18.065 — Matrix Methods for Data Analysis, Signal Processing, and Machine Learning</x:v>
      </x:c>
      <x:c r="V924" s="148" t="n">
        <x:v>17</x:v>
      </x:c>
      <x:c r="W924" t="str">
        <x:v>mit-18-065-matrix-methods-2018</x:v>
      </x:c>
    </x:row>
    <x:row r="925">
      <x:c r="A925" t="str">
        <x:v>ST-925</x:v>
      </x:c>
      <x:c r="B925" t="str">
        <x:v>Course</x:v>
      </x:c>
      <x:c r="C925" t="str">
        <x:v>Other</x:v>
      </x:c>
      <x:c r="D925" t="str">
        <x:v>Mathematical Foundations for AI / Matrix Methods</x:v>
      </x:c>
      <x:c r="E925" t="str">
        <x:v>Linear Algebra; Matrix Methods; Optimization; Probability; Statistics; Deep Learning</x:v>
      </x:c>
      <x:c r="F925" t="str">
        <x:v>English</x:v>
      </x:c>
      <x:c r="G925" t="str">
        <x:v>MIT 18.065 — Lecture 18: Counting Parameters in SVD, LU, QR, Saddle Points</x:v>
      </x:c>
      <x:c r="H925" t="str">
        <x:v>Gilbert Strang</x:v>
      </x:c>
      <x:c r="I925" t="str">
        <x:v>MIT OpenCourseWare</x:v>
      </x:c>
      <x:c r="J925" t="str">
        <x:v>University Course Lecture</x:v>
      </x:c>
      <x:c r="K925" s="148" t="n">
        <x:v>49</x:v>
      </x:c>
      <x:c r="L925" t="str">
        <x:v>https://www.youtube.com/watch?v=xaSL8yFgqig</x:v>
      </x:c>
      <x:c r="M925" t="str">
        <x:v>YouTube</x:v>
      </x:c>
      <x:c r="N925" s="150" t="n">
        <x:v>28032</x:v>
      </x:c>
      <x:c r="O925" t="str">
        <x:v>A | Official / Original Creator / Organizer</x:v>
      </x:c>
      <x:c r="P925" t="str">
        <x:v>Core</x:v>
      </x:c>
      <x:c r="Q925" t="str">
        <x:v>Verified</x:v>
      </x:c>
      <x:c r="R925" s="142" t="n">
        <x:v>46251</x:v>
      </x:c>
      <x:c r="S925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5" t="str">
        <x:v>xaSL8yFgqig</x:v>
      </x:c>
      <x:c r="U925" t="str">
        <x:v>MIT 18.065 — Matrix Methods for Data Analysis, Signal Processing, and Machine Learning</x:v>
      </x:c>
      <x:c r="V925" s="148" t="n">
        <x:v>18</x:v>
      </x:c>
      <x:c r="W925" t="str">
        <x:v>mit-18-065-matrix-methods-2018</x:v>
      </x:c>
    </x:row>
    <x:row r="926">
      <x:c r="A926" t="str">
        <x:v>ST-926</x:v>
      </x:c>
      <x:c r="B926" t="str">
        <x:v>Course</x:v>
      </x:c>
      <x:c r="C926" t="str">
        <x:v>Other</x:v>
      </x:c>
      <x:c r="D926" t="str">
        <x:v>Mathematical Foundations for AI / Matrix Methods</x:v>
      </x:c>
      <x:c r="E926" t="str">
        <x:v>Linear Algebra; Matrix Methods; Optimization; Probability; Statistics; Deep Learning</x:v>
      </x:c>
      <x:c r="F926" t="str">
        <x:v>English</x:v>
      </x:c>
      <x:c r="G926" t="str">
        <x:v>MIT 18.065 — Lecture 19: Saddle Points Continued, Maxmin Principle</x:v>
      </x:c>
      <x:c r="H926" t="str">
        <x:v>Gilbert Strang</x:v>
      </x:c>
      <x:c r="I926" t="str">
        <x:v>MIT OpenCourseWare</x:v>
      </x:c>
      <x:c r="J926" t="str">
        <x:v>University Course Lecture</x:v>
      </x:c>
      <x:c r="K926" s="148" t="n">
        <x:v>52</x:v>
      </x:c>
      <x:c r="L926" t="str">
        <x:v>https://www.youtube.com/watch?v=2K7CvGnebO0</x:v>
      </x:c>
      <x:c r="M926" t="str">
        <x:v>YouTube</x:v>
      </x:c>
      <x:c r="N926" s="150" t="n">
        <x:v>24450</x:v>
      </x:c>
      <x:c r="O926" t="str">
        <x:v>A | Official / Original Creator / Organizer</x:v>
      </x:c>
      <x:c r="P926" t="str">
        <x:v>Core</x:v>
      </x:c>
      <x:c r="Q926" t="str">
        <x:v>Verified</x:v>
      </x:c>
      <x:c r="R926" s="142" t="n">
        <x:v>46251</x:v>
      </x:c>
      <x:c r="S926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6" t="str">
        <x:v>2K7CvGnebO0</x:v>
      </x:c>
      <x:c r="U926" t="str">
        <x:v>MIT 18.065 — Matrix Methods for Data Analysis, Signal Processing, and Machine Learning</x:v>
      </x:c>
      <x:c r="V926" s="148" t="n">
        <x:v>19</x:v>
      </x:c>
      <x:c r="W926" t="str">
        <x:v>mit-18-065-matrix-methods-2018</x:v>
      </x:c>
    </x:row>
    <x:row r="927">
      <x:c r="A927" t="str">
        <x:v>ST-927</x:v>
      </x:c>
      <x:c r="B927" t="str">
        <x:v>Course</x:v>
      </x:c>
      <x:c r="C927" t="str">
        <x:v>Other</x:v>
      </x:c>
      <x:c r="D927" t="str">
        <x:v>Mathematical Foundations for AI / Matrix Methods</x:v>
      </x:c>
      <x:c r="E927" t="str">
        <x:v>Linear Algebra; Matrix Methods; Optimization; Probability; Statistics; Deep Learning</x:v>
      </x:c>
      <x:c r="F927" t="str">
        <x:v>English</x:v>
      </x:c>
      <x:c r="G927" t="str">
        <x:v>MIT 18.065 — Lecture 20: Definitions and Inequalities</x:v>
      </x:c>
      <x:c r="H927" t="str">
        <x:v>Gilbert Strang</x:v>
      </x:c>
      <x:c r="I927" t="str">
        <x:v>MIT OpenCourseWare</x:v>
      </x:c>
      <x:c r="J927" t="str">
        <x:v>University Course Lecture</x:v>
      </x:c>
      <x:c r="K927" s="148" t="n">
        <x:v>55</x:v>
      </x:c>
      <x:c r="L927" t="str">
        <x:v>https://www.youtube.com/watch?v=nrDkb2MAwSA</x:v>
      </x:c>
      <x:c r="M927" t="str">
        <x:v>YouTube</x:v>
      </x:c>
      <x:c r="N927" s="150" t="n">
        <x:v>31198</x:v>
      </x:c>
      <x:c r="O927" t="str">
        <x:v>A | Official / Original Creator / Organizer</x:v>
      </x:c>
      <x:c r="P927" t="str">
        <x:v>Core</x:v>
      </x:c>
      <x:c r="Q927" t="str">
        <x:v>Verified</x:v>
      </x:c>
      <x:c r="R927" s="142" t="n">
        <x:v>46251</x:v>
      </x:c>
      <x:c r="S927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7" t="str">
        <x:v>nrDkb2MAwSA</x:v>
      </x:c>
      <x:c r="U927" t="str">
        <x:v>MIT 18.065 — Matrix Methods for Data Analysis, Signal Processing, and Machine Learning</x:v>
      </x:c>
      <x:c r="V927" s="148" t="n">
        <x:v>20</x:v>
      </x:c>
      <x:c r="W927" t="str">
        <x:v>mit-18-065-matrix-methods-2018</x:v>
      </x:c>
    </x:row>
    <x:row r="928">
      <x:c r="A928" t="str">
        <x:v>ST-928</x:v>
      </x:c>
      <x:c r="B928" t="str">
        <x:v>Course</x:v>
      </x:c>
      <x:c r="C928" t="str">
        <x:v>Other</x:v>
      </x:c>
      <x:c r="D928" t="str">
        <x:v>Mathematical Foundations for AI / Matrix Methods</x:v>
      </x:c>
      <x:c r="E928" t="str">
        <x:v>Linear Algebra; Matrix Methods; Optimization; Probability; Statistics; Deep Learning</x:v>
      </x:c>
      <x:c r="F928" t="str">
        <x:v>English</x:v>
      </x:c>
      <x:c r="G928" t="str">
        <x:v>MIT 18.065 — Lecture 21: Minimizing a Function Step by Step</x:v>
      </x:c>
      <x:c r="H928" t="str">
        <x:v>Gilbert Strang</x:v>
      </x:c>
      <x:c r="I928" t="str">
        <x:v>MIT OpenCourseWare</x:v>
      </x:c>
      <x:c r="J928" t="str">
        <x:v>University Course Lecture</x:v>
      </x:c>
      <x:c r="K928" s="148" t="n">
        <x:v>54</x:v>
      </x:c>
      <x:c r="L928" t="str">
        <x:v>https://www.youtube.com/watch?v=nvXRJIBOREc</x:v>
      </x:c>
      <x:c r="M928" t="str">
        <x:v>YouTube</x:v>
      </x:c>
      <x:c r="N928" s="150" t="n">
        <x:v>44274</x:v>
      </x:c>
      <x:c r="O928" t="str">
        <x:v>A | Official / Original Creator / Organizer</x:v>
      </x:c>
      <x:c r="P928" t="str">
        <x:v>Core</x:v>
      </x:c>
      <x:c r="Q928" t="str">
        <x:v>Verified</x:v>
      </x:c>
      <x:c r="R928" s="142" t="n">
        <x:v>46251</x:v>
      </x:c>
      <x:c r="S928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8" t="str">
        <x:v>nvXRJIBOREc</x:v>
      </x:c>
      <x:c r="U928" t="str">
        <x:v>MIT 18.065 — Matrix Methods for Data Analysis, Signal Processing, and Machine Learning</x:v>
      </x:c>
      <x:c r="V928" s="148" t="n">
        <x:v>21</x:v>
      </x:c>
      <x:c r="W928" t="str">
        <x:v>mit-18-065-matrix-methods-2018</x:v>
      </x:c>
    </x:row>
    <x:row r="929">
      <x:c r="A929" t="str">
        <x:v>ST-929</x:v>
      </x:c>
      <x:c r="B929" t="str">
        <x:v>Course</x:v>
      </x:c>
      <x:c r="C929" t="str">
        <x:v>Other</x:v>
      </x:c>
      <x:c r="D929" t="str">
        <x:v>Mathematical Foundations for AI / Matrix Methods</x:v>
      </x:c>
      <x:c r="E929" t="str">
        <x:v>Linear Algebra; Matrix Methods; Optimization; Probability; Statistics; Deep Learning</x:v>
      </x:c>
      <x:c r="F929" t="str">
        <x:v>English</x:v>
      </x:c>
      <x:c r="G929" t="str">
        <x:v>MIT 18.065 — Lecture 22: Gradient Descent: Downhill to a Minimum</x:v>
      </x:c>
      <x:c r="H929" t="str">
        <x:v>Gilbert Strang</x:v>
      </x:c>
      <x:c r="I929" t="str">
        <x:v>MIT OpenCourseWare</x:v>
      </x:c>
      <x:c r="J929" t="str">
        <x:v>University Course Lecture</x:v>
      </x:c>
      <x:c r="K929" s="148" t="n">
        <x:v>53</x:v>
      </x:c>
      <x:c r="L929" t="str">
        <x:v>https://www.youtube.com/watch?v=AeRwohPuUHQ</x:v>
      </x:c>
      <x:c r="M929" t="str">
        <x:v>YouTube</x:v>
      </x:c>
      <x:c r="N929" s="150" t="n">
        <x:v>102739</x:v>
      </x:c>
      <x:c r="O929" t="str">
        <x:v>A | Official / Original Creator / Organizer</x:v>
      </x:c>
      <x:c r="P929" t="str">
        <x:v>Core</x:v>
      </x:c>
      <x:c r="Q929" t="str">
        <x:v>Verified</x:v>
      </x:c>
      <x:c r="R929" s="142" t="n">
        <x:v>46251</x:v>
      </x:c>
      <x:c r="S929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29" t="str">
        <x:v>AeRwohPuUHQ</x:v>
      </x:c>
      <x:c r="U929" t="str">
        <x:v>MIT 18.065 — Matrix Methods for Data Analysis, Signal Processing, and Machine Learning</x:v>
      </x:c>
      <x:c r="V929" s="148" t="n">
        <x:v>22</x:v>
      </x:c>
      <x:c r="W929" t="str">
        <x:v>mit-18-065-matrix-methods-2018</x:v>
      </x:c>
    </x:row>
    <x:row r="930">
      <x:c r="A930" t="str">
        <x:v>ST-930</x:v>
      </x:c>
      <x:c r="B930" t="str">
        <x:v>Course</x:v>
      </x:c>
      <x:c r="C930" t="str">
        <x:v>Other</x:v>
      </x:c>
      <x:c r="D930" t="str">
        <x:v>Mathematical Foundations for AI / Matrix Methods</x:v>
      </x:c>
      <x:c r="E930" t="str">
        <x:v>Linear Algebra; Matrix Methods; Optimization; Probability; Statistics; Deep Learning</x:v>
      </x:c>
      <x:c r="F930" t="str">
        <x:v>English</x:v>
      </x:c>
      <x:c r="G930" t="str">
        <x:v>MIT 18.065 — Lecture 23: Accelerating Gradient Descent (Use Momentum)</x:v>
      </x:c>
      <x:c r="H930" t="str">
        <x:v>Gilbert Strang</x:v>
      </x:c>
      <x:c r="I930" t="str">
        <x:v>MIT OpenCourseWare</x:v>
      </x:c>
      <x:c r="J930" t="str">
        <x:v>University Course Lecture</x:v>
      </x:c>
      <x:c r="K930" s="148" t="n">
        <x:v>49</x:v>
      </x:c>
      <x:c r="L930" t="str">
        <x:v>https://www.youtube.com/watch?v=wrEcHhoJxjM</x:v>
      </x:c>
      <x:c r="M930" t="str">
        <x:v>YouTube</x:v>
      </x:c>
      <x:c r="N930" s="150" t="n">
        <x:v>62664</x:v>
      </x:c>
      <x:c r="O930" t="str">
        <x:v>A | Official / Original Creator / Organizer</x:v>
      </x:c>
      <x:c r="P930" t="str">
        <x:v>Core</x:v>
      </x:c>
      <x:c r="Q930" t="str">
        <x:v>Verified</x:v>
      </x:c>
      <x:c r="R930" s="142" t="n">
        <x:v>46251</x:v>
      </x:c>
      <x:c r="S930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0" t="str">
        <x:v>wrEcHhoJxjM</x:v>
      </x:c>
      <x:c r="U930" t="str">
        <x:v>MIT 18.065 — Matrix Methods for Data Analysis, Signal Processing, and Machine Learning</x:v>
      </x:c>
      <x:c r="V930" s="148" t="n">
        <x:v>23</x:v>
      </x:c>
      <x:c r="W930" t="str">
        <x:v>mit-18-065-matrix-methods-2018</x:v>
      </x:c>
    </x:row>
    <x:row r="931">
      <x:c r="A931" t="str">
        <x:v>ST-931</x:v>
      </x:c>
      <x:c r="B931" t="str">
        <x:v>Course</x:v>
      </x:c>
      <x:c r="C931" t="str">
        <x:v>Other</x:v>
      </x:c>
      <x:c r="D931" t="str">
        <x:v>Mathematical Foundations for AI / Matrix Methods</x:v>
      </x:c>
      <x:c r="E931" t="str">
        <x:v>Linear Algebra; Matrix Methods; Optimization; Probability; Statistics; Deep Learning</x:v>
      </x:c>
      <x:c r="F931" t="str">
        <x:v>English</x:v>
      </x:c>
      <x:c r="G931" t="str">
        <x:v>MIT 18.065 — Lecture 24: Linear Programming and Two-Person Games</x:v>
      </x:c>
      <x:c r="H931" t="str">
        <x:v>Gilbert Strang</x:v>
      </x:c>
      <x:c r="I931" t="str">
        <x:v>MIT OpenCourseWare</x:v>
      </x:c>
      <x:c r="J931" t="str">
        <x:v>University Course Lecture</x:v>
      </x:c>
      <x:c r="K931" s="148" t="n">
        <x:v>54</x:v>
      </x:c>
      <x:c r="L931" t="str">
        <x:v>https://www.youtube.com/watch?v=feb9j65Iz4w</x:v>
      </x:c>
      <x:c r="M931" t="str">
        <x:v>YouTube</x:v>
      </x:c>
      <x:c r="N931" s="150" t="n">
        <x:v>83997</x:v>
      </x:c>
      <x:c r="O931" t="str">
        <x:v>A | Official / Original Creator / Organizer</x:v>
      </x:c>
      <x:c r="P931" t="str">
        <x:v>Core</x:v>
      </x:c>
      <x:c r="Q931" t="str">
        <x:v>Verified</x:v>
      </x:c>
      <x:c r="R931" s="142" t="n">
        <x:v>46251</x:v>
      </x:c>
      <x:c r="S931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1" t="str">
        <x:v>feb9j65Iz4w</x:v>
      </x:c>
      <x:c r="U931" t="str">
        <x:v>MIT 18.065 — Matrix Methods for Data Analysis, Signal Processing, and Machine Learning</x:v>
      </x:c>
      <x:c r="V931" s="148" t="n">
        <x:v>24</x:v>
      </x:c>
      <x:c r="W931" t="str">
        <x:v>mit-18-065-matrix-methods-2018</x:v>
      </x:c>
    </x:row>
    <x:row r="932">
      <x:c r="A932" t="str">
        <x:v>ST-932</x:v>
      </x:c>
      <x:c r="B932" t="str">
        <x:v>Course</x:v>
      </x:c>
      <x:c r="C932" t="str">
        <x:v>Other</x:v>
      </x:c>
      <x:c r="D932" t="str">
        <x:v>Mathematical Foundations for AI / Matrix Methods</x:v>
      </x:c>
      <x:c r="E932" t="str">
        <x:v>Linear Algebra; Matrix Methods; Optimization; Probability; Statistics; Deep Learning</x:v>
      </x:c>
      <x:c r="F932" t="str">
        <x:v>English</x:v>
      </x:c>
      <x:c r="G932" t="str">
        <x:v>MIT 18.065 — Lecture 25: Stochastic Gradient Descent</x:v>
      </x:c>
      <x:c r="H932" t="str">
        <x:v>Gilbert Strang</x:v>
      </x:c>
      <x:c r="I932" t="str">
        <x:v>MIT OpenCourseWare</x:v>
      </x:c>
      <x:c r="J932" t="str">
        <x:v>University Course Lecture</x:v>
      </x:c>
      <x:c r="K932" s="148" t="n">
        <x:v>53</x:v>
      </x:c>
      <x:c r="L932" t="str">
        <x:v>https://www.youtube.com/watch?v=k3AiUhwHQ28</x:v>
      </x:c>
      <x:c r="M932" t="str">
        <x:v>YouTube</x:v>
      </x:c>
      <x:c r="N932" s="150" t="n">
        <x:v>100572</x:v>
      </x:c>
      <x:c r="O932" t="str">
        <x:v>A | Official / Original Creator / Organizer</x:v>
      </x:c>
      <x:c r="P932" t="str">
        <x:v>Core</x:v>
      </x:c>
      <x:c r="Q932" t="str">
        <x:v>Verified</x:v>
      </x:c>
      <x:c r="R932" s="142" t="n">
        <x:v>46251</x:v>
      </x:c>
      <x:c r="S932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2" t="str">
        <x:v>k3AiUhwHQ28</x:v>
      </x:c>
      <x:c r="U932" t="str">
        <x:v>MIT 18.065 — Matrix Methods for Data Analysis, Signal Processing, and Machine Learning</x:v>
      </x:c>
      <x:c r="V932" s="148" t="n">
        <x:v>25</x:v>
      </x:c>
      <x:c r="W932" t="str">
        <x:v>mit-18-065-matrix-methods-2018</x:v>
      </x:c>
    </x:row>
    <x:row r="933">
      <x:c r="A933" t="str">
        <x:v>ST-933</x:v>
      </x:c>
      <x:c r="B933" t="str">
        <x:v>Course</x:v>
      </x:c>
      <x:c r="C933" t="str">
        <x:v>Other</x:v>
      </x:c>
      <x:c r="D933" t="str">
        <x:v>Mathematical Foundations for AI / Matrix Methods</x:v>
      </x:c>
      <x:c r="E933" t="str">
        <x:v>Linear Algebra; Matrix Methods; Optimization; Probability; Statistics; Deep Learning</x:v>
      </x:c>
      <x:c r="F933" t="str">
        <x:v>English</x:v>
      </x:c>
      <x:c r="G933" t="str">
        <x:v>MIT 18.065 — Lecture 26: Structure of Neural Nets for Deep Learning</x:v>
      </x:c>
      <x:c r="H933" t="str">
        <x:v>Gilbert Strang</x:v>
      </x:c>
      <x:c r="I933" t="str">
        <x:v>MIT OpenCourseWare</x:v>
      </x:c>
      <x:c r="J933" t="str">
        <x:v>University Course Lecture</x:v>
      </x:c>
      <x:c r="K933" s="148" t="n">
        <x:v>53</x:v>
      </x:c>
      <x:c r="L933" t="str">
        <x:v>https://www.youtube.com/watch?v=sx00s7nYmRM</x:v>
      </x:c>
      <x:c r="M933" t="str">
        <x:v>YouTube</x:v>
      </x:c>
      <x:c r="N933" s="150" t="n">
        <x:v>59725</x:v>
      </x:c>
      <x:c r="O933" t="str">
        <x:v>A | Official / Original Creator / Organizer</x:v>
      </x:c>
      <x:c r="P933" t="str">
        <x:v>Core</x:v>
      </x:c>
      <x:c r="Q933" t="str">
        <x:v>Verified</x:v>
      </x:c>
      <x:c r="R933" s="142" t="n">
        <x:v>46251</x:v>
      </x:c>
      <x:c r="S933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3" t="str">
        <x:v>sx00s7nYmRM</x:v>
      </x:c>
      <x:c r="U933" t="str">
        <x:v>MIT 18.065 — Matrix Methods for Data Analysis, Signal Processing, and Machine Learning</x:v>
      </x:c>
      <x:c r="V933" s="148" t="n">
        <x:v>26</x:v>
      </x:c>
      <x:c r="W933" t="str">
        <x:v>mit-18-065-matrix-methods-2018</x:v>
      </x:c>
    </x:row>
    <x:row r="934">
      <x:c r="A934" t="str">
        <x:v>ST-934</x:v>
      </x:c>
      <x:c r="B934" t="str">
        <x:v>Course</x:v>
      </x:c>
      <x:c r="C934" t="str">
        <x:v>Other</x:v>
      </x:c>
      <x:c r="D934" t="str">
        <x:v>Mathematical Foundations for AI / Matrix Methods</x:v>
      </x:c>
      <x:c r="E934" t="str">
        <x:v>Linear Algebra; Matrix Methods; Optimization; Probability; Statistics; Deep Learning</x:v>
      </x:c>
      <x:c r="F934" t="str">
        <x:v>English</x:v>
      </x:c>
      <x:c r="G934" t="str">
        <x:v>MIT 18.065 — Lecture 27: Backpropagation: Find Partial Derivatives</x:v>
      </x:c>
      <x:c r="H934" t="str">
        <x:v>Gilbert Strang</x:v>
      </x:c>
      <x:c r="I934" t="str">
        <x:v>MIT OpenCourseWare</x:v>
      </x:c>
      <x:c r="J934" t="str">
        <x:v>University Course Lecture</x:v>
      </x:c>
      <x:c r="K934" s="148" t="n">
        <x:v>53</x:v>
      </x:c>
      <x:c r="L934" t="str">
        <x:v>https://www.youtube.com/watch?v=lZrIPRnoGQQ</x:v>
      </x:c>
      <x:c r="M934" t="str">
        <x:v>YouTube</x:v>
      </x:c>
      <x:c r="N934" s="150" t="n">
        <x:v>69907</x:v>
      </x:c>
      <x:c r="O934" t="str">
        <x:v>A | Official / Original Creator / Organizer</x:v>
      </x:c>
      <x:c r="P934" t="str">
        <x:v>Core</x:v>
      </x:c>
      <x:c r="Q934" t="str">
        <x:v>Verified</x:v>
      </x:c>
      <x:c r="R934" s="142" t="n">
        <x:v>46251</x:v>
      </x:c>
      <x:c r="S934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4" t="str">
        <x:v>lZrIPRnoGQQ</x:v>
      </x:c>
      <x:c r="U934" t="str">
        <x:v>MIT 18.065 — Matrix Methods for Data Analysis, Signal Processing, and Machine Learning</x:v>
      </x:c>
      <x:c r="V934" s="148" t="n">
        <x:v>27</x:v>
      </x:c>
      <x:c r="W934" t="str">
        <x:v>mit-18-065-matrix-methods-2018</x:v>
      </x:c>
    </x:row>
    <x:row r="935">
      <x:c r="A935" t="str">
        <x:v>ST-935</x:v>
      </x:c>
      <x:c r="B935" t="str">
        <x:v>Course</x:v>
      </x:c>
      <x:c r="C935" t="str">
        <x:v>Other</x:v>
      </x:c>
      <x:c r="D935" t="str">
        <x:v>Mathematical Foundations for AI / Matrix Methods</x:v>
      </x:c>
      <x:c r="E935" t="str">
        <x:v>Linear Algebra; Matrix Methods; Optimization; Probability; Statistics; Deep Learning</x:v>
      </x:c>
      <x:c r="F935" t="str">
        <x:v>English</x:v>
      </x:c>
      <x:c r="G935" t="str">
        <x:v>MIT 18.065 — Lecture 30: Completing a Rank-One Matrix, Circulants!</x:v>
      </x:c>
      <x:c r="H935" t="str">
        <x:v>Gilbert Strang</x:v>
      </x:c>
      <x:c r="I935" t="str">
        <x:v>MIT OpenCourseWare</x:v>
      </x:c>
      <x:c r="J935" t="str">
        <x:v>University Course Lecture</x:v>
      </x:c>
      <x:c r="K935" s="148" t="n">
        <x:v>50</x:v>
      </x:c>
      <x:c r="L935" t="str">
        <x:v>https://www.youtube.com/watch?v=p-bXJIa7QVI</x:v>
      </x:c>
      <x:c r="M935" t="str">
        <x:v>YouTube</x:v>
      </x:c>
      <x:c r="N935" s="150" t="n">
        <x:v>26895</x:v>
      </x:c>
      <x:c r="O935" t="str">
        <x:v>A | Official / Original Creator / Organizer</x:v>
      </x:c>
      <x:c r="P935" t="str">
        <x:v>Core</x:v>
      </x:c>
      <x:c r="Q935" t="str">
        <x:v>Verified</x:v>
      </x:c>
      <x:c r="R935" s="142" t="n">
        <x:v>46251</x:v>
      </x:c>
      <x:c r="S935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5" t="str">
        <x:v>p-bXJIa7QVI</x:v>
      </x:c>
      <x:c r="U935" t="str">
        <x:v>MIT 18.065 — Matrix Methods for Data Analysis, Signal Processing, and Machine Learning</x:v>
      </x:c>
      <x:c r="V935" s="148" t="n">
        <x:v>30</x:v>
      </x:c>
      <x:c r="W935" t="str">
        <x:v>mit-18-065-matrix-methods-2018</x:v>
      </x:c>
    </x:row>
    <x:row r="936">
      <x:c r="A936" t="str">
        <x:v>ST-936</x:v>
      </x:c>
      <x:c r="B936" t="str">
        <x:v>Course</x:v>
      </x:c>
      <x:c r="C936" t="str">
        <x:v>Other</x:v>
      </x:c>
      <x:c r="D936" t="str">
        <x:v>Mathematical Foundations for AI / Matrix Methods</x:v>
      </x:c>
      <x:c r="E936" t="str">
        <x:v>Linear Algebra; Matrix Methods; Optimization; Probability; Statistics; Deep Learning</x:v>
      </x:c>
      <x:c r="F936" t="str">
        <x:v>English</x:v>
      </x:c>
      <x:c r="G936" t="str">
        <x:v>MIT 18.065 — Lecture 31: Eigenvectors of Circulant Matrices: Fourier Matrix</x:v>
      </x:c>
      <x:c r="H936" t="str">
        <x:v>Gilbert Strang</x:v>
      </x:c>
      <x:c r="I936" t="str">
        <x:v>MIT OpenCourseWare</x:v>
      </x:c>
      <x:c r="J936" t="str">
        <x:v>University Course Lecture</x:v>
      </x:c>
      <x:c r="K936" s="148" t="n">
        <x:v>53</x:v>
      </x:c>
      <x:c r="L936" t="str">
        <x:v>https://www.youtube.com/watch?v=1pFv7e9xtHo</x:v>
      </x:c>
      <x:c r="M936" t="str">
        <x:v>YouTube</x:v>
      </x:c>
      <x:c r="N936" s="150" t="n">
        <x:v>42393</x:v>
      </x:c>
      <x:c r="O936" t="str">
        <x:v>A | Official / Original Creator / Organizer</x:v>
      </x:c>
      <x:c r="P936" t="str">
        <x:v>Core</x:v>
      </x:c>
      <x:c r="Q936" t="str">
        <x:v>Verified</x:v>
      </x:c>
      <x:c r="R936" s="142" t="n">
        <x:v>46251</x:v>
      </x:c>
      <x:c r="S936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6" t="str">
        <x:v>1pFv7e9xtHo</x:v>
      </x:c>
      <x:c r="U936" t="str">
        <x:v>MIT 18.065 — Matrix Methods for Data Analysis, Signal Processing, and Machine Learning</x:v>
      </x:c>
      <x:c r="V936" s="148" t="n">
        <x:v>31</x:v>
      </x:c>
      <x:c r="W936" t="str">
        <x:v>mit-18-065-matrix-methods-2018</x:v>
      </x:c>
    </x:row>
    <x:row r="937">
      <x:c r="A937" t="str">
        <x:v>ST-937</x:v>
      </x:c>
      <x:c r="B937" t="str">
        <x:v>Course</x:v>
      </x:c>
      <x:c r="C937" t="str">
        <x:v>Other</x:v>
      </x:c>
      <x:c r="D937" t="str">
        <x:v>Mathematical Foundations for AI / Matrix Methods</x:v>
      </x:c>
      <x:c r="E937" t="str">
        <x:v>Linear Algebra; Matrix Methods; Optimization; Probability; Statistics; Deep Learning</x:v>
      </x:c>
      <x:c r="F937" t="str">
        <x:v>English</x:v>
      </x:c>
      <x:c r="G937" t="str">
        <x:v>MIT 18.065 — Lecture 32: ImageNet is a Convolutional Neural Network (CNN), The Convolution Rule</x:v>
      </x:c>
      <x:c r="H937" t="str">
        <x:v>Gilbert Strang</x:v>
      </x:c>
      <x:c r="I937" t="str">
        <x:v>MIT OpenCourseWare</x:v>
      </x:c>
      <x:c r="J937" t="str">
        <x:v>University Course Lecture</x:v>
      </x:c>
      <x:c r="K937" s="148" t="n">
        <x:v>47</x:v>
      </x:c>
      <x:c r="L937" t="str">
        <x:v>https://www.youtube.com/watch?v=hwDRfkPSXng</x:v>
      </x:c>
      <x:c r="M937" t="str">
        <x:v>YouTube</x:v>
      </x:c>
      <x:c r="N937" s="150" t="n">
        <x:v>39509</x:v>
      </x:c>
      <x:c r="O937" t="str">
        <x:v>A | Official / Original Creator / Organizer</x:v>
      </x:c>
      <x:c r="P937" t="str">
        <x:v>Core</x:v>
      </x:c>
      <x:c r="Q937" t="str">
        <x:v>Verified</x:v>
      </x:c>
      <x:c r="R937" s="142" t="n">
        <x:v>46251</x:v>
      </x:c>
      <x:c r="S937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7" t="str">
        <x:v>hwDRfkPSXng</x:v>
      </x:c>
      <x:c r="U937" t="str">
        <x:v>MIT 18.065 — Matrix Methods for Data Analysis, Signal Processing, and Machine Learning</x:v>
      </x:c>
      <x:c r="V937" s="148" t="n">
        <x:v>32</x:v>
      </x:c>
      <x:c r="W937" t="str">
        <x:v>mit-18-065-matrix-methods-2018</x:v>
      </x:c>
    </x:row>
    <x:row r="938">
      <x:c r="A938" t="str">
        <x:v>ST-938</x:v>
      </x:c>
      <x:c r="B938" t="str">
        <x:v>Course</x:v>
      </x:c>
      <x:c r="C938" t="str">
        <x:v>Other</x:v>
      </x:c>
      <x:c r="D938" t="str">
        <x:v>Mathematical Foundations for AI / Matrix Methods</x:v>
      </x:c>
      <x:c r="E938" t="str">
        <x:v>Linear Algebra; Matrix Methods; Optimization; Probability; Statistics; Deep Learning</x:v>
      </x:c>
      <x:c r="F938" t="str">
        <x:v>English</x:v>
      </x:c>
      <x:c r="G938" t="str">
        <x:v>MIT 18.065 — Lecture 33: Neural Nets and the Learning Function</x:v>
      </x:c>
      <x:c r="H938" t="str">
        <x:v>Gilbert Strang</x:v>
      </x:c>
      <x:c r="I938" t="str">
        <x:v>MIT OpenCourseWare</x:v>
      </x:c>
      <x:c r="J938" t="str">
        <x:v>University Course Lecture</x:v>
      </x:c>
      <x:c r="K938" s="148" t="n">
        <x:v>56</x:v>
      </x:c>
      <x:c r="L938" t="str">
        <x:v>https://www.youtube.com/watch?v=L3-WFKCW-tY</x:v>
      </x:c>
      <x:c r="M938" t="str">
        <x:v>YouTube</x:v>
      </x:c>
      <x:c r="N938" s="150" t="n">
        <x:v>47270</x:v>
      </x:c>
      <x:c r="O938" t="str">
        <x:v>A | Official / Original Creator / Organizer</x:v>
      </x:c>
      <x:c r="P938" t="str">
        <x:v>Core</x:v>
      </x:c>
      <x:c r="Q938" t="str">
        <x:v>Verified</x:v>
      </x:c>
      <x:c r="R938" s="142" t="n">
        <x:v>46251</x:v>
      </x:c>
      <x:c r="S938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8" t="str">
        <x:v>L3-WFKCW-tY</x:v>
      </x:c>
      <x:c r="U938" t="str">
        <x:v>MIT 18.065 — Matrix Methods for Data Analysis, Signal Processing, and Machine Learning</x:v>
      </x:c>
      <x:c r="V938" s="148" t="n">
        <x:v>33</x:v>
      </x:c>
      <x:c r="W938" t="str">
        <x:v>mit-18-065-matrix-methods-2018</x:v>
      </x:c>
    </x:row>
    <x:row r="939">
      <x:c r="A939" t="str">
        <x:v>ST-939</x:v>
      </x:c>
      <x:c r="B939" t="str">
        <x:v>Course</x:v>
      </x:c>
      <x:c r="C939" t="str">
        <x:v>Other</x:v>
      </x:c>
      <x:c r="D939" t="str">
        <x:v>Mathematical Foundations for AI / Matrix Methods</x:v>
      </x:c>
      <x:c r="E939" t="str">
        <x:v>Linear Algebra; Matrix Methods; Optimization; Probability; Statistics; Deep Learning</x:v>
      </x:c>
      <x:c r="F939" t="str">
        <x:v>English</x:v>
      </x:c>
      <x:c r="G939" t="str">
        <x:v>MIT 18.065 — Lecture 34: Distance Matrices, Procrustes Problem</x:v>
      </x:c>
      <x:c r="H939" t="str">
        <x:v>Gilbert Strang</x:v>
      </x:c>
      <x:c r="I939" t="str">
        <x:v>MIT OpenCourseWare</x:v>
      </x:c>
      <x:c r="J939" t="str">
        <x:v>University Course Lecture</x:v>
      </x:c>
      <x:c r="K939" s="148" t="n">
        <x:v>29</x:v>
      </x:c>
      <x:c r="L939" t="str">
        <x:v>https://www.youtube.com/watch?v=0Qws8BuK3RQ</x:v>
      </x:c>
      <x:c r="M939" t="str">
        <x:v>YouTube</x:v>
      </x:c>
      <x:c r="N939" s="150" t="n">
        <x:v>31440</x:v>
      </x:c>
      <x:c r="O939" t="str">
        <x:v>A | Official / Original Creator / Organizer</x:v>
      </x:c>
      <x:c r="P939" t="str">
        <x:v>Core</x:v>
      </x:c>
      <x:c r="Q939" t="str">
        <x:v>Verified</x:v>
      </x:c>
      <x:c r="R939" s="142" t="n">
        <x:v>46251</x:v>
      </x:c>
      <x:c r="S939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39" t="str">
        <x:v>0Qws8BuK3RQ</x:v>
      </x:c>
      <x:c r="U939" t="str">
        <x:v>MIT 18.065 — Matrix Methods for Data Analysis, Signal Processing, and Machine Learning</x:v>
      </x:c>
      <x:c r="V939" s="148" t="n">
        <x:v>34</x:v>
      </x:c>
      <x:c r="W939" t="str">
        <x:v>mit-18-065-matrix-methods-2018</x:v>
      </x:c>
    </x:row>
    <x:row r="940">
      <x:c r="A940" t="str">
        <x:v>ST-940</x:v>
      </x:c>
      <x:c r="B940" t="str">
        <x:v>Course</x:v>
      </x:c>
      <x:c r="C940" t="str">
        <x:v>Other</x:v>
      </x:c>
      <x:c r="D940" t="str">
        <x:v>Mathematical Foundations for AI / Matrix Methods</x:v>
      </x:c>
      <x:c r="E940" t="str">
        <x:v>Linear Algebra; Matrix Methods; Optimization; Probability; Statistics; Deep Learning</x:v>
      </x:c>
      <x:c r="F940" t="str">
        <x:v>English</x:v>
      </x:c>
      <x:c r="G940" t="str">
        <x:v>MIT 18.065 — Lecture 35: Finding Clusters in Graphs</x:v>
      </x:c>
      <x:c r="H940" t="str">
        <x:v>Gilbert Strang</x:v>
      </x:c>
      <x:c r="I940" t="str">
        <x:v>MIT OpenCourseWare</x:v>
      </x:c>
      <x:c r="J940" t="str">
        <x:v>University Course Lecture</x:v>
      </x:c>
      <x:c r="K940" s="148" t="n">
        <x:v>35</x:v>
      </x:c>
      <x:c r="L940" t="str">
        <x:v>https://www.youtube.com/watch?v=cxTmmasBiC8</x:v>
      </x:c>
      <x:c r="M940" t="str">
        <x:v>YouTube</x:v>
      </x:c>
      <x:c r="N940" s="150" t="n">
        <x:v>107449</x:v>
      </x:c>
      <x:c r="O940" t="str">
        <x:v>A | Official / Original Creator / Organizer</x:v>
      </x:c>
      <x:c r="P940" t="str">
        <x:v>Core</x:v>
      </x:c>
      <x:c r="Q940" t="str">
        <x:v>Verified</x:v>
      </x:c>
      <x:c r="R940" s="142" t="n">
        <x:v>46251</x:v>
      </x:c>
      <x:c r="S940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40" t="str">
        <x:v>cxTmmasBiC8</x:v>
      </x:c>
      <x:c r="U940" t="str">
        <x:v>MIT 18.065 — Matrix Methods for Data Analysis, Signal Processing, and Machine Learning</x:v>
      </x:c>
      <x:c r="V940" s="148" t="n">
        <x:v>35</x:v>
      </x:c>
      <x:c r="W940" t="str">
        <x:v>mit-18-065-matrix-methods-2018</x:v>
      </x:c>
    </x:row>
    <x:row r="941">
      <x:c r="A941" t="str">
        <x:v>ST-941</x:v>
      </x:c>
      <x:c r="B941" t="str">
        <x:v>Course</x:v>
      </x:c>
      <x:c r="C941" t="str">
        <x:v>Other</x:v>
      </x:c>
      <x:c r="D941" t="str">
        <x:v>Mathematical Foundations for AI / Matrix Methods</x:v>
      </x:c>
      <x:c r="E941" t="str">
        <x:v>Linear Algebra; Matrix Methods; Optimization; Probability; Statistics; Deep Learning</x:v>
      </x:c>
      <x:c r="F941" t="str">
        <x:v>English</x:v>
      </x:c>
      <x:c r="G941" t="str">
        <x:v>MIT 18.065 — Lecture 36: Alan Edelman and Julia Language</x:v>
      </x:c>
      <x:c r="H941" t="str">
        <x:v>Gilbert Strang</x:v>
      </x:c>
      <x:c r="I941" t="str">
        <x:v>MIT OpenCourseWare</x:v>
      </x:c>
      <x:c r="J941" t="str">
        <x:v>University Course Lecture</x:v>
      </x:c>
      <x:c r="K941" s="148" t="n">
        <x:v>38</x:v>
      </x:c>
      <x:c r="L941" t="str">
        <x:v>https://www.youtube.com/watch?v=rZS2LGiurKY</x:v>
      </x:c>
      <x:c r="M941" t="str">
        <x:v>YouTube</x:v>
      </x:c>
      <x:c r="N941" s="150" t="n">
        <x:v>59505</x:v>
      </x:c>
      <x:c r="O941" t="str">
        <x:v>A | Official / Original Creator / Organizer</x:v>
      </x:c>
      <x:c r="P941" t="str">
        <x:v>Core</x:v>
      </x:c>
      <x:c r="Q941" t="str">
        <x:v>Verified</x:v>
      </x:c>
      <x:c r="R941" s="142" t="n">
        <x:v>46251</x:v>
      </x:c>
      <x:c r="S941" t="str">
        <x:v>One of the 34 recorded lectures listed by MIT OpenCourseWare for 18.065. The official course connects linear algebra, probability/statistics, optimization, and deep learning. Canonical MIT course page: https://ocw.mit.edu/courses/18-065-matrix-methods-in-data-analysis-signal-processing-and-machine-learning-spring-2018/video_galleries/video-lectures/</x:v>
      </x:c>
      <x:c r="T941" t="str">
        <x:v>rZS2LGiurKY</x:v>
      </x:c>
      <x:c r="U941" t="str">
        <x:v>MIT 18.065 — Matrix Methods for Data Analysis, Signal Processing, and Machine Learning</x:v>
      </x:c>
      <x:c r="V941" s="148" t="n">
        <x:v>36</x:v>
      </x:c>
      <x:c r="W941" t="str">
        <x:v>mit-18-065-matrix-methods-2018</x:v>
      </x:c>
    </x:row>
    <x:row r="942">
      <x:c r="A942" t="str">
        <x:v>ST-942</x:v>
      </x:c>
      <x:c r="B942" t="str">
        <x:v>Interview</x:v>
      </x:c>
      <x:c r="C942" t="str">
        <x:v>World Model</x:v>
      </x:c>
      <x:c r="D942" t="str">
        <x:v>World Models / Representation Learning</x:v>
      </x:c>
      <x:c r="E942" t="str">
        <x:v>World Models; Representation Learning; Research Taste; Computer Vision; AMI Labs; AI Research</x:v>
      </x:c>
      <x:c r="F942" t="str">
        <x:v>Chinese</x:v>
      </x:c>
      <x:c r="G942" t="str">
        <x:v>对谢赛宁的 7 小时马拉松访谈：世界模型、AMI Labs、表示学习与 AI 研究</x:v>
      </x:c>
      <x:c r="H942" t="str">
        <x:v>谢赛宁</x:v>
      </x:c>
      <x:c r="I942" t="str">
        <x:v>张小珺 Podcast</x:v>
      </x:c>
      <x:c r="J942" t="str">
        <x:v>Marathon Research Interview</x:v>
      </x:c>
      <x:c r="K942" s="148" t="n">
        <x:v>405</x:v>
      </x:c>
      <x:c r="L942" t="str">
        <x:v>https://www.youtube.com/watch?v=rIwgZWzUKm8</x:v>
      </x:c>
      <x:c r="M942" t="str">
        <x:v>YouTube</x:v>
      </x:c>
      <x:c r="N942" s="150" t="n">
        <x:v>103006</x:v>
      </x:c>
      <x:c r="O942" t="str">
        <x:v>A | Official / Original Creator / Organizer</x:v>
      </x:c>
      <x:c r="P942" t="str">
        <x:v>Core</x:v>
      </x:c>
      <x:c r="Q942" t="str">
        <x:v>Verified</x:v>
      </x:c>
      <x:c r="R942" s="142" t="n">
        <x:v>46251</x:v>
      </x:c>
      <x:c r="S942" t="str">
        <x:v>Original Zhang Xiaojun Podcast upload. Public player metadata verifies a 24,278-second (6h45m) recording; the programme presents it as a seven-hour marathon interview. It covers Saining Xie’s research trajectory, representation learning, world models, AMI Labs, and research taste.</x:v>
      </x:c>
      <x:c r="T942" t="str">
        <x:v>rIwgZWzUKm8</x:v>
      </x:c>
      <x:c r="U942" t="str"/>
      <x:c r="V942" s="148"/>
      <x:c r="W942" t="str"/>
    </x:row>
    <x:row r="943">
      <x:c r="A943" t="str">
        <x:v>ST-943</x:v>
      </x:c>
      <x:c r="B943" t="str">
        <x:v>Interview</x:v>
      </x:c>
      <x:c r="C943" t="str">
        <x:v>Robotics</x:v>
      </x:c>
      <x:c r="D943" t="str">
        <x:v>Robotics / Embodied AI</x:v>
      </x:c>
      <x:c r="E943" t="str">
        <x:v>Autonomous Driving; Automotive AI; Li Auto; Technology Strategy; Entrepreneurship</x:v>
      </x:c>
      <x:c r="F943" t="str">
        <x:v>Chinese</x:v>
      </x:c>
      <x:c r="G943" t="str">
        <x:v>【李想2024唯一深度对谈（纯享版）】张小珺对话李想</x:v>
      </x:c>
      <x:c r="H943" t="str">
        <x:v>李想</x:v>
      </x:c>
      <x:c r="I943" t="str">
        <x:v>张小珺商业访谈录</x:v>
      </x:c>
      <x:c r="J943" t="str">
        <x:v>In-depth Interview</x:v>
      </x:c>
      <x:c r="K943" s="148" t="n">
        <x:v>87</x:v>
      </x:c>
      <x:c r="L943" t="str">
        <x:v>https://www.bilibili.com/video/BV1Kt68YBEzq</x:v>
      </x:c>
      <x:c r="M943" t="str">
        <x:v>Bilibili</x:v>
      </x:c>
      <x:c r="N943" s="150" t="n">
        <x:v>125087</x:v>
      </x:c>
      <x:c r="O943" t="str">
        <x:v>A | Official / Original Creator / Organizer</x:v>
      </x:c>
      <x:c r="P943" t="str">
        <x:v>Recommended</x:v>
      </x:c>
      <x:c r="Q943" t="str">
        <x:v>Verified</x:v>
      </x:c>
      <x:c r="R943" s="142" t="n">
        <x:v>46258</x:v>
      </x:c>
      <x:c r="S943" t="str">
        <x:v>Included from the official 张小珺商业访谈录 Bilibili inventory; title, creator, and public metadata verified through official endpoints.</x:v>
      </x:c>
      <x:c r="T943" t="str">
        <x:v>BV1Kt68YBEzq</x:v>
      </x:c>
      <x:c r="U943" t="str">
        <x:v>张小珺商业访谈录</x:v>
      </x:c>
      <x:c r="V943" s="148" t="n">
        <x:v>20241229</x:v>
      </x:c>
      <x:c r="W943" t="str">
        <x:v>zhang-xiaojun-business-interviews</x:v>
      </x:c>
    </x:row>
    <x:row r="944">
      <x:c r="A944" t="str">
        <x:v>ST-944</x:v>
      </x:c>
      <x:c r="B944" t="str">
        <x:v>Course</x:v>
      </x:c>
      <x:c r="C944" t="str">
        <x:v>Agent</x:v>
      </x:c>
      <x:c r="D944" t="str">
        <x:v>Transformers / Large Models</x:v>
      </x:c>
      <x:c r="E944" t="str">
        <x:v>DeepSeek; Mixture of Experts; Reinforcement Learning; Reasoning Models; Technical Papers</x:v>
      </x:c>
      <x:c r="F944" t="str">
        <x:v>Chinese</x:v>
      </x:c>
      <x:c r="G944" t="str">
        <x:v>逐篇讲解DeepSeek关键9篇论文及创新点——“勇敢者的游戏”</x:v>
      </x:c>
      <x:c r="H944" t="str">
        <x:v>何俊贤</x:v>
      </x:c>
      <x:c r="I944" t="str">
        <x:v>张小珺商业访谈录</x:v>
      </x:c>
      <x:c r="J944" t="str">
        <x:v>Technical Tutorial</x:v>
      </x:c>
      <x:c r="K944" s="148" t="n">
        <x:v>201</x:v>
      </x:c>
      <x:c r="L944" t="str">
        <x:v>https://www.bilibili.com/video/BV1xuK5eREJi</x:v>
      </x:c>
      <x:c r="M944" t="str">
        <x:v>Bilibili</x:v>
      </x:c>
      <x:c r="N944" s="150" t="n">
        <x:v>62822</x:v>
      </x:c>
      <x:c r="O944" t="str">
        <x:v>A | Official / Original Creator / Organizer</x:v>
      </x:c>
      <x:c r="P944" t="str">
        <x:v>Core</x:v>
      </x:c>
      <x:c r="Q944" t="str">
        <x:v>Verified</x:v>
      </x:c>
      <x:c r="R944" s="142" t="n">
        <x:v>46258</x:v>
      </x:c>
      <x:c r="S944" t="str">
        <x:v>Included from the official 张小珺商业访谈录 Bilibili inventory; title, creator, and public metadata verified through official endpoints.</x:v>
      </x:c>
      <x:c r="T944" t="str">
        <x:v>BV1xuK5eREJi</x:v>
      </x:c>
      <x:c r="U944" t="str">
        <x:v>张小珺商业访谈录</x:v>
      </x:c>
      <x:c r="V944" s="148" t="n">
        <x:v>20250212</x:v>
      </x:c>
      <x:c r="W944" t="str">
        <x:v>zhang-xiaojun-business-interviews</x:v>
      </x:c>
    </x:row>
    <x:row r="945">
      <x:c r="A945" t="str">
        <x:v>ST-945</x:v>
      </x:c>
      <x:c r="B945" t="str">
        <x:v>Course</x:v>
      </x:c>
      <x:c r="C945" t="str">
        <x:v>Agent</x:v>
      </x:c>
      <x:c r="D945" t="str">
        <x:v>Natural Language Processing / Transformers</x:v>
      </x:c>
      <x:c r="E945" t="str">
        <x:v>DeepSeek; Kimi; MiniMax; Sparse Attention; Long Context; Technical Reports</x:v>
      </x:c>
      <x:c r="F945" t="str">
        <x:v>Chinese</x:v>
      </x:c>
      <x:c r="G945" t="str">
        <x:v>逐篇讲解DeepSeek、Kimi、MiniMax注意力机制新论文——“硬件上的暴力美学”</x:v>
      </x:c>
      <x:c r="H945" t="str">
        <x:v>松琳</x:v>
      </x:c>
      <x:c r="I945" t="str">
        <x:v>张小珺商业访谈录</x:v>
      </x:c>
      <x:c r="J945" t="str">
        <x:v>Technical Tutorial</x:v>
      </x:c>
      <x:c r="K945" s="148" t="n">
        <x:v>156</x:v>
      </x:c>
      <x:c r="L945" t="str">
        <x:v>https://www.bilibili.com/video/BV1ZmAQekEMc</x:v>
      </x:c>
      <x:c r="M945" t="str">
        <x:v>Bilibili</x:v>
      </x:c>
      <x:c r="N945" s="150" t="n">
        <x:v>34676</x:v>
      </x:c>
      <x:c r="O945" t="str">
        <x:v>A | Official / Original Creator / Organizer</x:v>
      </x:c>
      <x:c r="P945" t="str">
        <x:v>Core</x:v>
      </x:c>
      <x:c r="Q945" t="str">
        <x:v>Verified</x:v>
      </x:c>
      <x:c r="R945" s="142" t="n">
        <x:v>46258</x:v>
      </x:c>
      <x:c r="S945" t="str">
        <x:v>Included from the official 张小珺商业访谈录 Bilibili inventory; title, creator, and public metadata verified through official endpoints.</x:v>
      </x:c>
      <x:c r="T945" t="str">
        <x:v>BV1ZmAQekEMc</x:v>
      </x:c>
      <x:c r="U945" t="str">
        <x:v>张小珺商业访谈录</x:v>
      </x:c>
      <x:c r="V945" s="148" t="n">
        <x:v>20250223</x:v>
      </x:c>
      <x:c r="W945" t="str">
        <x:v>zhang-xiaojun-business-interviews</x:v>
      </x:c>
    </x:row>
    <x:row r="946">
      <x:c r="A946" t="str">
        <x:v>ST-946</x:v>
      </x:c>
      <x:c r="B946" t="str">
        <x:v>Course</x:v>
      </x:c>
      <x:c r="C946" t="str">
        <x:v>Robotics</x:v>
      </x:c>
      <x:c r="D946" t="str">
        <x:v>Robotics / Embodied AI</x:v>
      </x:c>
      <x:c r="E946" t="str">
        <x:v>Robot Foundation Models; VLA; Embodied AI; Humanoid Robots; Robotics Papers</x:v>
      </x:c>
      <x:c r="F946" t="str">
        <x:v>Chinese</x:v>
      </x:c>
      <x:c r="G946" t="str">
        <x:v>逐篇解析机器人基座模型和VLA经典论文——“人就是最智能的VLA”</x:v>
      </x:c>
      <x:c r="H946" t="str">
        <x:v>陈建宇</x:v>
      </x:c>
      <x:c r="I946" t="str">
        <x:v>张小珺商业访谈录</x:v>
      </x:c>
      <x:c r="J946" t="str">
        <x:v>Technical Tutorial</x:v>
      </x:c>
      <x:c r="K946" s="148" t="n">
        <x:v>150</x:v>
      </x:c>
      <x:c r="L946" t="str">
        <x:v>https://www.bilibili.com/video/BV1q6RzYnENi</x:v>
      </x:c>
      <x:c r="M946" t="str">
        <x:v>Bilibili</x:v>
      </x:c>
      <x:c r="N946" s="150" t="n">
        <x:v>40400</x:v>
      </x:c>
      <x:c r="O946" t="str">
        <x:v>A | Official / Original Creator / Organizer</x:v>
      </x:c>
      <x:c r="P946" t="str">
        <x:v>Core</x:v>
      </x:c>
      <x:c r="Q946" t="str">
        <x:v>Verified</x:v>
      </x:c>
      <x:c r="R946" s="142" t="n">
        <x:v>46258</x:v>
      </x:c>
      <x:c r="S946" t="str">
        <x:v>Included from the official 张小珺商业访谈录 Bilibili inventory; title, creator, and public metadata verified through official endpoints.</x:v>
      </x:c>
      <x:c r="T946" t="str">
        <x:v>BV1q6RzYnENi</x:v>
      </x:c>
      <x:c r="U946" t="str">
        <x:v>张小珺商业访谈录</x:v>
      </x:c>
      <x:c r="V946" s="148" t="n">
        <x:v>20250406</x:v>
      </x:c>
      <x:c r="W946" t="str">
        <x:v>zhang-xiaojun-business-interviews</x:v>
      </x:c>
    </x:row>
    <x:row r="947">
      <x:c r="A947" t="str">
        <x:v>ST-947</x:v>
      </x:c>
      <x:c r="B947" t="str">
        <x:v>Interview</x:v>
      </x:c>
      <x:c r="C947" t="str">
        <x:v>Robotics</x:v>
      </x:c>
      <x:c r="D947" t="str">
        <x:v>AI Frontiers / Industry</x:v>
      </x:c>
      <x:c r="E947" t="str">
        <x:v>Mercedes-Benz; Autonomous Driving; Automotive AI; Industrial Transformation; Leadership</x:v>
      </x:c>
      <x:c r="F947" t="str">
        <x:v>Chinese</x:v>
      </x:c>
      <x:c r="G947" t="str">
        <x:v>【独家对话奔驰全球CEO康林松】转型之中的139岁巨人</x:v>
      </x:c>
      <x:c r="H947" t="str">
        <x:v>康林松</x:v>
      </x:c>
      <x:c r="I947" t="str">
        <x:v>张小珺商业访谈录</x:v>
      </x:c>
      <x:c r="J947" t="str">
        <x:v>In-depth Interview</x:v>
      </x:c>
      <x:c r="K947" s="148" t="n">
        <x:v>34</x:v>
      </x:c>
      <x:c r="L947" t="str">
        <x:v>https://www.bilibili.com/video/BV1zQL9z3ETw</x:v>
      </x:c>
      <x:c r="M947" t="str">
        <x:v>Bilibili</x:v>
      </x:c>
      <x:c r="N947" s="150" t="n">
        <x:v>50216</x:v>
      </x:c>
      <x:c r="O947" t="str">
        <x:v>A | Official / Original Creator / Organizer</x:v>
      </x:c>
      <x:c r="P947" t="str">
        <x:v>Recommended</x:v>
      </x:c>
      <x:c r="Q947" t="str">
        <x:v>Verified</x:v>
      </x:c>
      <x:c r="R947" s="142" t="n">
        <x:v>46258</x:v>
      </x:c>
      <x:c r="S947" t="str">
        <x:v>Included from the official 张小珺商业访谈录 Bilibili inventory; title, creator, and public metadata verified through official endpoints.</x:v>
      </x:c>
      <x:c r="T947" t="str">
        <x:v>BV1zQL9z3ETw</x:v>
      </x:c>
      <x:c r="U947" t="str">
        <x:v>张小珺商业访谈录</x:v>
      </x:c>
      <x:c r="V947" s="148" t="n">
        <x:v>20250426</x:v>
      </x:c>
      <x:c r="W947" t="str">
        <x:v>zhang-xiaojun-business-interviews</x:v>
      </x:c>
    </x:row>
    <x:row r="948">
      <x:c r="A948" t="str">
        <x:v>ST-948</x:v>
      </x:c>
      <x:c r="B948" t="str">
        <x:v>Interview</x:v>
      </x:c>
      <x:c r="C948" t="str">
        <x:v>Other</x:v>
      </x:c>
      <x:c r="D948" t="str">
        <x:v>AI for Science</x:v>
      </x:c>
      <x:c r="E948" t="str">
        <x:v>Nuclear Fusion; Scientific Computing; Deep Technology; Energy; Entrepreneurship</x:v>
      </x:c>
      <x:c r="F948" t="str">
        <x:v>Chinese</x:v>
      </x:c>
      <x:c r="G948" t="str">
        <x:v>人类驯服可控核聚变还有多少路程？对能量奇点创始人杨钊3小时访谈</x:v>
      </x:c>
      <x:c r="H948" t="str">
        <x:v>杨钊</x:v>
      </x:c>
      <x:c r="I948" t="str">
        <x:v>张小珺商业访谈录</x:v>
      </x:c>
      <x:c r="J948" t="str">
        <x:v>In-depth Interview</x:v>
      </x:c>
      <x:c r="K948" s="148" t="n">
        <x:v>154</x:v>
      </x:c>
      <x:c r="L948" t="str">
        <x:v>https://www.bilibili.com/video/BV17sNEz2ER8</x:v>
      </x:c>
      <x:c r="M948" t="str">
        <x:v>Bilibili</x:v>
      </x:c>
      <x:c r="N948" s="150" t="n">
        <x:v>192683</x:v>
      </x:c>
      <x:c r="O948" t="str">
        <x:v>A | Official / Original Creator / Organizer</x:v>
      </x:c>
      <x:c r="P948" t="str">
        <x:v>Reserve</x:v>
      </x:c>
      <x:c r="Q948" t="str">
        <x:v>Verified</x:v>
      </x:c>
      <x:c r="R948" s="142" t="n">
        <x:v>46258</x:v>
      </x:c>
      <x:c r="S948" t="str">
        <x:v>Included from the official 张小珺商业访谈录 Bilibili inventory; title, creator, and public metadata verified through official endpoints.</x:v>
      </x:c>
      <x:c r="T948" t="str">
        <x:v>BV17sNEz2ER8</x:v>
      </x:c>
      <x:c r="U948" t="str">
        <x:v>张小珺商业访谈录</x:v>
      </x:c>
      <x:c r="V948" s="148" t="n">
        <x:v>20250618</x:v>
      </x:c>
      <x:c r="W948" t="str">
        <x:v>zhang-xiaojun-business-interviews</x:v>
      </x:c>
    </x:row>
    <x:row r="949">
      <x:c r="A949" t="str">
        <x:v>ST-949</x:v>
      </x:c>
      <x:c r="B949" t="str">
        <x:v>Interview</x:v>
      </x:c>
      <x:c r="C949" t="str">
        <x:v>Agent</x:v>
      </x:c>
      <x:c r="D949" t="str">
        <x:v>Agents / Tool Use / Reasoning</x:v>
      </x:c>
      <x:c r="E949" t="str">
        <x:v>Agents; AI Products; YouWare; Entrepreneurship; Foundation Models</x:v>
      </x:c>
      <x:c r="F949" t="str">
        <x:v>Chinese</x:v>
      </x:c>
      <x:c r="G949" t="str">
        <x:v>95年，离职字节和Kimi，Agent创业：“融资风生水起，我如履薄冰”</x:v>
      </x:c>
      <x:c r="H949" t="str">
        <x:v>明超平</x:v>
      </x:c>
      <x:c r="I949" t="str">
        <x:v>张小珺商业访谈录</x:v>
      </x:c>
      <x:c r="J949" t="str">
        <x:v>In-depth Interview</x:v>
      </x:c>
      <x:c r="K949" s="148" t="n">
        <x:v>158</x:v>
      </x:c>
      <x:c r="L949" t="str">
        <x:v>https://www.bilibili.com/video/BV1PDKozTEZJ</x:v>
      </x:c>
      <x:c r="M949" t="str">
        <x:v>Bilibili</x:v>
      </x:c>
      <x:c r="N949" s="150" t="n">
        <x:v>55443</x:v>
      </x:c>
      <x:c r="O949" t="str">
        <x:v>A | Official / Original Creator / Organizer</x:v>
      </x:c>
      <x:c r="P949" t="str">
        <x:v>Recommended</x:v>
      </x:c>
      <x:c r="Q949" t="str">
        <x:v>Verified</x:v>
      </x:c>
      <x:c r="R949" s="142" t="n">
        <x:v>46258</x:v>
      </x:c>
      <x:c r="S949" t="str">
        <x:v>Included from the official 张小珺商业访谈录 Bilibili inventory; title, creator, and public metadata verified through official endpoints.</x:v>
      </x:c>
      <x:c r="T949" t="str">
        <x:v>BV1PDKozTEZJ</x:v>
      </x:c>
      <x:c r="U949" t="str">
        <x:v>张小珺商业访谈录</x:v>
      </x:c>
      <x:c r="V949" s="148" t="n">
        <x:v>20250626</x:v>
      </x:c>
      <x:c r="W949" t="str">
        <x:v>zhang-xiaojun-business-interviews</x:v>
      </x:c>
    </x:row>
    <x:row r="950">
      <x:c r="A950" t="str">
        <x:v>ST-950</x:v>
      </x:c>
      <x:c r="B950" t="str">
        <x:v>Interview</x:v>
      </x:c>
      <x:c r="C950" t="str">
        <x:v>Robotics</x:v>
      </x:c>
      <x:c r="D950" t="str">
        <x:v>Robotics / Embodied AI</x:v>
      </x:c>
      <x:c r="E950" t="str">
        <x:v>Embodied AI; Humanoid Robots; Robot Foundation Models; Venture Capital; Robotics Industry</x:v>
      </x:c>
      <x:c r="F950" t="str">
        <x:v>Chinese</x:v>
      </x:c>
      <x:c r="G950" t="str">
        <x:v>机器人泡沫了吗？和10亿美金创始人聊：资本轰炸下的具身智能真相</x:v>
      </x:c>
      <x:c r="H950" t="str">
        <x:v>王鹤</x:v>
      </x:c>
      <x:c r="I950" t="str">
        <x:v>张小珺商业访谈录</x:v>
      </x:c>
      <x:c r="J950" t="str">
        <x:v>In-depth Interview</x:v>
      </x:c>
      <x:c r="K950" s="148" t="n">
        <x:v>158</x:v>
      </x:c>
      <x:c r="L950" t="str">
        <x:v>https://www.bilibili.com/video/BV1WLgQz8Enk</x:v>
      </x:c>
      <x:c r="M950" t="str">
        <x:v>Bilibili</x:v>
      </x:c>
      <x:c r="N950" s="150" t="n">
        <x:v>42654</x:v>
      </x:c>
      <x:c r="O950" t="str">
        <x:v>A | Official / Original Creator / Organizer</x:v>
      </x:c>
      <x:c r="P950" t="str">
        <x:v>Core</x:v>
      </x:c>
      <x:c r="Q950" t="str">
        <x:v>Verified</x:v>
      </x:c>
      <x:c r="R950" s="142" t="n">
        <x:v>46258</x:v>
      </x:c>
      <x:c r="S950" t="str">
        <x:v>Included from the official 张小珺商业访谈录 Bilibili inventory; title, creator, and public metadata verified through official endpoints.</x:v>
      </x:c>
      <x:c r="T950" t="str">
        <x:v>BV1WLgQz8Enk</x:v>
      </x:c>
      <x:c r="U950" t="str">
        <x:v>张小珺商业访谈录</x:v>
      </x:c>
      <x:c r="V950" s="148" t="n">
        <x:v>20250702</x:v>
      </x:c>
      <x:c r="W950" t="str">
        <x:v>zhang-xiaojun-business-interviews</x:v>
      </x:c>
    </x:row>
    <x:row r="951">
      <x:c r="A951" t="str">
        <x:v>ST-951</x:v>
      </x:c>
      <x:c r="B951" t="str">
        <x:v>Interview</x:v>
      </x:c>
      <x:c r="C951" t="str">
        <x:v>Robotics</x:v>
      </x:c>
      <x:c r="D951" t="str">
        <x:v>Robotics / Embodied AI</x:v>
      </x:c>
      <x:c r="E951" t="str">
        <x:v>Autonomous Driving; Horizon Robotics; Computer Vision; AI Industry; Technology History</x:v>
      </x:c>
      <x:c r="F951" t="str">
        <x:v>Chinese</x:v>
      </x:c>
      <x:c r="G951" t="str">
        <x:v>余凯口述30年史：世界不止刀光剑影，是一部人来人往的江湖故事</x:v>
      </x:c>
      <x:c r="H951" t="str">
        <x:v>余凯</x:v>
      </x:c>
      <x:c r="I951" t="str">
        <x:v>张小珺商业访谈录</x:v>
      </x:c>
      <x:c r="J951" t="str">
        <x:v>In-depth Interview</x:v>
      </x:c>
      <x:c r="K951" s="148" t="n">
        <x:v>154</x:v>
      </x:c>
      <x:c r="L951" t="str">
        <x:v>https://www.bilibili.com/video/BV1F1GHzLE2k</x:v>
      </x:c>
      <x:c r="M951" t="str">
        <x:v>Bilibili</x:v>
      </x:c>
      <x:c r="N951" s="150" t="n">
        <x:v>101074</x:v>
      </x:c>
      <x:c r="O951" t="str">
        <x:v>A | Official / Original Creator / Organizer</x:v>
      </x:c>
      <x:c r="P951" t="str">
        <x:v>Core</x:v>
      </x:c>
      <x:c r="Q951" t="str">
        <x:v>Verified</x:v>
      </x:c>
      <x:c r="R951" s="142" t="n">
        <x:v>46258</x:v>
      </x:c>
      <x:c r="S951" t="str">
        <x:v>Included from the official 张小珺商业访谈录 Bilibili inventory; title, creator, and public metadata verified through official endpoints.</x:v>
      </x:c>
      <x:c r="T951" t="str">
        <x:v>BV1F1GHzLE2k</x:v>
      </x:c>
      <x:c r="U951" t="str">
        <x:v>张小珺商业访谈录</x:v>
      </x:c>
      <x:c r="V951" s="148" t="n">
        <x:v>20250708</x:v>
      </x:c>
      <x:c r="W951" t="str">
        <x:v>zhang-xiaojun-business-interviews</x:v>
      </x:c>
    </x:row>
    <x:row r="952">
      <x:c r="A952" t="str">
        <x:v>ST-952</x:v>
      </x:c>
      <x:c r="B952" t="str">
        <x:v>Interview</x:v>
      </x:c>
      <x:c r="C952" t="str">
        <x:v>Vision</x:v>
      </x:c>
      <x:c r="D952" t="str">
        <x:v>Generative AI / Developers</x:v>
      </x:c>
      <x:c r="E952" t="str">
        <x:v>Generative Design; AI Applications; Lovart; Creative Tools; Entrepreneurship</x:v>
      </x:c>
      <x:c r="F952" t="str">
        <x:v>Chinese</x:v>
      </x:c>
      <x:c r="G952" t="str">
        <x:v>Lovart创始人陈冕复盘应用创业这两年：这一刻就是好爽啊！！哈哈哈哈哈</x:v>
      </x:c>
      <x:c r="H952" t="str">
        <x:v>陈冕</x:v>
      </x:c>
      <x:c r="I952" t="str">
        <x:v>张小珺商业访谈录</x:v>
      </x:c>
      <x:c r="J952" t="str">
        <x:v>In-depth Interview</x:v>
      </x:c>
      <x:c r="K952" s="148" t="n">
        <x:v>105</x:v>
      </x:c>
      <x:c r="L952" t="str">
        <x:v>https://www.bilibili.com/video/BV1N2uXzNEBa</x:v>
      </x:c>
      <x:c r="M952" t="str">
        <x:v>Bilibili</x:v>
      </x:c>
      <x:c r="N952" s="150" t="n">
        <x:v>83855</x:v>
      </x:c>
      <x:c r="O952" t="str">
        <x:v>A | Official / Original Creator / Organizer</x:v>
      </x:c>
      <x:c r="P952" t="str">
        <x:v>Recommended</x:v>
      </x:c>
      <x:c r="Q952" t="str">
        <x:v>Verified</x:v>
      </x:c>
      <x:c r="R952" s="142" t="n">
        <x:v>46258</x:v>
      </x:c>
      <x:c r="S952" t="str">
        <x:v>Included from the official 张小珺商业访谈录 Bilibili inventory; title, creator, and public metadata verified through official endpoints.</x:v>
      </x:c>
      <x:c r="T952" t="str">
        <x:v>BV1N2uXzNEBa</x:v>
      </x:c>
      <x:c r="U952" t="str">
        <x:v>张小珺商业访谈录</x:v>
      </x:c>
      <x:c r="V952" s="148" t="n">
        <x:v>20250719</x:v>
      </x:c>
      <x:c r="W952" t="str">
        <x:v>zhang-xiaojun-business-interviews</x:v>
      </x:c>
    </x:row>
    <x:row r="953">
      <x:c r="A953" t="str">
        <x:v>ST-953</x:v>
      </x:c>
      <x:c r="B953" t="str">
        <x:v>Course</x:v>
      </x:c>
      <x:c r="C953" t="str">
        <x:v>Agent</x:v>
      </x:c>
      <x:c r="D953" t="str">
        <x:v>Agents / Tool Use / Reasoning</x:v>
      </x:c>
      <x:c r="E953" t="str">
        <x:v>Kimi K2; ChatGPT Agent; Qwen3-Coder; Context Engineering; Agent Training</x:v>
      </x:c>
      <x:c r="F953" t="str">
        <x:v>Chinese</x:v>
      </x:c>
      <x:c r="G953" t="str">
        <x:v>逐段讲解Kimi K2报告并对照ChatGPT Agent、Qwen3-Coder等：“系统工程的力量”</x:v>
      </x:c>
      <x:c r="H953" t="str">
        <x:v>郑博元</x:v>
      </x:c>
      <x:c r="I953" t="str">
        <x:v>张小珺商业访谈录</x:v>
      </x:c>
      <x:c r="J953" t="str">
        <x:v>Technical Tutorial</x:v>
      </x:c>
      <x:c r="K953" s="148" t="n">
        <x:v>141</x:v>
      </x:c>
      <x:c r="L953" t="str">
        <x:v>https://www.bilibili.com/video/BV1cc8kzmEBs</x:v>
      </x:c>
      <x:c r="M953" t="str">
        <x:v>Bilibili</x:v>
      </x:c>
      <x:c r="N953" s="150" t="n">
        <x:v>34181</x:v>
      </x:c>
      <x:c r="O953" t="str">
        <x:v>A | Official / Original Creator / Organizer</x:v>
      </x:c>
      <x:c r="P953" t="str">
        <x:v>Core</x:v>
      </x:c>
      <x:c r="Q953" t="str">
        <x:v>Verified</x:v>
      </x:c>
      <x:c r="R953" s="142" t="n">
        <x:v>46258</x:v>
      </x:c>
      <x:c r="S953" t="str">
        <x:v>Included from the official 张小珺商业访谈录 Bilibili inventory; title, creator, and public metadata verified through official endpoints.</x:v>
      </x:c>
      <x:c r="T953" t="str">
        <x:v>BV1cc8kzmEBs</x:v>
      </x:c>
      <x:c r="U953" t="str">
        <x:v>张小珺商业访谈录</x:v>
      </x:c>
      <x:c r="V953" s="148" t="n">
        <x:v>20250731</x:v>
      </x:c>
      <x:c r="W953" t="str">
        <x:v>zhang-xiaojun-business-interviews</x:v>
      </x:c>
    </x:row>
    <x:row r="954">
      <x:c r="A954" t="str">
        <x:v>ST-954</x:v>
      </x:c>
      <x:c r="B954" t="str">
        <x:v>Interview</x:v>
      </x:c>
      <x:c r="C954" t="str">
        <x:v>Robotics</x:v>
      </x:c>
      <x:c r="D954" t="str">
        <x:v>Robotics / Embodied AI</x:v>
      </x:c>
      <x:c r="E954" t="str">
        <x:v>LiDAR; Autonomous Driving; Hesai; Hardware Startups; Robotics Industry</x:v>
      </x:c>
      <x:c r="F954" t="str">
        <x:v>Chinese</x:v>
      </x:c>
      <x:c r="G954" t="str">
        <x:v>对话禾赛李一帆：你仔细想行业的机会来自哪？是国家、民族的机会</x:v>
      </x:c>
      <x:c r="H954" t="str">
        <x:v>李一帆</x:v>
      </x:c>
      <x:c r="I954" t="str">
        <x:v>张小珺商业访谈录</x:v>
      </x:c>
      <x:c r="J954" t="str">
        <x:v>In-depth Interview</x:v>
      </x:c>
      <x:c r="K954" s="148" t="n">
        <x:v>186</x:v>
      </x:c>
      <x:c r="L954" t="str">
        <x:v>https://www.bilibili.com/video/BV1vMtUzJEC7</x:v>
      </x:c>
      <x:c r="M954" t="str">
        <x:v>Bilibili</x:v>
      </x:c>
      <x:c r="N954" s="150" t="n">
        <x:v>94453</x:v>
      </x:c>
      <x:c r="O954" t="str">
        <x:v>A | Official / Original Creator / Organizer</x:v>
      </x:c>
      <x:c r="P954" t="str">
        <x:v>Recommended</x:v>
      </x:c>
      <x:c r="Q954" t="str">
        <x:v>Verified</x:v>
      </x:c>
      <x:c r="R954" s="142" t="n">
        <x:v>46258</x:v>
      </x:c>
      <x:c r="S954" t="str">
        <x:v>Included from the official 张小珺商业访谈录 Bilibili inventory; title, creator, and public metadata verified through official endpoints.</x:v>
      </x:c>
      <x:c r="T954" t="str">
        <x:v>BV1vMtUzJEC7</x:v>
      </x:c>
      <x:c r="U954" t="str">
        <x:v>张小珺商业访谈录</x:v>
      </x:c>
      <x:c r="V954" s="148" t="n">
        <x:v>20250808</x:v>
      </x:c>
      <x:c r="W954" t="str">
        <x:v>zhang-xiaojun-business-interviews</x:v>
      </x:c>
    </x:row>
    <x:row r="955">
      <x:c r="A955" t="str">
        <x:v>ST-955</x:v>
      </x:c>
      <x:c r="B955" t="str">
        <x:v>Interview</x:v>
      </x:c>
      <x:c r="C955" t="str">
        <x:v>Agent</x:v>
      </x:c>
      <x:c r="D955" t="str">
        <x:v>Agents / Tool Use / Reasoning</x:v>
      </x:c>
      <x:c r="E955" t="str">
        <x:v>Kimi K2; Agentic LLMs; Long Context; Generalization; Moonshot AI</x:v>
      </x:c>
      <x:c r="F955" t="str">
        <x:v>Chinese</x:v>
      </x:c>
      <x:c r="G955" t="str">
        <x:v>对话Kimi创始人杨植麟：K2、Agentic LLM、缸中之脑、艰难的泛化、用L4解决L3、长文本影响智商、“站在无限的开端”</x:v>
      </x:c>
      <x:c r="H955" t="str">
        <x:v>杨植麟</x:v>
      </x:c>
      <x:c r="I955" t="str">
        <x:v>张小珺商业访谈录</x:v>
      </x:c>
      <x:c r="J955" t="str">
        <x:v>In-depth Interview</x:v>
      </x:c>
      <x:c r="K955" s="148" t="n">
        <x:v>100</x:v>
      </x:c>
      <x:c r="L955" t="str">
        <x:v>https://www.bilibili.com/video/BV1hFe1zSEXp</x:v>
      </x:c>
      <x:c r="M955" t="str">
        <x:v>Bilibili</x:v>
      </x:c>
      <x:c r="N955" s="150" t="n">
        <x:v>407468</x:v>
      </x:c>
      <x:c r="O955" t="str">
        <x:v>A | Official / Original Creator / Organizer</x:v>
      </x:c>
      <x:c r="P955" t="str">
        <x:v>Core</x:v>
      </x:c>
      <x:c r="Q955" t="str">
        <x:v>Verified</x:v>
      </x:c>
      <x:c r="R955" s="142" t="n">
        <x:v>46258</x:v>
      </x:c>
      <x:c r="S955" t="str">
        <x:v>Included from the official 张小珺商业访谈录 Bilibili inventory; title, creator, and public metadata verified through official endpoints.</x:v>
      </x:c>
      <x:c r="T955" t="str">
        <x:v>BV1hFe1zSEXp</x:v>
      </x:c>
      <x:c r="U955" t="str">
        <x:v>张小珺商业访谈录</x:v>
      </x:c>
      <x:c r="V955" s="148" t="n">
        <x:v>20250827</x:v>
      </x:c>
      <x:c r="W955" t="str">
        <x:v>zhang-xiaojun-business-interviews</x:v>
      </x:c>
    </x:row>
    <x:row r="956">
      <x:c r="A956" t="str">
        <x:v>ST-956</x:v>
      </x:c>
      <x:c r="B956" t="str">
        <x:v>Course</x:v>
      </x:c>
      <x:c r="C956" t="str">
        <x:v>Other</x:v>
      </x:c>
      <x:c r="D956" t="str">
        <x:v>AI Research Frontiers</x:v>
      </x:c>
      <x:c r="E956" t="str">
        <x:v>AI Research History; Seminal Papers; Large Language Models; Multimodal Models; Research Methods</x:v>
      </x:c>
      <x:c r="F956" t="str">
        <x:v>Chinese</x:v>
      </x:c>
      <x:c r="G956" t="str">
        <x:v>干货！开源一段论文探索之旅给大家</x:v>
      </x:c>
      <x:c r="H956" t="str">
        <x:v>张小珺商业访谈录</x:v>
      </x:c>
      <x:c r="I956" t="str">
        <x:v>张小珺商业访谈录</x:v>
      </x:c>
      <x:c r="J956" t="str">
        <x:v>Technical Tutorial</x:v>
      </x:c>
      <x:c r="K956" s="148" t="n">
        <x:v>263</x:v>
      </x:c>
      <x:c r="L956" t="str">
        <x:v>https://www.bilibili.com/video/BV1pkyqBxEdB</x:v>
      </x:c>
      <x:c r="M956" t="str">
        <x:v>Bilibili</x:v>
      </x:c>
      <x:c r="N956" s="150" t="n">
        <x:v>47155</x:v>
      </x:c>
      <x:c r="O956" t="str">
        <x:v>A | Official / Original Creator / Organizer</x:v>
      </x:c>
      <x:c r="P956" t="str">
        <x:v>Core</x:v>
      </x:c>
      <x:c r="Q956" t="str">
        <x:v>Verified</x:v>
      </x:c>
      <x:c r="R956" s="142" t="n">
        <x:v>46258</x:v>
      </x:c>
      <x:c r="S956" t="str">
        <x:v>Included from the official 张小珺商业访谈录 Bilibili inventory; title, creator, and public metadata verified through official endpoints.</x:v>
      </x:c>
      <x:c r="T956" t="str">
        <x:v>BV1pkyqBxEdB</x:v>
      </x:c>
      <x:c r="U956" t="str">
        <x:v>张小珺商业访谈录</x:v>
      </x:c>
      <x:c r="V956" s="148" t="n">
        <x:v>20251028</x:v>
      </x:c>
      <x:c r="W956" t="str">
        <x:v>zhang-xiaojun-business-interviews</x:v>
      </x:c>
    </x:row>
    <x:row r="957">
      <x:c r="A957" t="str">
        <x:v>ST-957</x:v>
      </x:c>
      <x:c r="B957" t="str">
        <x:v>Interview</x:v>
      </x:c>
      <x:c r="C957" t="str">
        <x:v>Robotics</x:v>
      </x:c>
      <x:c r="D957" t="str">
        <x:v>Robotics / Embodied AI</x:v>
      </x:c>
      <x:c r="E957" t="str">
        <x:v>Autonomous Driving; VLA; Mixture of Experts; World Models; Product Strategy</x:v>
      </x:c>
      <x:c r="F957" t="str">
        <x:v>Chinese</x:v>
      </x:c>
      <x:c r="G957" t="str">
        <x:v>对李想的第二次3小时访谈：CEO大模型、MoE、梁文锋、VLA、能量、记忆、对抗人性、亲密关系、人类的智慧</x:v>
      </x:c>
      <x:c r="H957" t="str">
        <x:v>李想</x:v>
      </x:c>
      <x:c r="I957" t="str">
        <x:v>张小珺商业访谈录</x:v>
      </x:c>
      <x:c r="J957" t="str">
        <x:v>In-depth Interview</x:v>
      </x:c>
      <x:c r="K957" s="148" t="n">
        <x:v>164</x:v>
      </x:c>
      <x:c r="L957" t="str">
        <x:v>https://www.bilibili.com/video/BV1fiybB4EDU</x:v>
      </x:c>
      <x:c r="M957" t="str">
        <x:v>Bilibili</x:v>
      </x:c>
      <x:c r="N957" s="150" t="n">
        <x:v>132700</x:v>
      </x:c>
      <x:c r="O957" t="str">
        <x:v>A | Official / Original Creator / Organizer</x:v>
      </x:c>
      <x:c r="P957" t="str">
        <x:v>Core</x:v>
      </x:c>
      <x:c r="Q957" t="str">
        <x:v>Verified</x:v>
      </x:c>
      <x:c r="R957" s="142" t="n">
        <x:v>46258</x:v>
      </x:c>
      <x:c r="S957" t="str">
        <x:v>Included from the official 张小珺商业访谈录 Bilibili inventory; title, creator, and public metadata verified through official endpoints.</x:v>
      </x:c>
      <x:c r="T957" t="str">
        <x:v>BV1fiybB4EDU</x:v>
      </x:c>
      <x:c r="U957" t="str">
        <x:v>张小珺商业访谈录</x:v>
      </x:c>
      <x:c r="V957" s="148" t="n">
        <x:v>20251030</x:v>
      </x:c>
      <x:c r="W957" t="str">
        <x:v>zhang-xiaojun-business-interviews</x:v>
      </x:c>
    </x:row>
    <x:row r="958">
      <x:c r="A958" t="str">
        <x:v>ST-958</x:v>
      </x:c>
      <x:c r="B958" t="str">
        <x:v>Interview</x:v>
      </x:c>
      <x:c r="C958" t="str">
        <x:v>Agent</x:v>
      </x:c>
      <x:c r="D958" t="str">
        <x:v>AI Frontiers / Industry</x:v>
      </x:c>
      <x:c r="E958" t="str">
        <x:v>AI Investment; Foundation Models; Robotics; Startup Strategy; Technology Bubbles</x:v>
      </x:c>
      <x:c r="F958" t="str">
        <x:v>Chinese</x:v>
      </x:c>
      <x:c r="G958" t="str">
        <x:v>对投资人朱啸虎的第三次访谈：现实主义、AI的盛筵与泡泡、和共识错开15度、《王者荣耀》</x:v>
      </x:c>
      <x:c r="H958" t="str">
        <x:v>朱啸虎</x:v>
      </x:c>
      <x:c r="I958" t="str">
        <x:v>张小珺商业访谈录</x:v>
      </x:c>
      <x:c r="J958" t="str">
        <x:v>In-depth Interview</x:v>
      </x:c>
      <x:c r="K958" s="148" t="n">
        <x:v>46</x:v>
      </x:c>
      <x:c r="L958" t="str">
        <x:v>https://www.bilibili.com/video/BV13AmpBiE2o</x:v>
      </x:c>
      <x:c r="M958" t="str">
        <x:v>Bilibili</x:v>
      </x:c>
      <x:c r="N958" s="150" t="n">
        <x:v>207498</x:v>
      </x:c>
      <x:c r="O958" t="str">
        <x:v>A | Official / Original Creator / Organizer</x:v>
      </x:c>
      <x:c r="P958" t="str">
        <x:v>Recommended</x:v>
      </x:c>
      <x:c r="Q958" t="str">
        <x:v>Verified</x:v>
      </x:c>
      <x:c r="R958" s="142" t="n">
        <x:v>46258</x:v>
      </x:c>
      <x:c r="S958" t="str">
        <x:v>Included from the official 张小珺商业访谈录 Bilibili inventory; title, creator, and public metadata verified through official endpoints.</x:v>
      </x:c>
      <x:c r="T958" t="str">
        <x:v>BV13AmpBiE2o</x:v>
      </x:c>
      <x:c r="U958" t="str">
        <x:v>张小珺商业访谈录</x:v>
      </x:c>
      <x:c r="V958" s="148" t="n">
        <x:v>20251209</x:v>
      </x:c>
      <x:c r="W958" t="str">
        <x:v>zhang-xiaojun-business-interviews</x:v>
      </x:c>
    </x:row>
    <x:row r="959">
      <x:c r="A959" t="str">
        <x:v>ST-959</x:v>
      </x:c>
      <x:c r="B959" t="str">
        <x:v>Interview</x:v>
      </x:c>
      <x:c r="C959" t="str">
        <x:v>Agent</x:v>
      </x:c>
      <x:c r="D959" t="str">
        <x:v>Agents / Tool Use / Reasoning</x:v>
      </x:c>
      <x:c r="E959" t="str">
        <x:v>Agents; Manus; Meta; AI Products; Entrepreneurship; Acquisition</x:v>
      </x:c>
      <x:c r="F959" t="str">
        <x:v>Chinese</x:v>
      </x:c>
      <x:c r="G959" t="str">
        <x:v>Manus决定出售前最后的访谈：啊，这奇幻的2025年漂流啊…</x:v>
      </x:c>
      <x:c r="H959" t="str">
        <x:v>季逸超</x:v>
      </x:c>
      <x:c r="I959" t="str">
        <x:v>张小珺商业访谈录</x:v>
      </x:c>
      <x:c r="J959" t="str">
        <x:v>In-depth Interview</x:v>
      </x:c>
      <x:c r="K959" s="148" t="n">
        <x:v>211</x:v>
      </x:c>
      <x:c r="L959" t="str">
        <x:v>https://www.bilibili.com/video/BV1knvYBDEjs</x:v>
      </x:c>
      <x:c r="M959" t="str">
        <x:v>Bilibili</x:v>
      </x:c>
      <x:c r="N959" s="150" t="n">
        <x:v>454160</x:v>
      </x:c>
      <x:c r="O959" t="str">
        <x:v>A | Official / Original Creator / Organizer</x:v>
      </x:c>
      <x:c r="P959" t="str">
        <x:v>Core</x:v>
      </x:c>
      <x:c r="Q959" t="str">
        <x:v>Verified</x:v>
      </x:c>
      <x:c r="R959" s="142" t="n">
        <x:v>46258</x:v>
      </x:c>
      <x:c r="S959" t="str">
        <x:v>Included from the official 张小珺商业访谈录 Bilibili inventory; title, creator, and public metadata verified through official endpoints.</x:v>
      </x:c>
      <x:c r="T959" t="str">
        <x:v>BV1knvYBDEjs</x:v>
      </x:c>
      <x:c r="U959" t="str">
        <x:v>张小珺商业访谈录</x:v>
      </x:c>
      <x:c r="V959" s="148" t="n">
        <x:v>20251230</x:v>
      </x:c>
      <x:c r="W959" t="str">
        <x:v>zhang-xiaojun-business-interviews</x:v>
      </x:c>
    </x:row>
    <x:row r="960">
      <x:c r="A960" t="str">
        <x:v>ST-960</x:v>
      </x:c>
      <x:c r="B960" t="str">
        <x:v>Interview</x:v>
      </x:c>
      <x:c r="C960" t="str">
        <x:v>Agent</x:v>
      </x:c>
      <x:c r="D960" t="str">
        <x:v>AI Startups / Foundation Models</x:v>
      </x:c>
      <x:c r="E960" t="str">
        <x:v>Foundation Models; Zhipu AI; AGI; AI Startups; Model Commercialization</x:v>
      </x:c>
      <x:c r="F960" t="str">
        <x:v>Chinese</x:v>
      </x:c>
      <x:c r="G960" t="str">
        <x:v>全球大模型第一股的上市访谈，和智谱CEO张鹏聊：敢问路在何方？</x:v>
      </x:c>
      <x:c r="H960" t="str">
        <x:v>张鹏</x:v>
      </x:c>
      <x:c r="I960" t="str">
        <x:v>张小珺商业访谈录</x:v>
      </x:c>
      <x:c r="J960" t="str">
        <x:v>In-depth Interview</x:v>
      </x:c>
      <x:c r="K960" s="148" t="n">
        <x:v>145</x:v>
      </x:c>
      <x:c r="L960" t="str">
        <x:v>https://www.bilibili.com/video/BV1awiDBDEWS</x:v>
      </x:c>
      <x:c r="M960" t="str">
        <x:v>Bilibili</x:v>
      </x:c>
      <x:c r="N960" s="150" t="n">
        <x:v>163094</x:v>
      </x:c>
      <x:c r="O960" t="str">
        <x:v>A | Official / Original Creator / Organizer</x:v>
      </x:c>
      <x:c r="P960" t="str">
        <x:v>Core</x:v>
      </x:c>
      <x:c r="Q960" t="str">
        <x:v>Verified</x:v>
      </x:c>
      <x:c r="R960" s="142" t="n">
        <x:v>46258</x:v>
      </x:c>
      <x:c r="S960" t="str">
        <x:v>Included from the official 张小珺商业访谈录 Bilibili inventory; title, creator, and public metadata verified through official endpoints.</x:v>
      </x:c>
      <x:c r="T960" t="str">
        <x:v>BV1awiDBDEWS</x:v>
      </x:c>
      <x:c r="U960" t="str">
        <x:v>张小珺商业访谈录</x:v>
      </x:c>
      <x:c r="V960" s="148" t="n">
        <x:v>20260108</x:v>
      </x:c>
      <x:c r="W960" t="str">
        <x:v>zhang-xiaojun-business-interviews</x:v>
      </x:c>
    </x:row>
    <x:row r="961">
      <x:c r="A961" t="str">
        <x:v>ST-961</x:v>
      </x:c>
      <x:c r="B961" t="str">
        <x:v>Interview</x:v>
      </x:c>
      <x:c r="C961" t="str">
        <x:v>Agent</x:v>
      </x:c>
      <x:c r="D961" t="str">
        <x:v>AI Startups / Foundation Models</x:v>
      </x:c>
      <x:c r="E961" t="str">
        <x:v>Foundation Models; StepFun; AI Strategy; Scaling; Entrepreneurship</x:v>
      </x:c>
      <x:c r="F961" t="str">
        <x:v>Chinese</x:v>
      </x:c>
      <x:c r="G961" t="str">
        <x:v>印奇出任阶跃星辰董事长的访谈：聪明人的诱惑、取舍、超长链路残酷淘汰赛、阶跃函数和超多元方程</x:v>
      </x:c>
      <x:c r="H961" t="str">
        <x:v>印奇</x:v>
      </x:c>
      <x:c r="I961" t="str">
        <x:v>张小珺商业访谈录</x:v>
      </x:c>
      <x:c r="J961" t="str">
        <x:v>In-depth Interview</x:v>
      </x:c>
      <x:c r="K961" s="148" t="n">
        <x:v>120</x:v>
      </x:c>
      <x:c r="L961" t="str">
        <x:v>https://www.bilibili.com/video/BV1ZczaBJE58</x:v>
      </x:c>
      <x:c r="M961" t="str">
        <x:v>Bilibili</x:v>
      </x:c>
      <x:c r="N961" s="150" t="n">
        <x:v>114842</x:v>
      </x:c>
      <x:c r="O961" t="str">
        <x:v>A | Official / Original Creator / Organizer</x:v>
      </x:c>
      <x:c r="P961" t="str">
        <x:v>Core</x:v>
      </x:c>
      <x:c r="Q961" t="str">
        <x:v>Verified</x:v>
      </x:c>
      <x:c r="R961" s="142" t="n">
        <x:v>46258</x:v>
      </x:c>
      <x:c r="S961" t="str">
        <x:v>Included from the official 张小珺商业访谈录 Bilibili inventory; title, creator, and public metadata verified through official endpoints.</x:v>
      </x:c>
      <x:c r="T961" t="str">
        <x:v>BV1ZczaBJE58</x:v>
      </x:c>
      <x:c r="U961" t="str">
        <x:v>张小珺商业访谈录</x:v>
      </x:c>
      <x:c r="V961" s="148" t="n">
        <x:v>20260126</x:v>
      </x:c>
      <x:c r="W961" t="str">
        <x:v>zhang-xiaojun-business-interviews</x:v>
      </x:c>
    </x:row>
    <x:row r="962">
      <x:c r="A962" t="str">
        <x:v>ST-962</x:v>
      </x:c>
      <x:c r="B962" t="str">
        <x:v>Interview</x:v>
      </x:c>
      <x:c r="C962" t="str">
        <x:v>Robotics</x:v>
      </x:c>
      <x:c r="D962" t="str">
        <x:v>Robotics / Embodied AI</x:v>
      </x:c>
      <x:c r="E962" t="str">
        <x:v>Robotics; Autonomous Driving; Waymo; Momenta; Robot Foundation Models</x:v>
      </x:c>
      <x:c r="F962" t="str">
        <x:v>Chinese</x:v>
      </x:c>
      <x:c r="G962" t="str">
        <x:v>对星海图高继扬的3小时访谈：鲶鱼、曾国藩、机器人、Waymo与Momenta的两面、一只狼与许华哲的离开</x:v>
      </x:c>
      <x:c r="H962" t="str">
        <x:v>高继扬</x:v>
      </x:c>
      <x:c r="I962" t="str">
        <x:v>张小珺商业访谈录</x:v>
      </x:c>
      <x:c r="J962" t="str">
        <x:v>In-depth Interview</x:v>
      </x:c>
      <x:c r="K962" s="148" t="n">
        <x:v>184</x:v>
      </x:c>
      <x:c r="L962" t="str">
        <x:v>https://www.bilibili.com/video/BV1arcjzpE1B</x:v>
      </x:c>
      <x:c r="M962" t="str">
        <x:v>Bilibili</x:v>
      </x:c>
      <x:c r="N962" s="150" t="n">
        <x:v>56191</x:v>
      </x:c>
      <x:c r="O962" t="str">
        <x:v>A | Official / Original Creator / Organizer</x:v>
      </x:c>
      <x:c r="P962" t="str">
        <x:v>Core</x:v>
      </x:c>
      <x:c r="Q962" t="str">
        <x:v>Verified</x:v>
      </x:c>
      <x:c r="R962" s="142" t="n">
        <x:v>46258</x:v>
      </x:c>
      <x:c r="S962" t="str">
        <x:v>Included from the official 张小珺商业访谈录 Bilibili inventory; title, creator, and public metadata verified through official endpoints.</x:v>
      </x:c>
      <x:c r="T962" t="str">
        <x:v>BV1arcjzpE1B</x:v>
      </x:c>
      <x:c r="U962" t="str">
        <x:v>张小珺商业访谈录</x:v>
      </x:c>
      <x:c r="V962" s="148" t="n">
        <x:v>20260213</x:v>
      </x:c>
      <x:c r="W962" t="str">
        <x:v>zhang-xiaojun-business-interviews</x:v>
      </x:c>
    </x:row>
    <x:row r="963">
      <x:c r="A963" t="str">
        <x:v>ST-963</x:v>
      </x:c>
      <x:c r="B963" t="str">
        <x:v>Interview</x:v>
      </x:c>
      <x:c r="C963" t="str">
        <x:v>Other</x:v>
      </x:c>
      <x:c r="D963" t="str">
        <x:v>AI Systems / Infrastructure</x:v>
      </x:c>
      <x:c r="E963" t="str">
        <x:v>Training Data; Data Markets; Data Quality; Model Training; Data Infrastructure</x:v>
      </x:c>
      <x:c r="F963" t="str">
        <x:v>Chinese</x:v>
      </x:c>
      <x:c r="G963" t="str">
        <x:v>【数据的综述】和谢晨聊，新时代的石油、历史、版图、数据金字塔、定价与Recipe</x:v>
      </x:c>
      <x:c r="H963" t="str">
        <x:v>谢晨</x:v>
      </x:c>
      <x:c r="I963" t="str">
        <x:v>张小珺商业访谈录</x:v>
      </x:c>
      <x:c r="J963" t="str">
        <x:v>In-depth Interview</x:v>
      </x:c>
      <x:c r="K963" s="148" t="n">
        <x:v>157</x:v>
      </x:c>
      <x:c r="L963" t="str">
        <x:v>https://www.bilibili.com/video/BV1sLX9B4EqD</x:v>
      </x:c>
      <x:c r="M963" t="str">
        <x:v>Bilibili</x:v>
      </x:c>
      <x:c r="N963" s="150" t="n">
        <x:v>54156</x:v>
      </x:c>
      <x:c r="O963" t="str">
        <x:v>A | Official / Original Creator / Organizer</x:v>
      </x:c>
      <x:c r="P963" t="str">
        <x:v>Recommended</x:v>
      </x:c>
      <x:c r="Q963" t="str">
        <x:v>Verified</x:v>
      </x:c>
      <x:c r="R963" s="142" t="n">
        <x:v>46258</x:v>
      </x:c>
      <x:c r="S963" t="str">
        <x:v>Included from the official 张小珺商业访谈录 Bilibili inventory; title, creator, and public metadata verified through official endpoints.</x:v>
      </x:c>
      <x:c r="T963" t="str">
        <x:v>BV1sLX9B4EqD</x:v>
      </x:c>
      <x:c r="U963" t="str">
        <x:v>张小珺商业访谈录</x:v>
      </x:c>
      <x:c r="V963" s="148" t="n">
        <x:v>20260330</x:v>
      </x:c>
      <x:c r="W963" t="str">
        <x:v>zhang-xiaojun-business-interviews</x:v>
      </x:c>
    </x:row>
    <x:row r="964">
      <x:c r="A964" t="str">
        <x:v>ST-964</x:v>
      </x:c>
      <x:c r="B964" t="str">
        <x:v>Interview</x:v>
      </x:c>
      <x:c r="C964" t="str">
        <x:v>Agent</x:v>
      </x:c>
      <x:c r="D964" t="str">
        <x:v>AI for Science</x:v>
      </x:c>
      <x:c r="E964" t="str">
        <x:v>AI for Math; Lean; Theorem Proving; Formal Verification; Mathematical Reasoning</x:v>
      </x:c>
      <x:c r="F964" t="str">
        <x:v>Chinese</x:v>
      </x:c>
      <x:c r="G964" t="str">
        <x:v>对洪乐潼的4小时访谈：AI for Math、把数学变成Lean、数学天书中的证明、直觉、被创造的与被发现的</x:v>
      </x:c>
      <x:c r="H964" t="str">
        <x:v>洪乐潼</x:v>
      </x:c>
      <x:c r="I964" t="str">
        <x:v>张小珺商业访谈录</x:v>
      </x:c>
      <x:c r="J964" t="str">
        <x:v>In-depth Interview</x:v>
      </x:c>
      <x:c r="K964" s="148" t="n">
        <x:v>263</x:v>
      </x:c>
      <x:c r="L964" t="str">
        <x:v>https://www.bilibili.com/video/BV13BdfBoELd</x:v>
      </x:c>
      <x:c r="M964" t="str">
        <x:v>Bilibili</x:v>
      </x:c>
      <x:c r="N964" s="150" t="n">
        <x:v>98474</x:v>
      </x:c>
      <x:c r="O964" t="str">
        <x:v>A | Official / Original Creator / Organizer</x:v>
      </x:c>
      <x:c r="P964" t="str">
        <x:v>Core</x:v>
      </x:c>
      <x:c r="Q964" t="str">
        <x:v>Verified</x:v>
      </x:c>
      <x:c r="R964" s="142" t="n">
        <x:v>46258</x:v>
      </x:c>
      <x:c r="S964" t="str">
        <x:v>Included from the official 张小珺商业访谈录 Bilibili inventory; title, creator, and public metadata verified through official endpoints.</x:v>
      </x:c>
      <x:c r="T964" t="str">
        <x:v>BV13BdfBoELd</x:v>
      </x:c>
      <x:c r="U964" t="str">
        <x:v>张小珺商业访谈录</x:v>
      </x:c>
      <x:c r="V964" s="148" t="n">
        <x:v>20260420</x:v>
      </x:c>
      <x:c r="W964" t="str">
        <x:v>zhang-xiaojun-business-interviews</x:v>
      </x:c>
    </x:row>
    <x:row r="965">
      <x:c r="A965" t="str">
        <x:v>ST-965</x:v>
      </x:c>
      <x:c r="B965" t="str">
        <x:v>Interview</x:v>
      </x:c>
      <x:c r="C965" t="str">
        <x:v>Agent</x:v>
      </x:c>
      <x:c r="D965" t="str">
        <x:v>Agents / Tool Use / Reasoning</x:v>
      </x:c>
      <x:c r="E965" t="str">
        <x:v>Agents; Large Language Models; Anthropic; Gemini; Model Training; Research Strategy</x:v>
      </x:c>
      <x:c r="F965" t="str">
        <x:v>Chinese</x:v>
      </x:c>
      <x:c r="G965" t="str">
        <x:v>对姚顺宇的4小时访谈：请允许我小疯一下！在Anthropic和Gemini训模型、技术预测、英雄主义已过去</x:v>
      </x:c>
      <x:c r="H965" t="str">
        <x:v>姚顺宇</x:v>
      </x:c>
      <x:c r="I965" t="str">
        <x:v>张小珺商业访谈录</x:v>
      </x:c>
      <x:c r="J965" t="str">
        <x:v>In-depth Interview</x:v>
      </x:c>
      <x:c r="K965" s="148" t="n">
        <x:v>228</x:v>
      </x:c>
      <x:c r="L965" t="str">
        <x:v>https://www.bilibili.com/video/BV1YR5E6EE9o</x:v>
      </x:c>
      <x:c r="M965" t="str">
        <x:v>Bilibili</x:v>
      </x:c>
      <x:c r="N965" s="150" t="n">
        <x:v>729561</x:v>
      </x:c>
      <x:c r="O965" t="str">
        <x:v>A | Official / Original Creator / Organizer</x:v>
      </x:c>
      <x:c r="P965" t="str">
        <x:v>Core</x:v>
      </x:c>
      <x:c r="Q965" t="str">
        <x:v>Verified</x:v>
      </x:c>
      <x:c r="R965" s="142" t="n">
        <x:v>46258</x:v>
      </x:c>
      <x:c r="S965" t="str">
        <x:v>Included from the official 张小珺商业访谈录 Bilibili inventory; title, creator, and public metadata verified through official endpoints.</x:v>
      </x:c>
      <x:c r="T965" t="str">
        <x:v>BV1YR5E6EE9o</x:v>
      </x:c>
      <x:c r="U965" t="str">
        <x:v>张小珺商业访谈录</x:v>
      </x:c>
      <x:c r="V965" s="148" t="n">
        <x:v>20260511</x:v>
      </x:c>
      <x:c r="W965" t="str">
        <x:v>zhang-xiaojun-business-interviews</x:v>
      </x:c>
    </x:row>
    <x:row r="966">
      <x:c r="A966" t="str">
        <x:v>ST-966</x:v>
      </x:c>
      <x:c r="B966" t="str">
        <x:v>Interview</x:v>
      </x:c>
      <x:c r="C966" t="str">
        <x:v>Robotics</x:v>
      </x:c>
      <x:c r="D966" t="str">
        <x:v>Robotics / Embodied AI</x:v>
      </x:c>
      <x:c r="E966" t="str">
        <x:v>Humanoid Robots; Autonomous Driving; XPeng; Product Strategy; Robotics Industry</x:v>
      </x:c>
      <x:c r="F966" t="str">
        <x:v>Chinese</x:v>
      </x:c>
      <x:c r="G966" t="str">
        <x:v>对何小鹏的第二次访谈：更大赌注、人形机器人Iron诞生、那场意外、技术剧变下CEO、GX和缝合怪</x:v>
      </x:c>
      <x:c r="H966" t="str">
        <x:v>何小鹏</x:v>
      </x:c>
      <x:c r="I966" t="str">
        <x:v>张小珺商业访谈录</x:v>
      </x:c>
      <x:c r="J966" t="str">
        <x:v>In-depth Interview</x:v>
      </x:c>
      <x:c r="K966" s="148" t="n">
        <x:v>86</x:v>
      </x:c>
      <x:c r="L966" t="str">
        <x:v>https://www.bilibili.com/video/BV1d4GU6wEDo</x:v>
      </x:c>
      <x:c r="M966" t="str">
        <x:v>Bilibili</x:v>
      </x:c>
      <x:c r="N966" s="150" t="n">
        <x:v>116243</x:v>
      </x:c>
      <x:c r="O966" t="str">
        <x:v>A | Official / Original Creator / Organizer</x:v>
      </x:c>
      <x:c r="P966" t="str">
        <x:v>Core</x:v>
      </x:c>
      <x:c r="Q966" t="str">
        <x:v>Verified</x:v>
      </x:c>
      <x:c r="R966" s="142" t="n">
        <x:v>46258</x:v>
      </x:c>
      <x:c r="S966" t="str">
        <x:v>Included from the official 张小珺商业访谈录 Bilibili inventory; title, creator, and public metadata verified through official endpoints.</x:v>
      </x:c>
      <x:c r="T966" t="str">
        <x:v>BV1d4GU6wEDo</x:v>
      </x:c>
      <x:c r="U966" t="str">
        <x:v>张小珺商业访谈录</x:v>
      </x:c>
      <x:c r="V966" s="148" t="n">
        <x:v>20260528</x:v>
      </x:c>
      <x:c r="W966" t="str">
        <x:v>zhang-xiaojun-business-interviews</x:v>
      </x:c>
    </x:row>
    <x:row r="967">
      <x:c r="A967" t="str">
        <x:v>ST-967</x:v>
      </x:c>
      <x:c r="B967" t="str">
        <x:v>Interview</x:v>
      </x:c>
      <x:c r="C967" t="str">
        <x:v>Agent</x:v>
      </x:c>
      <x:c r="D967" t="str">
        <x:v>Edge AI / TinyML</x:v>
      </x:c>
      <x:c r="E967" t="str">
        <x:v>Edge Models; Consumer Electronics; AI Products; Product Strategy; Entrepreneurship</x:v>
      </x:c>
      <x:c r="F967" t="str">
        <x:v>Chinese</x:v>
      </x:c>
      <x:c r="G967" t="str">
        <x:v>对阳萌的4小时访谈：消费电子死与生、第三类公司、端侧模型、产品方法、游戏模式</x:v>
      </x:c>
      <x:c r="H967" t="str">
        <x:v>阳萌</x:v>
      </x:c>
      <x:c r="I967" t="str">
        <x:v>张小珺商业访谈录</x:v>
      </x:c>
      <x:c r="J967" t="str">
        <x:v>In-depth Interview</x:v>
      </x:c>
      <x:c r="K967" s="148" t="n">
        <x:v>218</x:v>
      </x:c>
      <x:c r="L967" t="str">
        <x:v>https://www.bilibili.com/video/BV1dyE86bENz</x:v>
      </x:c>
      <x:c r="M967" t="str">
        <x:v>Bilibili</x:v>
      </x:c>
      <x:c r="N967" s="150" t="n">
        <x:v>549755</x:v>
      </x:c>
      <x:c r="O967" t="str">
        <x:v>A | Official / Original Creator / Organizer</x:v>
      </x:c>
      <x:c r="P967" t="str">
        <x:v>Core</x:v>
      </x:c>
      <x:c r="Q967" t="str">
        <x:v>Verified</x:v>
      </x:c>
      <x:c r="R967" s="142" t="n">
        <x:v>46258</x:v>
      </x:c>
      <x:c r="S967" t="str">
        <x:v>Included from the official 张小珺商业访谈录 Bilibili inventory; title, creator, and public metadata verified through official endpoints.</x:v>
      </x:c>
      <x:c r="T967" t="str">
        <x:v>BV1dyE86bENz</x:v>
      </x:c>
      <x:c r="U967" t="str">
        <x:v>张小珺商业访谈录</x:v>
      </x:c>
      <x:c r="V967" s="148" t="n">
        <x:v>20260608</x:v>
      </x:c>
      <x:c r="W967" t="str">
        <x:v>zhang-xiaojun-business-interviews</x:v>
      </x:c>
    </x:row>
    <x:row r="968">
      <x:c r="A968" t="str">
        <x:v>ST-968</x:v>
      </x:c>
      <x:c r="B968" t="str">
        <x:v>Interview</x:v>
      </x:c>
      <x:c r="C968" t="str">
        <x:v>Other</x:v>
      </x:c>
      <x:c r="D968" t="str">
        <x:v>AI Frontiers / Industry</x:v>
      </x:c>
      <x:c r="E968" t="str">
        <x:v>SpaceX; Aerospace; AI Industry; Engineering Leadership; Technology History</x:v>
      </x:c>
      <x:c r="F968" t="str">
        <x:v>Chinese</x:v>
      </x:c>
      <x:c r="G968" t="str">
        <x:v>口述SpaceX开发史：和前高管洪力德聊，马斯克用人观、最大IPO、太空与AI、人类文明扩张前奏？</x:v>
      </x:c>
      <x:c r="H968" t="str">
        <x:v>洪力德</x:v>
      </x:c>
      <x:c r="I968" t="str">
        <x:v>张小珺商业访谈录</x:v>
      </x:c>
      <x:c r="J968" t="str">
        <x:v>In-depth Interview</x:v>
      </x:c>
      <x:c r="K968" s="148" t="n">
        <x:v>180</x:v>
      </x:c>
      <x:c r="L968" t="str">
        <x:v>https://www.bilibili.com/video/BV1HfEy6jEUx</x:v>
      </x:c>
      <x:c r="M968" t="str">
        <x:v>Bilibili</x:v>
      </x:c>
      <x:c r="N968" s="150" t="n">
        <x:v>91908</x:v>
      </x:c>
      <x:c r="O968" t="str">
        <x:v>A | Official / Original Creator / Organizer</x:v>
      </x:c>
      <x:c r="P968" t="str">
        <x:v>Recommended</x:v>
      </x:c>
      <x:c r="Q968" t="str">
        <x:v>Verified</x:v>
      </x:c>
      <x:c r="R968" s="142" t="n">
        <x:v>46258</x:v>
      </x:c>
      <x:c r="S968" t="str">
        <x:v>Included from the official 张小珺商业访谈录 Bilibili inventory; title, creator, and public metadata verified through official endpoints.</x:v>
      </x:c>
      <x:c r="T968" t="str">
        <x:v>BV1HfEy6jEUx</x:v>
      </x:c>
      <x:c r="U968" t="str">
        <x:v>张小珺商业访谈录</x:v>
      </x:c>
      <x:c r="V968" s="148" t="n">
        <x:v>20260612</x:v>
      </x:c>
      <x:c r="W968" t="str">
        <x:v>zhang-xiaojun-business-interviews</x:v>
      </x:c>
    </x:row>
    <x:row r="969">
      <x:c r="A969" t="str">
        <x:v>ST-969</x:v>
      </x:c>
      <x:c r="B969" t="str">
        <x:v>Interview</x:v>
      </x:c>
      <x:c r="C969" t="str">
        <x:v>Robotics</x:v>
      </x:c>
      <x:c r="D969" t="str">
        <x:v>Robotics / Embodied AI</x:v>
      </x:c>
      <x:c r="E969" t="str">
        <x:v>Embodied AI; Robot Foundation Models; Pretraining; Robotics Data; Ant Lingbo</x:v>
      </x:c>
      <x:c r="F969" t="str">
        <x:v>Chinese</x:v>
      </x:c>
      <x:c r="G969" t="str">
        <x:v>和蚂蚁灵波沈宇军聊：机器人原生基础模型、大脑和本体的关系、预训练与数据scale up、老师汤晓鸥</x:v>
      </x:c>
      <x:c r="H969" t="str">
        <x:v>沈宇军</x:v>
      </x:c>
      <x:c r="I969" t="str">
        <x:v>张小珺商业访谈录</x:v>
      </x:c>
      <x:c r="J969" t="str">
        <x:v>In-depth Interview</x:v>
      </x:c>
      <x:c r="K969" s="148" t="n">
        <x:v>111</x:v>
      </x:c>
      <x:c r="L969" t="str">
        <x:v>https://www.bilibili.com/video/BV1cRK86zEpQ</x:v>
      </x:c>
      <x:c r="M969" t="str">
        <x:v>Bilibili</x:v>
      </x:c>
      <x:c r="N969" s="150" t="n">
        <x:v>62047</x:v>
      </x:c>
      <x:c r="O969" t="str">
        <x:v>A | Official / Original Creator / Organizer</x:v>
      </x:c>
      <x:c r="P969" t="str">
        <x:v>Core</x:v>
      </x:c>
      <x:c r="Q969" t="str">
        <x:v>Verified</x:v>
      </x:c>
      <x:c r="R969" s="142" t="n">
        <x:v>46258</x:v>
      </x:c>
      <x:c r="S969" t="str">
        <x:v>Included from the official 张小珺商业访谈录 Bilibili inventory; title, creator, and public metadata verified through official endpoints.</x:v>
      </x:c>
      <x:c r="T969" t="str">
        <x:v>BV1cRK86zEpQ</x:v>
      </x:c>
      <x:c r="U969" t="str">
        <x:v>张小珺商业访谈录</x:v>
      </x:c>
      <x:c r="V969" s="148" t="n">
        <x:v>20260722</x:v>
      </x:c>
      <x:c r="W969" t="str">
        <x:v>zhang-xiaojun-business-interviews</x:v>
      </x:c>
    </x:row>
    <x:row r="970">
      <x:c r="A970" t="str">
        <x:v>ST-970</x:v>
      </x:c>
      <x:c r="B970" t="str">
        <x:v>Interview</x:v>
      </x:c>
      <x:c r="C970" t="str">
        <x:v>Other</x:v>
      </x:c>
      <x:c r="D970" t="str">
        <x:v>AI Systems / Accelerated Computing</x:v>
      </x:c>
      <x:c r="E970" t="str">
        <x:v>AI Accelerators; Ascend; Semiconductors; Computing Systems; Hardware History</x:v>
      </x:c>
      <x:c r="F970" t="str">
        <x:v>Chinese</x:v>
      </x:c>
      <x:c r="G970" t="str">
        <x:v>对华为半导体首席科学家廖恒的5小时访谈：一部昇腾史、18层宝塔与全球芯片恢弘30年史诗| B站 x WAIC AI会客厅</x:v>
      </x:c>
      <x:c r="H970" t="str">
        <x:v>廖恒</x:v>
      </x:c>
      <x:c r="I970" t="str">
        <x:v>张小珺商业访谈录</x:v>
      </x:c>
      <x:c r="J970" t="str">
        <x:v>In-depth Interview</x:v>
      </x:c>
      <x:c r="K970" s="148" t="n">
        <x:v>278</x:v>
      </x:c>
      <x:c r="L970" t="str">
        <x:v>https://www.bilibili.com/video/BV1nB3u6tERu</x:v>
      </x:c>
      <x:c r="M970" t="str">
        <x:v>Bilibili</x:v>
      </x:c>
      <x:c r="N970" s="150" t="n">
        <x:v>1139957</x:v>
      </x:c>
      <x:c r="O970" t="str">
        <x:v>A | Official / Original Creator / Organizer</x:v>
      </x:c>
      <x:c r="P970" t="str">
        <x:v>Recommended</x:v>
      </x:c>
      <x:c r="Q970" t="str">
        <x:v>Verified</x:v>
      </x:c>
      <x:c r="R970" s="142" t="n">
        <x:v>46258</x:v>
      </x:c>
      <x:c r="S970" t="str">
        <x:v>Included from the official 张小珺商业访谈录 Bilibili inventory; title, creator, and public metadata verified through official endpoints.</x:v>
      </x:c>
      <x:c r="T970" t="str">
        <x:v>BV1nB3u6tERu</x:v>
      </x:c>
      <x:c r="U970" t="str">
        <x:v>张小珺商业访谈录</x:v>
      </x:c>
      <x:c r="V970" s="148" t="n">
        <x:v>20260725</x:v>
      </x:c>
      <x:c r="W970" t="str">
        <x:v>zhang-xiaojun-business-interviews</x:v>
      </x:c>
    </x:row>
    <x:row r="971">
      <x:c r="A971" t="str">
        <x:v>ST-971</x:v>
      </x:c>
      <x:c r="B971" t="str">
        <x:v>Interview</x:v>
      </x:c>
      <x:c r="C971" t="str">
        <x:v>Agent</x:v>
      </x:c>
      <x:c r="D971" t="str">
        <x:v>AI Systems / Infrastructure</x:v>
      </x:c>
      <x:c r="E971" t="str">
        <x:v>Large-Model Systems; Inference Infrastructure; vLLM; Open Source; Model–Infrastructure Co-design</x:v>
      </x:c>
      <x:c r="F971" t="str">
        <x:v>Chinese</x:v>
      </x:c>
      <x:c r="G971" t="str">
        <x:v>对游凯超3小时访谈：开源Infra、和模型Co-design 、从社区到公司、“如果vLLM失败，我们会后悔一辈子”</x:v>
      </x:c>
      <x:c r="H971" t="str">
        <x:v>游凯超</x:v>
      </x:c>
      <x:c r="I971" t="str">
        <x:v>张小珺商业访谈录</x:v>
      </x:c>
      <x:c r="J971" t="str">
        <x:v>In-depth Interview</x:v>
      </x:c>
      <x:c r="K971" s="148" t="n">
        <x:v>179</x:v>
      </x:c>
      <x:c r="L971" t="str">
        <x:v>https://www.bilibili.com/video/BV18Qg96YE1W</x:v>
      </x:c>
      <x:c r="M971" t="str">
        <x:v>Bilibili</x:v>
      </x:c>
      <x:c r="N971" s="150" t="n">
        <x:v>74560</x:v>
      </x:c>
      <x:c r="O971" t="str">
        <x:v>A | Official / Original Creator / Organizer</x:v>
      </x:c>
      <x:c r="P971" t="str">
        <x:v>Core</x:v>
      </x:c>
      <x:c r="Q971" t="str">
        <x:v>Verified</x:v>
      </x:c>
      <x:c r="R971" s="142" t="n">
        <x:v>46258</x:v>
      </x:c>
      <x:c r="S971" t="str">
        <x:v>Included from the official 张小珺商业访谈录 Bilibili inventory; title, creator, and public metadata verified through official endpoints.</x:v>
      </x:c>
      <x:c r="T971" t="str">
        <x:v>BV18Qg96YE1W</x:v>
      </x:c>
      <x:c r="U971" t="str">
        <x:v>张小珺商业访谈录</x:v>
      </x:c>
      <x:c r="V971" s="148" t="n">
        <x:v>20260728</x:v>
      </x:c>
      <x:c r="W971" t="str">
        <x:v>zhang-xiaojun-business-interviews</x:v>
      </x:c>
    </x:row>
    <x:row r="972">
      <x:c r="A972" t="str">
        <x:v>ST-972</x:v>
      </x:c>
      <x:c r="B972" t="str">
        <x:v>Interview</x:v>
      </x:c>
      <x:c r="C972" t="str">
        <x:v>World Model</x:v>
      </x:c>
      <x:c r="D972" t="str">
        <x:v>World Models / Predictive Intelligence</x:v>
      </x:c>
      <x:c r="E972" t="str">
        <x:v>World Models; Cosmos; Video Generation; NVIDIA; Research Leadership</x:v>
      </x:c>
      <x:c r="F972" t="str">
        <x:v>Chinese</x:v>
      </x:c>
      <x:c r="G972" t="str">
        <x:v>对英伟达研究副总裁刘洺堉的4小时访谈：Cosmos 3、世界模型、武术、黄仁勋影响我的，和你不需要击败所有对手</x:v>
      </x:c>
      <x:c r="H972" t="str">
        <x:v>刘洺堉</x:v>
      </x:c>
      <x:c r="I972" t="str">
        <x:v>张小珺商业访谈录</x:v>
      </x:c>
      <x:c r="J972" t="str">
        <x:v>In-depth Interview</x:v>
      </x:c>
      <x:c r="K972" s="148" t="n">
        <x:v>216</x:v>
      </x:c>
      <x:c r="L972" t="str">
        <x:v>https://www.bilibili.com/video/BV1fmgj66EtD</x:v>
      </x:c>
      <x:c r="M972" t="str">
        <x:v>Bilibili</x:v>
      </x:c>
      <x:c r="N972" s="150" t="n">
        <x:v>160232</x:v>
      </x:c>
      <x:c r="O972" t="str">
        <x:v>A | Official / Original Creator / Organizer</x:v>
      </x:c>
      <x:c r="P972" t="str">
        <x:v>Core</x:v>
      </x:c>
      <x:c r="Q972" t="str">
        <x:v>Verified</x:v>
      </x:c>
      <x:c r="R972" s="142" t="n">
        <x:v>46258</x:v>
      </x:c>
      <x:c r="S972" t="str">
        <x:v>Included from the official 张小珺商业访谈录 Bilibili inventory; title, creator, and public metadata verified through official endpoints.</x:v>
      </x:c>
      <x:c r="T972" t="str">
        <x:v>BV1fmgj66EtD</x:v>
      </x:c>
      <x:c r="U972" t="str">
        <x:v>张小珺商业访谈录</x:v>
      </x:c>
      <x:c r="V972" s="148" t="n">
        <x:v>20260813</x:v>
      </x:c>
      <x:c r="W972" t="str">
        <x:v>zhang-xiaojun-business-interviews</x:v>
      </x:c>
    </x:row>
    <x:row r="973">
      <x:c r="A973" t="str">
        <x:v>ST-973</x:v>
      </x:c>
      <x:c r="B973" t="str">
        <x:v>Talk</x:v>
      </x:c>
      <x:c r="C973" t="str">
        <x:v>World Model</x:v>
      </x:c>
      <x:c r="D973" t="str">
        <x:v>World Models / Predictive Intelligence</x:v>
      </x:c>
      <x:c r="E973" t="str">
        <x:v>World Models; Spatial Intelligence; Predictive Learning; Generative Models</x:v>
      </x:c>
      <x:c r="F973" t="str">
        <x:v>English</x:v>
      </x:c>
      <x:c r="G973" t="str">
        <x:v>Inference, Diffusion, World Models, and More | YC Paper Club</x:v>
      </x:c>
      <x:c r="H973" t="str">
        <x:v>Y Combinator Paper Club</x:v>
      </x:c>
      <x:c r="I973" t="str">
        <x:v>Y Combinator</x:v>
      </x:c>
      <x:c r="J973" t="str">
        <x:v>Research Talk</x:v>
      </x:c>
      <x:c r="K973" s="148" t="n">
        <x:v>67</x:v>
      </x:c>
      <x:c r="L973" t="str">
        <x:v>https://www.youtube.com/watch?v=wE1ZgJdt4uM</x:v>
      </x:c>
      <x:c r="M973" t="str">
        <x:v>YouTube</x:v>
      </x:c>
      <x:c r="N973" s="150" t="n">
        <x:v>137088</x:v>
      </x:c>
      <x:c r="O973" t="str">
        <x:v>A | Official / Original Creator / Organizer</x:v>
      </x:c>
      <x:c r="P973" t="str">
        <x:v>Core</x:v>
      </x:c>
      <x:c r="Q973" t="str">
        <x:v>Verified</x:v>
      </x:c>
      <x:c r="R973" s="142" t="n">
        <x:v>46258</x:v>
      </x:c>
      <x:c r="S973" t="str">
        <x:v>Curated for the 2026-08-24 ScholarTube weekly update; recent public metadata and canonical video URL verified.</x:v>
      </x:c>
      <x:c r="T973" t="str">
        <x:v>wE1ZgJdt4uM</x:v>
      </x:c>
      <x:c r="U973" t="str"/>
      <x:c r="V973" s="148"/>
      <x:c r="W973" t="str"/>
    </x:row>
    <x:row r="974">
      <x:c r="A974" t="str">
        <x:v>ST-974</x:v>
      </x:c>
      <x:c r="B974" t="str">
        <x:v>Talk</x:v>
      </x:c>
      <x:c r="C974" t="str">
        <x:v>World Model</x:v>
      </x:c>
      <x:c r="D974" t="str">
        <x:v>World Models / Predictive Intelligence</x:v>
      </x:c>
      <x:c r="E974" t="str">
        <x:v>World Models; Spatial Intelligence; Predictive Learning; Generative Models</x:v>
      </x:c>
      <x:c r="F974" t="str">
        <x:v>English</x:v>
      </x:c>
      <x:c r="G974" t="str">
        <x:v>Jeff Hawke (Co-Founder and CTO at Odyssey) - RAAIS 2026</x:v>
      </x:c>
      <x:c r="H974" t="str">
        <x:v>Jeff Hawke</x:v>
      </x:c>
      <x:c r="I974" t="str">
        <x:v>The Research and Applied AI Summit - RAAIS</x:v>
      </x:c>
      <x:c r="J974" t="str">
        <x:v>Research Talk</x:v>
      </x:c>
      <x:c r="K974" s="148" t="n">
        <x:v>21</x:v>
      </x:c>
      <x:c r="L974" t="str">
        <x:v>https://www.youtube.com/watch?v=qbdD5cwKjYU</x:v>
      </x:c>
      <x:c r="M974" t="str">
        <x:v>YouTube</x:v>
      </x:c>
      <x:c r="N974" s="150" t="n">
        <x:v>234</x:v>
      </x:c>
      <x:c r="O974" t="str">
        <x:v>B | University / Conference / Institution</x:v>
      </x:c>
      <x:c r="P974" t="str">
        <x:v>Recommended</x:v>
      </x:c>
      <x:c r="Q974" t="str">
        <x:v>Verified</x:v>
      </x:c>
      <x:c r="R974" s="142" t="n">
        <x:v>46258</x:v>
      </x:c>
      <x:c r="S974" t="str">
        <x:v>Curated for the 2026-08-24 ScholarTube weekly update; recent public metadata and canonical video URL verified.</x:v>
      </x:c>
      <x:c r="T974" t="str">
        <x:v>qbdD5cwKjYU</x:v>
      </x:c>
      <x:c r="U974" t="str"/>
      <x:c r="V974" s="148"/>
      <x:c r="W974" t="str"/>
    </x:row>
    <x:row r="975">
      <x:c r="A975" t="str">
        <x:v>ST-975</x:v>
      </x:c>
      <x:c r="B975" t="str">
        <x:v>Talk</x:v>
      </x:c>
      <x:c r="C975" t="str">
        <x:v>Agent</x:v>
      </x:c>
      <x:c r="D975" t="str">
        <x:v>Agents / Tool Use / Reasoning</x:v>
      </x:c>
      <x:c r="E975" t="str">
        <x:v>Agents; Tool Use; Reasoning; Large Language Models; Agentic Systems</x:v>
      </x:c>
      <x:c r="F975" t="str">
        <x:v>English</x:v>
      </x:c>
      <x:c r="G975" t="str">
        <x:v>Codex for Everyday Work: AI Agents Beyond Coding</x:v>
      </x:c>
      <x:c r="H975" t="str">
        <x:v>OpenAI Codex team</x:v>
      </x:c>
      <x:c r="I975" t="str">
        <x:v>OpenAI</x:v>
      </x:c>
      <x:c r="J975" t="str">
        <x:v>Research Talk</x:v>
      </x:c>
      <x:c r="K975" s="148" t="n">
        <x:v>43</x:v>
      </x:c>
      <x:c r="L975" t="str">
        <x:v>https://www.youtube.com/watch?v=DLP9CagE3dU</x:v>
      </x:c>
      <x:c r="M975" t="str">
        <x:v>YouTube</x:v>
      </x:c>
      <x:c r="N975" s="150" t="n">
        <x:v>49207</x:v>
      </x:c>
      <x:c r="O975" t="str">
        <x:v>A | Official / Original Creator / Organizer</x:v>
      </x:c>
      <x:c r="P975" t="str">
        <x:v>Core</x:v>
      </x:c>
      <x:c r="Q975" t="str">
        <x:v>Verified</x:v>
      </x:c>
      <x:c r="R975" s="142" t="n">
        <x:v>46258</x:v>
      </x:c>
      <x:c r="S975" t="str">
        <x:v>Curated for the 2026-08-24 ScholarTube weekly update; recent public metadata and canonical video URL verified.</x:v>
      </x:c>
      <x:c r="T975" t="str">
        <x:v>DLP9CagE3dU</x:v>
      </x:c>
      <x:c r="U975" t="str"/>
      <x:c r="V975" s="148"/>
      <x:c r="W975" t="str"/>
    </x:row>
    <x:row r="976">
      <x:c r="A976" t="str">
        <x:v>ST-976</x:v>
      </x:c>
      <x:c r="B976" t="str">
        <x:v>Interview</x:v>
      </x:c>
      <x:c r="C976" t="str">
        <x:v>World Model</x:v>
      </x:c>
      <x:c r="D976" t="str">
        <x:v>World Models / Predictive Intelligence</x:v>
      </x:c>
      <x:c r="E976" t="str">
        <x:v>World Models; Spatial Intelligence; Predictive Learning; Generative Models</x:v>
      </x:c>
      <x:c r="F976" t="str">
        <x:v>English</x:v>
      </x:c>
      <x:c r="G976" t="str">
        <x:v>Using AI to Increase Your Intelligence &amp; Enrich Humanity | Dr. Fei-Fei Li</x:v>
      </x:c>
      <x:c r="H976" t="str">
        <x:v>Fei-Fei Li</x:v>
      </x:c>
      <x:c r="I976" t="str">
        <x:v>Andrew Huberman</x:v>
      </x:c>
      <x:c r="J976" t="str">
        <x:v>In-depth Interview</x:v>
      </x:c>
      <x:c r="K976" s="148" t="n">
        <x:v>128</x:v>
      </x:c>
      <x:c r="L976" t="str">
        <x:v>https://www.youtube.com/watch?v=N5AQFYtqx8Q</x:v>
      </x:c>
      <x:c r="M976" t="str">
        <x:v>YouTube</x:v>
      </x:c>
      <x:c r="N976" s="150" t="n">
        <x:v>117489</x:v>
      </x:c>
      <x:c r="O976" t="str">
        <x:v>B | University / Conference / Institution</x:v>
      </x:c>
      <x:c r="P976" t="str">
        <x:v>Recommended</x:v>
      </x:c>
      <x:c r="Q976" t="str">
        <x:v>Verified</x:v>
      </x:c>
      <x:c r="R976" s="142" t="n">
        <x:v>46258</x:v>
      </x:c>
      <x:c r="S976" t="str">
        <x:v>Curated for the 2026-08-24 ScholarTube weekly update; recent public metadata and canonical video URL verified.</x:v>
      </x:c>
      <x:c r="T976" t="str">
        <x:v>N5AQFYtqx8Q</x:v>
      </x:c>
      <x:c r="U976" t="str"/>
      <x:c r="V976" s="148"/>
      <x:c r="W976" t="str"/>
    </x:row>
    <x:row r="977">
      <x:c r="A977" t="str">
        <x:v>ST-977</x:v>
      </x:c>
      <x:c r="B977" t="str">
        <x:v>Course</x:v>
      </x:c>
      <x:c r="C977" t="str">
        <x:v>Robotics</x:v>
      </x:c>
      <x:c r="D977" t="str">
        <x:v>Robotics / Embodied AI</x:v>
      </x:c>
      <x:c r="E977" t="str">
        <x:v>Robotics; Embodied AI; Robot Learning; Vision-Language-Action Models</x:v>
      </x:c>
      <x:c r="F977" t="str">
        <x:v>English</x:v>
      </x:c>
      <x:c r="G977" t="str">
        <x:v>Robot World Models Workshop | RSS 2026</x:v>
      </x:c>
      <x:c r="H977" t="str">
        <x:v>RSS 2026 workshop speakers</x:v>
      </x:c>
      <x:c r="I977" t="str">
        <x:v>Robot Learning Freiburg</x:v>
      </x:c>
      <x:c r="J977" t="str">
        <x:v>Technical Tutorial</x:v>
      </x:c>
      <x:c r="K977" s="148" t="n">
        <x:v>167</x:v>
      </x:c>
      <x:c r="L977" t="str">
        <x:v>https://www.youtube.com/watch?v=Gds0-mXypTw</x:v>
      </x:c>
      <x:c r="M977" t="str">
        <x:v>YouTube</x:v>
      </x:c>
      <x:c r="N977" s="150" t="n">
        <x:v>9160</x:v>
      </x:c>
      <x:c r="O977" t="str">
        <x:v>A | Official / Original Creator / Organizer</x:v>
      </x:c>
      <x:c r="P977" t="str">
        <x:v>Core</x:v>
      </x:c>
      <x:c r="Q977" t="str">
        <x:v>Verified</x:v>
      </x:c>
      <x:c r="R977" s="142" t="n">
        <x:v>46258</x:v>
      </x:c>
      <x:c r="S977" t="str">
        <x:v>Curated for the 2026-08-24 ScholarTube weekly update; recent public metadata and canonical video URL verified.</x:v>
      </x:c>
      <x:c r="T977" t="str">
        <x:v>Gds0-mXypTw</x:v>
      </x:c>
      <x:c r="U977" t="str"/>
      <x:c r="V977" s="148"/>
      <x:c r="W977" t="str"/>
    </x:row>
    <x:row r="978">
      <x:c r="A978" t="str">
        <x:v>ST-978</x:v>
      </x:c>
      <x:c r="B978" t="str">
        <x:v>Course</x:v>
      </x:c>
      <x:c r="C978" t="str">
        <x:v>Agent</x:v>
      </x:c>
      <x:c r="D978" t="str">
        <x:v>Agents / Tool Use / Reasoning</x:v>
      </x:c>
      <x:c r="E978" t="str">
        <x:v>Agents; Tool Use; Reasoning; Large Language Models; Agentic Systems</x:v>
      </x:c>
      <x:c r="F978" t="str">
        <x:v>English</x:v>
      </x:c>
      <x:c r="G978" t="str">
        <x:v>AI Agents For Beginners – OpenClaw Case Study</x:v>
      </x:c>
      <x:c r="H978" t="str">
        <x:v>freeCodeCamp instructor</x:v>
      </x:c>
      <x:c r="I978" t="str">
        <x:v>freeCodeCamp.org</x:v>
      </x:c>
      <x:c r="J978" t="str">
        <x:v>Technical Tutorial</x:v>
      </x:c>
      <x:c r="K978" s="148" t="n">
        <x:v>186</x:v>
      </x:c>
      <x:c r="L978" t="str">
        <x:v>https://www.youtube.com/watch?v=AZDSpS5v57w</x:v>
      </x:c>
      <x:c r="M978" t="str">
        <x:v>YouTube</x:v>
      </x:c>
      <x:c r="N978" s="150" t="n">
        <x:v>100870</x:v>
      </x:c>
      <x:c r="O978" t="str">
        <x:v>A | Official / Original Creator / Organizer</x:v>
      </x:c>
      <x:c r="P978" t="str">
        <x:v>Core</x:v>
      </x:c>
      <x:c r="Q978" t="str">
        <x:v>Verified</x:v>
      </x:c>
      <x:c r="R978" s="142" t="n">
        <x:v>46258</x:v>
      </x:c>
      <x:c r="S978" t="str">
        <x:v>Curated for the 2026-08-24 ScholarTube weekly update; recent public metadata and canonical video URL verified.</x:v>
      </x:c>
      <x:c r="T978" t="str">
        <x:v>AZDSpS5v57w</x:v>
      </x:c>
      <x:c r="U978" t="str"/>
      <x:c r="V978" s="148"/>
      <x:c r="W978" t="str"/>
    </x:row>
    <x:row r="979">
      <x:c r="A979" t="str">
        <x:v>ST-979</x:v>
      </x:c>
      <x:c r="B979" t="str">
        <x:v>Talk</x:v>
      </x:c>
      <x:c r="C979" t="str">
        <x:v>Agent</x:v>
      </x:c>
      <x:c r="D979" t="str">
        <x:v>Agents / Tool Use / Reasoning</x:v>
      </x:c>
      <x:c r="E979" t="str">
        <x:v>Agents; Tool Use; Reasoning; Large Language Models; Agentic Systems</x:v>
      </x:c>
      <x:c r="F979" t="str">
        <x:v>English</x:v>
      </x:c>
      <x:c r="G979" t="str">
        <x:v>Agentic AI Frameworks Explained: Workflows, Multi-Agent, &amp; Production</x:v>
      </x:c>
      <x:c r="H979" t="str">
        <x:v>IBM Technology</x:v>
      </x:c>
      <x:c r="I979" t="str">
        <x:v>IBM Technology</x:v>
      </x:c>
      <x:c r="J979" t="str">
        <x:v>Research Talk</x:v>
      </x:c>
      <x:c r="K979" s="148" t="n">
        <x:v>12</x:v>
      </x:c>
      <x:c r="L979" t="str">
        <x:v>https://www.youtube.com/watch?v=ZVPlLaehjLk</x:v>
      </x:c>
      <x:c r="M979" t="str">
        <x:v>YouTube</x:v>
      </x:c>
      <x:c r="N979" s="150" t="n">
        <x:v>49548</x:v>
      </x:c>
      <x:c r="O979" t="str">
        <x:v>A | Official / Original Creator / Organizer</x:v>
      </x:c>
      <x:c r="P979" t="str">
        <x:v>Core</x:v>
      </x:c>
      <x:c r="Q979" t="str">
        <x:v>Verified</x:v>
      </x:c>
      <x:c r="R979" s="142" t="n">
        <x:v>46258</x:v>
      </x:c>
      <x:c r="S979" t="str">
        <x:v>Curated for the 2026-08-24 ScholarTube weekly update; recent public metadata and canonical video URL verified.</x:v>
      </x:c>
      <x:c r="T979" t="str">
        <x:v>ZVPlLaehjLk</x:v>
      </x:c>
      <x:c r="U979" t="str"/>
      <x:c r="V979" s="148"/>
      <x:c r="W979" t="str"/>
    </x:row>
    <x:row r="980">
      <x:c r="A980" t="str">
        <x:v>ST-980</x:v>
      </x:c>
      <x:c r="B980" t="str">
        <x:v>Talk</x:v>
      </x:c>
      <x:c r="C980" t="str">
        <x:v>World Model</x:v>
      </x:c>
      <x:c r="D980" t="str">
        <x:v>World Models / Predictive Intelligence</x:v>
      </x:c>
      <x:c r="E980" t="str">
        <x:v>World Models; Spatial Intelligence; Predictive Learning; Generative Models</x:v>
      </x:c>
      <x:c r="F980" t="str">
        <x:v>English</x:v>
      </x:c>
      <x:c r="G980" t="str">
        <x:v>Addressable Memory for Video World Models</x:v>
      </x:c>
      <x:c r="H980" t="str">
        <x:v>CosmoX researchers</x:v>
      </x:c>
      <x:c r="I980" t="str">
        <x:v>CosmoX</x:v>
      </x:c>
      <x:c r="J980" t="str">
        <x:v>Research Talk</x:v>
      </x:c>
      <x:c r="K980" s="148" t="n">
        <x:v>8</x:v>
      </x:c>
      <x:c r="L980" t="str">
        <x:v>https://www.youtube.com/watch?v=wiCK0JHA97E</x:v>
      </x:c>
      <x:c r="M980" t="str">
        <x:v>YouTube</x:v>
      </x:c>
      <x:c r="N980" s="150" t="n">
        <x:v>40</x:v>
      </x:c>
      <x:c r="O980" t="str">
        <x:v>B | University / Conference / Institution</x:v>
      </x:c>
      <x:c r="P980" t="str">
        <x:v>Recommended</x:v>
      </x:c>
      <x:c r="Q980" t="str">
        <x:v>Verified</x:v>
      </x:c>
      <x:c r="R980" s="142" t="n">
        <x:v>46258</x:v>
      </x:c>
      <x:c r="S980" t="str">
        <x:v>Curated for the 2026-08-24 ScholarTube weekly update; recent public metadata and canonical video URL verified.</x:v>
      </x:c>
      <x:c r="T980" t="str">
        <x:v>wiCK0JHA97E</x:v>
      </x:c>
      <x:c r="U980" t="str"/>
      <x:c r="V980" s="148"/>
      <x:c r="W980" t="str"/>
    </x:row>
    <x:row r="981">
      <x:c r="A981" t="str">
        <x:v>ST-981</x:v>
      </x:c>
      <x:c r="B981" t="str">
        <x:v>Interview</x:v>
      </x:c>
      <x:c r="C981" t="str">
        <x:v>World Model</x:v>
      </x:c>
      <x:c r="D981" t="str">
        <x:v>World Models / Predictive Intelligence</x:v>
      </x:c>
      <x:c r="E981" t="str">
        <x:v>World Models; Spatial Intelligence; Predictive Learning; Generative Models</x:v>
      </x:c>
      <x:c r="F981" t="str">
        <x:v>English</x:v>
      </x:c>
      <x:c r="G981" t="str">
        <x:v>World Labs' Fei-Fei Li on Creating Large World Models</x:v>
      </x:c>
      <x:c r="H981" t="str">
        <x:v>Fei-Fei Li</x:v>
      </x:c>
      <x:c r="I981" t="str">
        <x:v>Bloomberg Live</x:v>
      </x:c>
      <x:c r="J981" t="str">
        <x:v>In-depth Interview</x:v>
      </x:c>
      <x:c r="K981" s="148" t="n">
        <x:v>18</x:v>
      </x:c>
      <x:c r="L981" t="str">
        <x:v>https://www.youtube.com/watch?v=pNYVckbCFuk</x:v>
      </x:c>
      <x:c r="M981" t="str">
        <x:v>YouTube</x:v>
      </x:c>
      <x:c r="N981" s="150" t="n">
        <x:v>78745</x:v>
      </x:c>
      <x:c r="O981" t="str">
        <x:v>A | Official / Original Creator / Organizer</x:v>
      </x:c>
      <x:c r="P981" t="str">
        <x:v>Core</x:v>
      </x:c>
      <x:c r="Q981" t="str">
        <x:v>Verified</x:v>
      </x:c>
      <x:c r="R981" s="142" t="n">
        <x:v>46258</x:v>
      </x:c>
      <x:c r="S981" t="str">
        <x:v>Curated for the 2026-08-24 ScholarTube weekly update; recent public metadata and canonical video URL verified.</x:v>
      </x:c>
      <x:c r="T981" t="str">
        <x:v>pNYVckbCFuk</x:v>
      </x:c>
      <x:c r="U981" t="str"/>
      <x:c r="V981" s="148"/>
      <x:c r="W981" t="str"/>
    </x:row>
    <x:row r="982">
      <x:c r="A982" t="str">
        <x:v>ST-982</x:v>
      </x:c>
      <x:c r="B982" t="str">
        <x:v>Talk</x:v>
      </x:c>
      <x:c r="C982" t="str">
        <x:v>Agent</x:v>
      </x:c>
      <x:c r="D982" t="str">
        <x:v>Agents / Tool Use / Reasoning</x:v>
      </x:c>
      <x:c r="E982" t="str">
        <x:v>Agents; Tool Use; Reasoning; Large Language Models; Agentic Systems</x:v>
      </x:c>
      <x:c r="F982" t="str">
        <x:v>English</x:v>
      </x:c>
      <x:c r="G982" t="str">
        <x:v>AI in the SDLC: Rethinking AI Coding Tools &amp; AI Agents</x:v>
      </x:c>
      <x:c r="H982" t="str">
        <x:v>IBM Technology and IBM Developer</x:v>
      </x:c>
      <x:c r="I982" t="str">
        <x:v>IBM Technology</x:v>
      </x:c>
      <x:c r="J982" t="str">
        <x:v>Research Talk</x:v>
      </x:c>
      <x:c r="K982" s="148" t="n">
        <x:v>9</x:v>
      </x:c>
      <x:c r="L982" t="str">
        <x:v>https://www.youtube.com/watch?v=4wMRXmLpdA8</x:v>
      </x:c>
      <x:c r="M982" t="str">
        <x:v>YouTube</x:v>
      </x:c>
      <x:c r="N982" s="150" t="n">
        <x:v>111351</x:v>
      </x:c>
      <x:c r="O982" t="str">
        <x:v>A | Official / Original Creator / Organizer</x:v>
      </x:c>
      <x:c r="P982" t="str">
        <x:v>Core</x:v>
      </x:c>
      <x:c r="Q982" t="str">
        <x:v>Verified</x:v>
      </x:c>
      <x:c r="R982" s="142" t="n">
        <x:v>46258</x:v>
      </x:c>
      <x:c r="S982" t="str">
        <x:v>Curated for the 2026-08-24 ScholarTube weekly update; recent public metadata and canonical video URL verified.</x:v>
      </x:c>
      <x:c r="T982" t="str">
        <x:v>4wMRXmLpdA8</x:v>
      </x:c>
      <x:c r="U982" t="str"/>
      <x:c r="V982" s="148"/>
      <x:c r="W982" t="str"/>
    </x:row>
    <x:row r="983">
      <x:c r="A983" t="str">
        <x:v>ST-983</x:v>
      </x:c>
      <x:c r="B983" t="str">
        <x:v>Interview</x:v>
      </x:c>
      <x:c r="C983" t="str">
        <x:v>World Model</x:v>
      </x:c>
      <x:c r="D983" t="str">
        <x:v>World Models / Predictive Intelligence</x:v>
      </x:c>
      <x:c r="E983" t="str">
        <x:v>World Models; Spatial Intelligence; Predictive Learning; Generative Models</x:v>
      </x:c>
      <x:c r="F983" t="str">
        <x:v>English</x:v>
      </x:c>
      <x:c r="G983" t="str">
        <x:v>Jürgen Schmidhuber  -  World Models, RL, and the Year that changed AI (Part 1)</x:v>
      </x:c>
      <x:c r="H983" t="str">
        <x:v>Jürgen Schmidhuber</x:v>
      </x:c>
      <x:c r="I983" t="str">
        <x:v>The Information Bottleneck</x:v>
      </x:c>
      <x:c r="J983" t="str">
        <x:v>In-depth Interview</x:v>
      </x:c>
      <x:c r="K983" s="148" t="n">
        <x:v>98</x:v>
      </x:c>
      <x:c r="L983" t="str">
        <x:v>https://www.youtube.com/watch?v=UUq4ixTmye8</x:v>
      </x:c>
      <x:c r="M983" t="str">
        <x:v>YouTube</x:v>
      </x:c>
      <x:c r="N983" s="150" t="n">
        <x:v>2710</x:v>
      </x:c>
      <x:c r="O983" t="str">
        <x:v>B | University / Conference / Institution</x:v>
      </x:c>
      <x:c r="P983" t="str">
        <x:v>Recommended</x:v>
      </x:c>
      <x:c r="Q983" t="str">
        <x:v>Verified</x:v>
      </x:c>
      <x:c r="R983" s="142" t="n">
        <x:v>46258</x:v>
      </x:c>
      <x:c r="S983" t="str">
        <x:v>Curated for the 2026-08-24 ScholarTube weekly update; recent public metadata and canonical video URL verified.</x:v>
      </x:c>
      <x:c r="T983" t="str">
        <x:v>UUq4ixTmye8</x:v>
      </x:c>
      <x:c r="U983" t="str"/>
      <x:c r="V983" s="148"/>
      <x:c r="W983" t="str"/>
    </x:row>
    <x:row r="984">
      <x:c r="A984" t="str">
        <x:v>ST-984</x:v>
      </x:c>
      <x:c r="B984" t="str">
        <x:v>Talk</x:v>
      </x:c>
      <x:c r="C984" t="str">
        <x:v>World Model</x:v>
      </x:c>
      <x:c r="D984" t="str">
        <x:v>World Models / Predictive Intelligence</x:v>
      </x:c>
      <x:c r="E984" t="str">
        <x:v>World Models; Spatial Intelligence; Predictive Learning; Generative Models</x:v>
      </x:c>
      <x:c r="F984" t="str">
        <x:v>English</x:v>
      </x:c>
      <x:c r="G984" t="str">
        <x:v>Kashyap Chitta: World Models: The Next Frontier of Motion Prediction</x:v>
      </x:c>
      <x:c r="H984" t="str">
        <x:v>Kashyap Chitta</x:v>
      </x:c>
      <x:c r="I984" t="str">
        <x:v>Motion Prediction</x:v>
      </x:c>
      <x:c r="J984" t="str">
        <x:v>Research Talk</x:v>
      </x:c>
      <x:c r="K984" s="148" t="n">
        <x:v>36</x:v>
      </x:c>
      <x:c r="L984" t="str">
        <x:v>https://www.youtube.com/watch?v=sxlhnZpyhH8</x:v>
      </x:c>
      <x:c r="M984" t="str">
        <x:v>YouTube</x:v>
      </x:c>
      <x:c r="N984" s="150" t="n">
        <x:v>386</x:v>
      </x:c>
      <x:c r="O984" t="str">
        <x:v>B | University / Conference / Institution</x:v>
      </x:c>
      <x:c r="P984" t="str">
        <x:v>Recommended</x:v>
      </x:c>
      <x:c r="Q984" t="str">
        <x:v>Verified</x:v>
      </x:c>
      <x:c r="R984" s="142" t="n">
        <x:v>46258</x:v>
      </x:c>
      <x:c r="S984" t="str">
        <x:v>Curated for the 2026-08-24 ScholarTube weekly update; recent public metadata and canonical video URL verified.</x:v>
      </x:c>
      <x:c r="T984" t="str">
        <x:v>sxlhnZpyhH8</x:v>
      </x:c>
      <x:c r="U984" t="str"/>
      <x:c r="V984" s="148"/>
      <x:c r="W984" t="str"/>
    </x:row>
    <x:row r="985">
      <x:c r="A985" t="str">
        <x:v>ST-985</x:v>
      </x:c>
      <x:c r="B985" t="str">
        <x:v>Talk</x:v>
      </x:c>
      <x:c r="C985" t="str">
        <x:v>World Model</x:v>
      </x:c>
      <x:c r="D985" t="str">
        <x:v>World Models / Predictive Intelligence</x:v>
      </x:c>
      <x:c r="E985" t="str">
        <x:v>World Models; Spatial Intelligence; Predictive Learning; Generative Models</x:v>
      </x:c>
      <x:c r="F985" t="str">
        <x:v>English</x:v>
      </x:c>
      <x:c r="G985" t="str">
        <x:v>World Models and the Emergence of a “First-Person” Perspective in an AI</x:v>
      </x:c>
      <x:c r="H985" t="str">
        <x:v>Simons Institute speakers</x:v>
      </x:c>
      <x:c r="I985" t="str">
        <x:v>Simons Institute for the Theory of Computing</x:v>
      </x:c>
      <x:c r="J985" t="str">
        <x:v>Research Talk</x:v>
      </x:c>
      <x:c r="K985" s="148" t="n">
        <x:v>38</x:v>
      </x:c>
      <x:c r="L985" t="str">
        <x:v>https://www.youtube.com/watch?v=2nQSoiC5VHs</x:v>
      </x:c>
      <x:c r="M985" t="str">
        <x:v>YouTube</x:v>
      </x:c>
      <x:c r="N985" s="150" t="n">
        <x:v>10791</x:v>
      </x:c>
      <x:c r="O985" t="str">
        <x:v>A | Official / Original Creator / Organizer</x:v>
      </x:c>
      <x:c r="P985" t="str">
        <x:v>Core</x:v>
      </x:c>
      <x:c r="Q985" t="str">
        <x:v>Verified</x:v>
      </x:c>
      <x:c r="R985" s="142" t="n">
        <x:v>46258</x:v>
      </x:c>
      <x:c r="S985" t="str">
        <x:v>Curated for the 2026-08-24 ScholarTube weekly update; recent public metadata and canonical video URL verified.</x:v>
      </x:c>
      <x:c r="T985" t="str">
        <x:v>2nQSoiC5VHs</x:v>
      </x:c>
      <x:c r="U985" t="str"/>
      <x:c r="V985" s="148"/>
      <x:c r="W985" t="str"/>
    </x:row>
    <x:row r="986">
      <x:c r="A986" t="str">
        <x:v>ST-986</x:v>
      </x:c>
      <x:c r="B986" t="str">
        <x:v>Talk</x:v>
      </x:c>
      <x:c r="C986" t="str">
        <x:v>Robotics</x:v>
      </x:c>
      <x:c r="D986" t="str">
        <x:v>Robotics / Embodied AI</x:v>
      </x:c>
      <x:c r="E986" t="str">
        <x:v>Robotics; Embodied AI; Robot Learning; Vision-Language-Action Models</x:v>
      </x:c>
      <x:c r="F986" t="str">
        <x:v>English</x:v>
      </x:c>
      <x:c r="G986" t="str">
        <x:v>Physical AI: World Models, VLAs, and the Robotics Endgame</x:v>
      </x:c>
      <x:c r="H986" t="str">
        <x:v>Physical AI panelists</x:v>
      </x:c>
      <x:c r="I986" t="str">
        <x:v>Rally SF</x:v>
      </x:c>
      <x:c r="J986" t="str">
        <x:v>Research Talk</x:v>
      </x:c>
      <x:c r="K986" s="148" t="n">
        <x:v>67</x:v>
      </x:c>
      <x:c r="L986" t="str">
        <x:v>https://www.youtube.com/watch?v=0Hk9CvTQ_P8</x:v>
      </x:c>
      <x:c r="M986" t="str">
        <x:v>YouTube</x:v>
      </x:c>
      <x:c r="N986" s="150" t="n">
        <x:v>396</x:v>
      </x:c>
      <x:c r="O986" t="str">
        <x:v>B | University / Conference / Institution</x:v>
      </x:c>
      <x:c r="P986" t="str">
        <x:v>Recommended</x:v>
      </x:c>
      <x:c r="Q986" t="str">
        <x:v>Verified</x:v>
      </x:c>
      <x:c r="R986" s="142" t="n">
        <x:v>46258</x:v>
      </x:c>
      <x:c r="S986" t="str">
        <x:v>Curated for the 2026-08-24 ScholarTube weekly update; recent public metadata and canonical video URL verified.</x:v>
      </x:c>
      <x:c r="T986" t="str">
        <x:v>0Hk9CvTQ_P8</x:v>
      </x:c>
      <x:c r="U986" t="str"/>
      <x:c r="V986" s="148"/>
      <x:c r="W986" t="str"/>
    </x:row>
    <x:row r="987">
      <x:c r="A987" t="str">
        <x:v>ST-987</x:v>
      </x:c>
      <x:c r="B987" t="str">
        <x:v>Talk</x:v>
      </x:c>
      <x:c r="C987" t="str">
        <x:v>World Model</x:v>
      </x:c>
      <x:c r="D987" t="str">
        <x:v>World Models / Predictive Intelligence</x:v>
      </x:c>
      <x:c r="E987" t="str">
        <x:v>World Models; Spatial Intelligence; Predictive Learning; Generative Models</x:v>
      </x:c>
      <x:c r="F987" t="str">
        <x:v>English</x:v>
      </x:c>
      <x:c r="G987" t="str">
        <x:v>Do AI Systems Have World Models? Probing Reasoning, Forecasting, and Generalization</x:v>
      </x:c>
      <x:c r="H987" t="str">
        <x:v>Simons Institute speakers</x:v>
      </x:c>
      <x:c r="I987" t="str">
        <x:v>Simons Institute for the Theory of Computing</x:v>
      </x:c>
      <x:c r="J987" t="str">
        <x:v>Research Talk</x:v>
      </x:c>
      <x:c r="K987" s="148" t="n">
        <x:v>34</x:v>
      </x:c>
      <x:c r="L987" t="str">
        <x:v>https://www.youtube.com/watch?v=SEaupdMccc4</x:v>
      </x:c>
      <x:c r="M987" t="str">
        <x:v>YouTube</x:v>
      </x:c>
      <x:c r="N987" s="150" t="n">
        <x:v>3044</x:v>
      </x:c>
      <x:c r="O987" t="str">
        <x:v>A | Official / Original Creator / Organizer</x:v>
      </x:c>
      <x:c r="P987" t="str">
        <x:v>Core</x:v>
      </x:c>
      <x:c r="Q987" t="str">
        <x:v>Verified</x:v>
      </x:c>
      <x:c r="R987" s="142" t="n">
        <x:v>46258</x:v>
      </x:c>
      <x:c r="S987" t="str">
        <x:v>Curated for the 2026-08-24 ScholarTube weekly update; recent public metadata and canonical video URL verified.</x:v>
      </x:c>
      <x:c r="T987" t="str">
        <x:v>SEaupdMccc4</x:v>
      </x:c>
      <x:c r="U987" t="str"/>
      <x:c r="V987" s="148"/>
      <x:c r="W987" t="str"/>
    </x:row>
    <x:row r="988">
      <x:c r="A988" t="str">
        <x:v>ST-988</x:v>
      </x:c>
      <x:c r="B988" t="str">
        <x:v>Interview</x:v>
      </x:c>
      <x:c r="C988" t="str">
        <x:v>World Model</x:v>
      </x:c>
      <x:c r="D988" t="str">
        <x:v>World Models / Predictive Intelligence</x:v>
      </x:c>
      <x:c r="E988" t="str">
        <x:v>World Models; Spatial Intelligence; Predictive Learning; Generative Models</x:v>
      </x:c>
      <x:c r="F988" t="str">
        <x:v>English</x:v>
      </x:c>
      <x:c r="G988" t="str">
        <x:v>Gemini Co-Lead on World Models, RL's Next Domains &amp; Continual Learning</x:v>
      </x:c>
      <x:c r="H988" t="str">
        <x:v>Gemini world-model lead</x:v>
      </x:c>
      <x:c r="I988" t="str">
        <x:v>Unsupervised Learning: With Jacob Effron</x:v>
      </x:c>
      <x:c r="J988" t="str">
        <x:v>In-depth Interview</x:v>
      </x:c>
      <x:c r="K988" s="148" t="n">
        <x:v>60</x:v>
      </x:c>
      <x:c r="L988" t="str">
        <x:v>https://www.youtube.com/watch?v=NQczevdpxq0</x:v>
      </x:c>
      <x:c r="M988" t="str">
        <x:v>YouTube</x:v>
      </x:c>
      <x:c r="N988" s="150" t="n">
        <x:v>17604</x:v>
      </x:c>
      <x:c r="O988" t="str">
        <x:v>B | University / Conference / Institution</x:v>
      </x:c>
      <x:c r="P988" t="str">
        <x:v>Recommended</x:v>
      </x:c>
      <x:c r="Q988" t="str">
        <x:v>Verified</x:v>
      </x:c>
      <x:c r="R988" s="142" t="n">
        <x:v>46258</x:v>
      </x:c>
      <x:c r="S988" t="str">
        <x:v>Curated for the 2026-08-24 ScholarTube weekly update; recent public metadata and canonical video URL verified.</x:v>
      </x:c>
      <x:c r="T988" t="str">
        <x:v>NQczevdpxq0</x:v>
      </x:c>
      <x:c r="U988" t="str"/>
      <x:c r="V988" s="148"/>
      <x:c r="W988" t="str"/>
    </x:row>
    <x:row r="989">
      <x:c r="A989" t="str">
        <x:v>ST-989</x:v>
      </x:c>
      <x:c r="B989" t="str">
        <x:v>Talk</x:v>
      </x:c>
      <x:c r="C989" t="str">
        <x:v>Agent</x:v>
      </x:c>
      <x:c r="D989" t="str">
        <x:v>Agents / Tool Use / Reasoning</x:v>
      </x:c>
      <x:c r="E989" t="str">
        <x:v>Agents; Tool Use; Reasoning; Large Language Models; Agentic Systems</x:v>
      </x:c>
      <x:c r="F989" t="str">
        <x:v>English</x:v>
      </x:c>
      <x:c r="G989" t="str">
        <x:v>RAG's Evolution: From Simple Retrieval to Agentic AI</x:v>
      </x:c>
      <x:c r="H989" t="str">
        <x:v>IBM Technology</x:v>
      </x:c>
      <x:c r="I989" t="str">
        <x:v>IBM Technology</x:v>
      </x:c>
      <x:c r="J989" t="str">
        <x:v>Research Talk</x:v>
      </x:c>
      <x:c r="K989" s="148" t="n">
        <x:v>9</x:v>
      </x:c>
      <x:c r="L989" t="str">
        <x:v>https://www.youtube.com/watch?v=JB2P5Gk23VI</x:v>
      </x:c>
      <x:c r="M989" t="str">
        <x:v>YouTube</x:v>
      </x:c>
      <x:c r="N989" s="150" t="n">
        <x:v>145980</x:v>
      </x:c>
      <x:c r="O989" t="str">
        <x:v>A | Official / Original Creator / Organizer</x:v>
      </x:c>
      <x:c r="P989" t="str">
        <x:v>Core</x:v>
      </x:c>
      <x:c r="Q989" t="str">
        <x:v>Verified</x:v>
      </x:c>
      <x:c r="R989" s="142" t="n">
        <x:v>46258</x:v>
      </x:c>
      <x:c r="S989" t="str">
        <x:v>Curated for the 2026-08-24 ScholarTube weekly update; recent public metadata and canonical video URL verified.</x:v>
      </x:c>
      <x:c r="T989" t="str">
        <x:v>JB2P5Gk23VI</x:v>
      </x:c>
      <x:c r="U989" t="str"/>
      <x:c r="V989" s="148"/>
      <x:c r="W989" t="str"/>
    </x:row>
    <x:row r="990">
      <x:c r="A990" t="str">
        <x:v>ST-990</x:v>
      </x:c>
      <x:c r="B990" t="str">
        <x:v>Talk</x:v>
      </x:c>
      <x:c r="C990" t="str">
        <x:v>Vision</x:v>
      </x:c>
      <x:c r="D990" t="str">
        <x:v>Computer Vision / 3D Vision</x:v>
      </x:c>
      <x:c r="E990" t="str">
        <x:v>Computer Vision; 3D Vision; Multimodal Learning; Generative Models</x:v>
      </x:c>
      <x:c r="F990" t="str">
        <x:v>English</x:v>
      </x:c>
      <x:c r="G990" t="str">
        <x:v>Kai Han: Taming Foundation Models for Spatial Intelligence</x:v>
      </x:c>
      <x:c r="H990" t="str">
        <x:v>Kai Han</x:v>
      </x:c>
      <x:c r="I990" t="str">
        <x:v>KUIS AI</x:v>
      </x:c>
      <x:c r="J990" t="str">
        <x:v>Research Talk</x:v>
      </x:c>
      <x:c r="K990" s="148" t="n">
        <x:v>54</x:v>
      </x:c>
      <x:c r="L990" t="str">
        <x:v>https://www.youtube.com/watch?v=gjqDf1Kn4bY</x:v>
      </x:c>
      <x:c r="M990" t="str">
        <x:v>YouTube</x:v>
      </x:c>
      <x:c r="N990" s="150" t="n">
        <x:v>47</x:v>
      </x:c>
      <x:c r="O990" t="str">
        <x:v>A | Official / Original Creator / Organizer</x:v>
      </x:c>
      <x:c r="P990" t="str">
        <x:v>Core</x:v>
      </x:c>
      <x:c r="Q990" t="str">
        <x:v>Verified</x:v>
      </x:c>
      <x:c r="R990" s="142" t="n">
        <x:v>46258</x:v>
      </x:c>
      <x:c r="S990" t="str">
        <x:v>Curated for the 2026-08-24 ScholarTube weekly update; recent public metadata and canonical video URL verified.</x:v>
      </x:c>
      <x:c r="T990" t="str">
        <x:v>gjqDf1Kn4bY</x:v>
      </x:c>
      <x:c r="U990" t="str"/>
      <x:c r="V990" s="148"/>
      <x:c r="W990" t="str"/>
    </x:row>
    <x:row r="991">
      <x:c r="A991" t="str">
        <x:v>ST-991</x:v>
      </x:c>
      <x:c r="B991" t="str">
        <x:v>Talk</x:v>
      </x:c>
      <x:c r="C991" t="str">
        <x:v>World Model</x:v>
      </x:c>
      <x:c r="D991" t="str">
        <x:v>World Models / Predictive Intelligence</x:v>
      </x:c>
      <x:c r="E991" t="str">
        <x:v>World Models; Spatial Intelligence; Predictive Learning; Generative Models</x:v>
      </x:c>
      <x:c r="F991" t="str">
        <x:v>English</x:v>
      </x:c>
      <x:c r="G991" t="str">
        <x:v>[MTS] World Models &amp; General Agents: The Journey from Video Games to Frontier AI</x:v>
      </x:c>
      <x:c r="H991" t="str">
        <x:v>General Intuition researchers</x:v>
      </x:c>
      <x:c r="I991" t="str">
        <x:v>General Intuition</x:v>
      </x:c>
      <x:c r="J991" t="str">
        <x:v>Research Talk</x:v>
      </x:c>
      <x:c r="K991" s="148" t="n">
        <x:v>12</x:v>
      </x:c>
      <x:c r="L991" t="str">
        <x:v>https://www.youtube.com/watch?v=z34F4XhEKGU</x:v>
      </x:c>
      <x:c r="M991" t="str">
        <x:v>YouTube</x:v>
      </x:c>
      <x:c r="N991" s="150" t="n">
        <x:v>489</x:v>
      </x:c>
      <x:c r="O991" t="str">
        <x:v>B | University / Conference / Institution</x:v>
      </x:c>
      <x:c r="P991" t="str">
        <x:v>Recommended</x:v>
      </x:c>
      <x:c r="Q991" t="str">
        <x:v>Verified</x:v>
      </x:c>
      <x:c r="R991" s="142" t="n">
        <x:v>46258</x:v>
      </x:c>
      <x:c r="S991" t="str">
        <x:v>Curated for the 2026-08-24 ScholarTube weekly update; recent public metadata and canonical video URL verified.</x:v>
      </x:c>
      <x:c r="T991" t="str">
        <x:v>z34F4XhEKGU</x:v>
      </x:c>
      <x:c r="U991" t="str"/>
      <x:c r="V991" s="148"/>
      <x:c r="W991" t="str"/>
    </x:row>
    <x:row r="992">
      <x:c r="A992" t="str">
        <x:v>ST-992</x:v>
      </x:c>
      <x:c r="B992" t="str">
        <x:v>Course</x:v>
      </x:c>
      <x:c r="C992" t="str">
        <x:v>Agent</x:v>
      </x:c>
      <x:c r="D992" t="str">
        <x:v>Agents / Tool Use / Reasoning</x:v>
      </x:c>
      <x:c r="E992" t="str">
        <x:v>Agents; Tool Use; Reasoning; Large Language Models; Agentic Systems</x:v>
      </x:c>
      <x:c r="F992" t="str">
        <x:v>English</x:v>
      </x:c>
      <x:c r="G992" t="str">
        <x:v>System Design for AI Agents – Building a Multi-Agent PR Reviewer</x:v>
      </x:c>
      <x:c r="H992" t="str">
        <x:v>freeCodeCamp instructor</x:v>
      </x:c>
      <x:c r="I992" t="str">
        <x:v>freeCodeCamp.org</x:v>
      </x:c>
      <x:c r="J992" t="str">
        <x:v>Technical Tutorial</x:v>
      </x:c>
      <x:c r="K992" s="148" t="n">
        <x:v>191</x:v>
      </x:c>
      <x:c r="L992" t="str">
        <x:v>https://www.youtube.com/watch?v=iqRcGCah0Kw</x:v>
      </x:c>
      <x:c r="M992" t="str">
        <x:v>YouTube</x:v>
      </x:c>
      <x:c r="N992" s="150" t="n">
        <x:v>41189</x:v>
      </x:c>
      <x:c r="O992" t="str">
        <x:v>A | Official / Original Creator / Organizer</x:v>
      </x:c>
      <x:c r="P992" t="str">
        <x:v>Core</x:v>
      </x:c>
      <x:c r="Q992" t="str">
        <x:v>Verified</x:v>
      </x:c>
      <x:c r="R992" s="142" t="n">
        <x:v>46258</x:v>
      </x:c>
      <x:c r="S992" t="str">
        <x:v>Curated for the 2026-08-24 ScholarTube weekly update; recent public metadata and canonical video URL verified.</x:v>
      </x:c>
      <x:c r="T992" t="str">
        <x:v>iqRcGCah0Kw</x:v>
      </x:c>
      <x:c r="U992" t="str"/>
      <x:c r="V992" s="148"/>
      <x:c r="W992" t="str"/>
    </x:row>
    <x:row r="993">
      <x:c r="A993" t="str">
        <x:v>ST-993</x:v>
      </x:c>
      <x:c r="B993" t="str">
        <x:v>Course</x:v>
      </x:c>
      <x:c r="C993" t="str">
        <x:v>Vision</x:v>
      </x:c>
      <x:c r="D993" t="str">
        <x:v>Computer Vision / 3D Vision</x:v>
      </x:c>
      <x:c r="E993" t="str">
        <x:v>Computer Vision; 3D Vision; Multimodal Learning; Generative Models</x:v>
      </x:c>
      <x:c r="F993" t="str">
        <x:v>English</x:v>
      </x:c>
      <x:c r="G993" t="str">
        <x:v>ML Summer School 2026 - Computer Vision Fundamentals with Vivian White and Yash Mali</x:v>
      </x:c>
      <x:c r="H993" t="str">
        <x:v>Vivian White and Yash Mali</x:v>
      </x:c>
      <x:c r="I993" t="str">
        <x:v>Cohere</x:v>
      </x:c>
      <x:c r="J993" t="str">
        <x:v>Technical Tutorial</x:v>
      </x:c>
      <x:c r="K993" s="148" t="n">
        <x:v>52</x:v>
      </x:c>
      <x:c r="L993" t="str">
        <x:v>https://www.youtube.com/watch?v=1XBTAgjdoRE</x:v>
      </x:c>
      <x:c r="M993" t="str">
        <x:v>YouTube</x:v>
      </x:c>
      <x:c r="N993" s="150" t="n">
        <x:v>3862</x:v>
      </x:c>
      <x:c r="O993" t="str">
        <x:v>A | Official / Original Creator / Organizer</x:v>
      </x:c>
      <x:c r="P993" t="str">
        <x:v>Core</x:v>
      </x:c>
      <x:c r="Q993" t="str">
        <x:v>Verified</x:v>
      </x:c>
      <x:c r="R993" s="142" t="n">
        <x:v>46258</x:v>
      </x:c>
      <x:c r="S993" t="str">
        <x:v>Curated for the 2026-08-24 ScholarTube weekly update; recent public metadata and canonical video URL verified.</x:v>
      </x:c>
      <x:c r="T993" t="str">
        <x:v>1XBTAgjdoRE</x:v>
      </x:c>
      <x:c r="U993" t="str"/>
      <x:c r="V993" s="148"/>
      <x:c r="W993" t="str"/>
    </x:row>
    <x:row r="994">
      <x:c r="A994" t="str">
        <x:v>ST-994</x:v>
      </x:c>
      <x:c r="B994" t="str">
        <x:v>Course</x:v>
      </x:c>
      <x:c r="C994" t="str">
        <x:v>Vision</x:v>
      </x:c>
      <x:c r="D994" t="str">
        <x:v>Computer Vision / 3D Vision</x:v>
      </x:c>
      <x:c r="E994" t="str">
        <x:v>Computer Vision; 3D Vision; Multimodal Learning; Generative Models</x:v>
      </x:c>
      <x:c r="F994" t="str">
        <x:v>English</x:v>
      </x:c>
      <x:c r="G994" t="str">
        <x:v>Learn Modern Computer Vision in 2026: From Basics to Advanced</x:v>
      </x:c>
      <x:c r="H994" t="str">
        <x:v>Murtaza Hassan</x:v>
      </x:c>
      <x:c r="I994" t="str">
        <x:v>Murtaza's Workshop - Robotics and AI</x:v>
      </x:c>
      <x:c r="J994" t="str">
        <x:v>Technical Tutorial</x:v>
      </x:c>
      <x:c r="K994" s="148" t="n">
        <x:v>156</x:v>
      </x:c>
      <x:c r="L994" t="str">
        <x:v>https://www.youtube.com/watch?v=E_zUoHGcxRE</x:v>
      </x:c>
      <x:c r="M994" t="str">
        <x:v>YouTube</x:v>
      </x:c>
      <x:c r="N994" s="150" t="n">
        <x:v>19054</x:v>
      </x:c>
      <x:c r="O994" t="str">
        <x:v>B | University / Conference / Institution</x:v>
      </x:c>
      <x:c r="P994" t="str">
        <x:v>Recommended</x:v>
      </x:c>
      <x:c r="Q994" t="str">
        <x:v>Verified</x:v>
      </x:c>
      <x:c r="R994" s="142" t="n">
        <x:v>46258</x:v>
      </x:c>
      <x:c r="S994" t="str">
        <x:v>Curated for the 2026-08-24 ScholarTube weekly update; recent public metadata and canonical video URL verified.</x:v>
      </x:c>
      <x:c r="T994" t="str">
        <x:v>E_zUoHGcxRE</x:v>
      </x:c>
      <x:c r="U994" t="str"/>
      <x:c r="V994" s="148"/>
      <x:c r="W994" t="str"/>
    </x:row>
    <x:row r="995">
      <x:c r="A995" t="str">
        <x:v>ST-995</x:v>
      </x:c>
      <x:c r="B995" t="str">
        <x:v>Talk</x:v>
      </x:c>
      <x:c r="C995" t="str">
        <x:v>Vision</x:v>
      </x:c>
      <x:c r="D995" t="str">
        <x:v>Computer Vision / 3D Vision</x:v>
      </x:c>
      <x:c r="E995" t="str">
        <x:v>Computer Vision; 3D Vision; Multimodal Learning; Generative Models</x:v>
      </x:c>
      <x:c r="F995" t="str">
        <x:v>English</x:v>
      </x:c>
      <x:c r="G995" t="str">
        <x:v>AI, Computer Vision &amp; Sensor Fusion: Ramy Patrai | CV Conference 2026</x:v>
      </x:c>
      <x:c r="H995" t="str">
        <x:v>Ramy Patrai</x:v>
      </x:c>
      <x:c r="I995" t="str">
        <x:v>SAIConference</x:v>
      </x:c>
      <x:c r="J995" t="str">
        <x:v>Research Talk</x:v>
      </x:c>
      <x:c r="K995" s="148" t="n">
        <x:v>8</x:v>
      </x:c>
      <x:c r="L995" t="str">
        <x:v>https://www.youtube.com/watch?v=tF4_fdvwyBo</x:v>
      </x:c>
      <x:c r="M995" t="str">
        <x:v>YouTube</x:v>
      </x:c>
      <x:c r="N995" s="150" t="n">
        <x:v>78</x:v>
      </x:c>
      <x:c r="O995" t="str">
        <x:v>B | University / Conference / Institution</x:v>
      </x:c>
      <x:c r="P995" t="str">
        <x:v>Recommended</x:v>
      </x:c>
      <x:c r="Q995" t="str">
        <x:v>Verified</x:v>
      </x:c>
      <x:c r="R995" s="142" t="n">
        <x:v>46258</x:v>
      </x:c>
      <x:c r="S995" t="str">
        <x:v>Curated for the 2026-08-24 ScholarTube weekly update; recent public metadata and canonical video URL verified.</x:v>
      </x:c>
      <x:c r="T995" t="str">
        <x:v>tF4_fdvwyBo</x:v>
      </x:c>
      <x:c r="U995" t="str"/>
      <x:c r="V995" s="148"/>
      <x:c r="W995" t="str"/>
    </x:row>
    <x:row r="996">
      <x:c r="A996" t="str">
        <x:v>ST-996</x:v>
      </x:c>
      <x:c r="B996" t="str">
        <x:v>Talk</x:v>
      </x:c>
      <x:c r="C996" t="str">
        <x:v>Vision</x:v>
      </x:c>
      <x:c r="D996" t="str">
        <x:v>Computer Vision / 3D Vision</x:v>
      </x:c>
      <x:c r="E996" t="str">
        <x:v>Computer Vision; 3D Vision; Multimodal Learning; Generative Models</x:v>
      </x:c>
      <x:c r="F996" t="str">
        <x:v>English</x:v>
      </x:c>
      <x:c r="G996" t="str">
        <x:v>Vision on the Fly: Computer Vision On The Web by Aaron Riedel - CVCC 2026</x:v>
      </x:c>
      <x:c r="H996" t="str">
        <x:v>Aaron Riedel</x:v>
      </x:c>
      <x:c r="I996" t="str">
        <x:v>ChippewaValleyDeveloperGroup</x:v>
      </x:c>
      <x:c r="J996" t="str">
        <x:v>Research Talk</x:v>
      </x:c>
      <x:c r="K996" s="148" t="n">
        <x:v>29</x:v>
      </x:c>
      <x:c r="L996" t="str">
        <x:v>https://www.youtube.com/watch?v=eAWLuuOHAqY</x:v>
      </x:c>
      <x:c r="M996" t="str">
        <x:v>YouTube</x:v>
      </x:c>
      <x:c r="N996" s="150" t="n">
        <x:v>4</x:v>
      </x:c>
      <x:c r="O996" t="str">
        <x:v>B | University / Conference / Institution</x:v>
      </x:c>
      <x:c r="P996" t="str">
        <x:v>Recommended</x:v>
      </x:c>
      <x:c r="Q996" t="str">
        <x:v>Verified</x:v>
      </x:c>
      <x:c r="R996" s="142" t="n">
        <x:v>46258</x:v>
      </x:c>
      <x:c r="S996" t="str">
        <x:v>Curated for the 2026-08-24 ScholarTube weekly update; recent public metadata and canonical video URL verified.</x:v>
      </x:c>
      <x:c r="T996" t="str">
        <x:v>eAWLuuOHAqY</x:v>
      </x:c>
      <x:c r="U996" t="str"/>
      <x:c r="V996" s="148"/>
      <x:c r="W996" t="str"/>
    </x:row>
    <x:row r="997">
      <x:c r="A997" t="str">
        <x:v>ST-997</x:v>
      </x:c>
      <x:c r="B997" t="str">
        <x:v>Course</x:v>
      </x:c>
      <x:c r="C997" t="str">
        <x:v>Agent</x:v>
      </x:c>
      <x:c r="D997" t="str">
        <x:v>Agents / Tool Use / Reasoning</x:v>
      </x:c>
      <x:c r="E997" t="str">
        <x:v>Agents; Tool Use; Reasoning; Large Language Models; Agentic Systems</x:v>
      </x:c>
      <x:c r="F997" t="str">
        <x:v>English</x:v>
      </x:c>
      <x:c r="G997" t="str">
        <x:v>Agent AI System Design Explained in 27 Minutes</x:v>
      </x:c>
      <x:c r="H997" t="str">
        <x:v>Aishwarya Srinivasan</x:v>
      </x:c>
      <x:c r="I997" t="str">
        <x:v>Aishwarya Srinivasan</x:v>
      </x:c>
      <x:c r="J997" t="str">
        <x:v>Technical Tutorial</x:v>
      </x:c>
      <x:c r="K997" s="148" t="n">
        <x:v>27</x:v>
      </x:c>
      <x:c r="L997" t="str">
        <x:v>https://www.youtube.com/watch?v=mwN75EiGfCE</x:v>
      </x:c>
      <x:c r="M997" t="str">
        <x:v>YouTube</x:v>
      </x:c>
      <x:c r="N997" s="150" t="n">
        <x:v>129999</x:v>
      </x:c>
      <x:c r="O997" t="str">
        <x:v>B | University / Conference / Institution</x:v>
      </x:c>
      <x:c r="P997" t="str">
        <x:v>Recommended</x:v>
      </x:c>
      <x:c r="Q997" t="str">
        <x:v>Verified</x:v>
      </x:c>
      <x:c r="R997" s="142" t="n">
        <x:v>46258</x:v>
      </x:c>
      <x:c r="S997" t="str">
        <x:v>Curated for the 2026-08-24 ScholarTube weekly update; recent public metadata and canonical video URL verified.</x:v>
      </x:c>
      <x:c r="T997" t="str">
        <x:v>mwN75EiGfCE</x:v>
      </x:c>
      <x:c r="U997" t="str"/>
      <x:c r="V997" s="148"/>
      <x:c r="W997" t="str"/>
    </x:row>
    <x:row r="998">
      <x:c r="A998" t="str">
        <x:v>ST-998</x:v>
      </x:c>
      <x:c r="B998" t="str">
        <x:v>Course</x:v>
      </x:c>
      <x:c r="C998" t="str">
        <x:v>Agent</x:v>
      </x:c>
      <x:c r="D998" t="str">
        <x:v>Agents / Tool Use / Reasoning</x:v>
      </x:c>
      <x:c r="E998" t="str">
        <x:v>Agents; Tool Use; Reasoning; Large Language Models; Agentic Systems</x:v>
      </x:c>
      <x:c r="F998" t="str">
        <x:v>English</x:v>
      </x:c>
      <x:c r="G998" t="str">
        <x:v>Agentic AI Explained: The Complete 2026 Guide</x:v>
      </x:c>
      <x:c r="H998" t="str">
        <x:v>Aishwarya Srinivasan</x:v>
      </x:c>
      <x:c r="I998" t="str">
        <x:v>Aishwarya Srinivasan</x:v>
      </x:c>
      <x:c r="J998" t="str">
        <x:v>Technical Tutorial</x:v>
      </x:c>
      <x:c r="K998" s="148" t="n">
        <x:v>30</x:v>
      </x:c>
      <x:c r="L998" t="str">
        <x:v>https://www.youtube.com/watch?v=vbKKQATMZ-0</x:v>
      </x:c>
      <x:c r="M998" t="str">
        <x:v>YouTube</x:v>
      </x:c>
      <x:c r="N998" s="150" t="n">
        <x:v>117971</x:v>
      </x:c>
      <x:c r="O998" t="str">
        <x:v>B | University / Conference / Institution</x:v>
      </x:c>
      <x:c r="P998" t="str">
        <x:v>Recommended</x:v>
      </x:c>
      <x:c r="Q998" t="str">
        <x:v>Verified</x:v>
      </x:c>
      <x:c r="R998" s="142" t="n">
        <x:v>46258</x:v>
      </x:c>
      <x:c r="S998" t="str">
        <x:v>Curated for the 2026-08-24 ScholarTube weekly update; recent public metadata and canonical video URL verified.</x:v>
      </x:c>
      <x:c r="T998" t="str">
        <x:v>vbKKQATMZ-0</x:v>
      </x:c>
      <x:c r="U998" t="str"/>
      <x:c r="V998" s="148"/>
      <x:c r="W998" t="str"/>
    </x:row>
    <x:row r="999">
      <x:c r="A999" t="str">
        <x:v>ST-999</x:v>
      </x:c>
      <x:c r="B999" t="str">
        <x:v>Course</x:v>
      </x:c>
      <x:c r="C999" t="str">
        <x:v>Agent</x:v>
      </x:c>
      <x:c r="D999" t="str">
        <x:v>Agents / Tool Use / Reasoning</x:v>
      </x:c>
      <x:c r="E999" t="str">
        <x:v>Agents; Tool Use; Reasoning; Large Language Models; Agentic Systems</x:v>
      </x:c>
      <x:c r="F999" t="str">
        <x:v>English</x:v>
      </x:c>
      <x:c r="G999" t="str">
        <x:v>The Best LOCAL Agentic Coding Workflow (Complete Guide)</x:v>
      </x:c>
      <x:c r="H999" t="str">
        <x:v>Tim Ruscica</x:v>
      </x:c>
      <x:c r="I999" t="str">
        <x:v>Tech With Tim</x:v>
      </x:c>
      <x:c r="J999" t="str">
        <x:v>Technical Tutorial</x:v>
      </x:c>
      <x:c r="K999" s="148" t="n">
        <x:v>34</x:v>
      </x:c>
      <x:c r="L999" t="str">
        <x:v>https://www.youtube.com/watch?v=hfba9dAT6xE</x:v>
      </x:c>
      <x:c r="M999" t="str">
        <x:v>YouTube</x:v>
      </x:c>
      <x:c r="N999" s="150" t="n">
        <x:v>184918</x:v>
      </x:c>
      <x:c r="O999" t="str">
        <x:v>B | University / Conference / Institution</x:v>
      </x:c>
      <x:c r="P999" t="str">
        <x:v>Recommended</x:v>
      </x:c>
      <x:c r="Q999" t="str">
        <x:v>Verified</x:v>
      </x:c>
      <x:c r="R999" s="142" t="n">
        <x:v>46258</x:v>
      </x:c>
      <x:c r="S999" t="str">
        <x:v>Curated for the 2026-08-24 ScholarTube weekly update; recent public metadata and canonical video URL verified.</x:v>
      </x:c>
      <x:c r="T999" t="str">
        <x:v>hfba9dAT6xE</x:v>
      </x:c>
      <x:c r="U999" t="str"/>
      <x:c r="V999" s="148"/>
      <x:c r="W999" t="str"/>
    </x:row>
    <x:row r="1000">
      <x:c r="A1000" t="str">
        <x:v>ST-1000</x:v>
      </x:c>
      <x:c r="B1000" t="str">
        <x:v>Talk</x:v>
      </x:c>
      <x:c r="C1000" t="str">
        <x:v>Agent</x:v>
      </x:c>
      <x:c r="D1000" t="str">
        <x:v>Agents / Tool Use / Reasoning</x:v>
      </x:c>
      <x:c r="E1000" t="str">
        <x:v>Agents; Tool Use; Reasoning; Large Language Models; Agentic Systems</x:v>
      </x:c>
      <x:c r="F1000" t="str">
        <x:v>English</x:v>
      </x:c>
      <x:c r="G1000" t="str">
        <x:v>Where AI Is Heading In 2026- Generative AI, Agentic AI, LLM Gateways,Guardrails,Evals, LLM Caching</x:v>
      </x:c>
      <x:c r="H1000" t="str">
        <x:v>Krish Naik</x:v>
      </x:c>
      <x:c r="I1000" t="str">
        <x:v>Krish Naik</x:v>
      </x:c>
      <x:c r="J1000" t="str">
        <x:v>Research Talk</x:v>
      </x:c>
      <x:c r="K1000" s="148" t="n">
        <x:v>40</x:v>
      </x:c>
      <x:c r="L1000" t="str">
        <x:v>https://www.youtube.com/watch?v=sxArcCI9YsM</x:v>
      </x:c>
      <x:c r="M1000" t="str">
        <x:v>YouTube</x:v>
      </x:c>
      <x:c r="N1000" s="150" t="n">
        <x:v>53617</x:v>
      </x:c>
      <x:c r="O1000" t="str">
        <x:v>B | University / Conference / Institution</x:v>
      </x:c>
      <x:c r="P1000" t="str">
        <x:v>Recommended</x:v>
      </x:c>
      <x:c r="Q1000" t="str">
        <x:v>Verified</x:v>
      </x:c>
      <x:c r="R1000" s="142" t="n">
        <x:v>46258</x:v>
      </x:c>
      <x:c r="S1000" t="str">
        <x:v>Curated for the 2026-08-24 ScholarTube weekly update; recent public metadata and canonical video URL verified.</x:v>
      </x:c>
      <x:c r="T1000" t="str">
        <x:v>sxArcCI9YsM</x:v>
      </x:c>
      <x:c r="U1000" t="str"/>
      <x:c r="V1000" s="148"/>
      <x:c r="W1000" t="str"/>
    </x:row>
    <x:row r="1001">
      <x:c r="A1001" t="str">
        <x:v>ST-1001</x:v>
      </x:c>
      <x:c r="B1001" t="str">
        <x:v>Interview</x:v>
      </x:c>
      <x:c r="C1001" t="str">
        <x:v>World Model</x:v>
      </x:c>
      <x:c r="D1001" t="str">
        <x:v>World Models / Predictive Intelligence</x:v>
      </x:c>
      <x:c r="E1001" t="str">
        <x:v>World Models; Spatial Intelligence; Predictive Learning; Generative Models</x:v>
      </x:c>
      <x:c r="F1001" t="str">
        <x:v>Chinese</x:v>
      </x:c>
      <x:c r="G1001" t="str">
        <x:v>中金机器人播客 #13 | 池晓威：从语言智能到空间智能，世界模型的数据革命</x:v>
      </x:c>
      <x:c r="H1001" t="str">
        <x:v>Chi Xiaowei</x:v>
      </x:c>
      <x:c r="I1001" t="str">
        <x:v>中金点睛</x:v>
      </x:c>
      <x:c r="J1001" t="str">
        <x:v>In-depth Interview</x:v>
      </x:c>
      <x:c r="K1001" s="148" t="n">
        <x:v>94</x:v>
      </x:c>
      <x:c r="L1001" t="str">
        <x:v>https://www.bilibili.com/video/BV1eq8z6LET9</x:v>
      </x:c>
      <x:c r="M1001" t="str">
        <x:v>Bilibili</x:v>
      </x:c>
      <x:c r="N1001" s="150" t="n">
        <x:v>349</x:v>
      </x:c>
      <x:c r="O1001" t="str">
        <x:v>A | Official / Original Creator / Organizer</x:v>
      </x:c>
      <x:c r="P1001" t="str">
        <x:v>Core</x:v>
      </x:c>
      <x:c r="Q1001" t="str">
        <x:v>Verified</x:v>
      </x:c>
      <x:c r="R1001" s="142" t="n">
        <x:v>46258</x:v>
      </x:c>
      <x:c r="S1001" t="str">
        <x:v>Curated for the 2026-08-24 ScholarTube weekly update; recent public metadata and canonical video URL verified.</x:v>
      </x:c>
      <x:c r="T1001" t="str">
        <x:v>BV1eq8z6LET9</x:v>
      </x:c>
      <x:c r="U1001" t="str"/>
      <x:c r="V1001" s="148"/>
      <x:c r="W1001" t="str"/>
    </x:row>
    <x:row r="1002">
      <x:c r="A1002" t="str">
        <x:v>ST-1002</x:v>
      </x:c>
      <x:c r="B1002" t="str">
        <x:v>Interview</x:v>
      </x:c>
      <x:c r="C1002" t="str">
        <x:v>World Model</x:v>
      </x:c>
      <x:c r="D1002" t="str">
        <x:v>World Models / Predictive Intelligence</x:v>
      </x:c>
      <x:c r="E1002" t="str">
        <x:v>World Models; Spatial Intelligence; Predictive Learning; Generative Models</x:v>
      </x:c>
      <x:c r="F1002" t="str">
        <x:v>Chinese</x:v>
      </x:c>
      <x:c r="G1002" t="str">
        <x:v>【中英双语】李飞飞正在攻克机器人领域最难的难题，探讨空间智能如何突破机器人学习的数据瓶颈 | a16z</x:v>
      </x:c>
      <x:c r="H1002" t="str">
        <x:v>Fei-Fei Li</x:v>
      </x:c>
      <x:c r="I1002" t="str">
        <x:v>名校课程-顶级中配</x:v>
      </x:c>
      <x:c r="J1002" t="str">
        <x:v>In-depth Interview</x:v>
      </x:c>
      <x:c r="K1002" s="148" t="n">
        <x:v>78</x:v>
      </x:c>
      <x:c r="L1002" t="str">
        <x:v>https://www.bilibili.com/video/BV1CYMR6mErJ</x:v>
      </x:c>
      <x:c r="M1002" t="str">
        <x:v>Bilibili</x:v>
      </x:c>
      <x:c r="N1002" s="150" t="n">
        <x:v>8080</x:v>
      </x:c>
      <x:c r="O1002" t="str">
        <x:v>B | University / Conference / Institution</x:v>
      </x:c>
      <x:c r="P1002" t="str">
        <x:v>Recommended</x:v>
      </x:c>
      <x:c r="Q1002" t="str">
        <x:v>Verified</x:v>
      </x:c>
      <x:c r="R1002" s="142" t="n">
        <x:v>46258</x:v>
      </x:c>
      <x:c r="S1002" t="str">
        <x:v>Curated for the 2026-08-24 ScholarTube weekly update; recent public metadata and canonical video URL verified.</x:v>
      </x:c>
      <x:c r="T1002" t="str">
        <x:v>BV1CYMR6mErJ</x:v>
      </x:c>
      <x:c r="U1002" t="str"/>
      <x:c r="V1002" s="148"/>
      <x:c r="W1002" t="str"/>
    </x:row>
    <x:row r="1003">
      <x:c r="A1003" t="str">
        <x:v>ST-1003</x:v>
      </x:c>
      <x:c r="B1003" t="str">
        <x:v>Talk</x:v>
      </x:c>
      <x:c r="C1003" t="str">
        <x:v>Agent</x:v>
      </x:c>
      <x:c r="D1003" t="str">
        <x:v>Agents / Tool Use / Reasoning</x:v>
      </x:c>
      <x:c r="E1003" t="str">
        <x:v>Agents; Tool Use; Reasoning; Large Language Models; Agentic Systems</x:v>
      </x:c>
      <x:c r="F1003" t="str">
        <x:v>Chinese</x:v>
      </x:c>
      <x:c r="G1003" t="str">
        <x:v>[多Agent规划] ICML26-EPC-AW：多智能体动作都对，为何仍会失败？计划出了问题</x:v>
      </x:c>
      <x:c r="H1003" t="str">
        <x:v>EPC-AW authors</x:v>
      </x:c>
      <x:c r="I1003" t="str">
        <x:v>Agent智能体深度研究院</x:v>
      </x:c>
      <x:c r="J1003" t="str">
        <x:v>Research Talk</x:v>
      </x:c>
      <x:c r="K1003" s="148" t="n">
        <x:v>10</x:v>
      </x:c>
      <x:c r="L1003" t="str">
        <x:v>https://www.bilibili.com/video/BV1nf8265EZ8</x:v>
      </x:c>
      <x:c r="M1003" t="str">
        <x:v>Bilibili</x:v>
      </x:c>
      <x:c r="N1003" s="150" t="n">
        <x:v>1066</x:v>
      </x:c>
      <x:c r="O1003" t="str">
        <x:v>B | University / Conference / Institution</x:v>
      </x:c>
      <x:c r="P1003" t="str">
        <x:v>Recommended</x:v>
      </x:c>
      <x:c r="Q1003" t="str">
        <x:v>Verified</x:v>
      </x:c>
      <x:c r="R1003" s="142" t="n">
        <x:v>46258</x:v>
      </x:c>
      <x:c r="S1003" t="str">
        <x:v>Curated for the 2026-08-24 ScholarTube weekly update; recent public metadata and canonical video URL verified.</x:v>
      </x:c>
      <x:c r="T1003" t="str">
        <x:v>BV1nf8265EZ8</x:v>
      </x:c>
      <x:c r="U1003" t="str"/>
      <x:c r="V1003" s="148"/>
      <x:c r="W1003" t="str"/>
    </x:row>
    <x:row r="1004">
      <x:c r="A1004" t="str">
        <x:v>ST-1004</x:v>
      </x:c>
      <x:c r="B1004" t="str">
        <x:v>Interview</x:v>
      </x:c>
      <x:c r="C1004" t="str">
        <x:v>Robotics</x:v>
      </x:c>
      <x:c r="D1004" t="str">
        <x:v>Robotics / Embodied AI</x:v>
      </x:c>
      <x:c r="E1004" t="str">
        <x:v>Robotics; Embodied AI; Robot Learning; Vision-Language-Action Models</x:v>
      </x:c>
      <x:c r="F1004" t="str">
        <x:v>Chinese</x:v>
      </x:c>
      <x:c r="G1004" t="str">
        <x:v>【WAIC 机器之心现场采访特辑】机器人进家庭，价格打到多少才会爆发？</x:v>
      </x:c>
      <x:c r="H1004" t="str">
        <x:v>WAIC 2026 guests</x:v>
      </x:c>
      <x:c r="I1004" t="str">
        <x:v>机器之心官方</x:v>
      </x:c>
      <x:c r="J1004" t="str">
        <x:v>In-depth Interview</x:v>
      </x:c>
      <x:c r="K1004" s="148" t="n">
        <x:v>13</x:v>
      </x:c>
      <x:c r="L1004" t="str">
        <x:v>https://www.bilibili.com/video/BV1dJMQ6fEKU</x:v>
      </x:c>
      <x:c r="M1004" t="str">
        <x:v>Bilibili</x:v>
      </x:c>
      <x:c r="N1004" s="150" t="n">
        <x:v>3426</x:v>
      </x:c>
      <x:c r="O1004" t="str">
        <x:v>A | Official / Original Creator / Organizer</x:v>
      </x:c>
      <x:c r="P1004" t="str">
        <x:v>Core</x:v>
      </x:c>
      <x:c r="Q1004" t="str">
        <x:v>Verified</x:v>
      </x:c>
      <x:c r="R1004" s="142" t="n">
        <x:v>46258</x:v>
      </x:c>
      <x:c r="S1004" t="str">
        <x:v>Curated for the 2026-08-24 ScholarTube weekly update; recent public metadata and canonical video URL verified.</x:v>
      </x:c>
      <x:c r="T1004" t="str">
        <x:v>BV1dJMQ6fEKU</x:v>
      </x:c>
      <x:c r="U1004" t="str"/>
      <x:c r="V1004" s="148"/>
      <x:c r="W1004" t="str"/>
    </x:row>
    <x:row r="1005">
      <x:c r="A1005" t="str">
        <x:v>ST-1005</x:v>
      </x:c>
      <x:c r="B1005" t="str">
        <x:v>Interview</x:v>
      </x:c>
      <x:c r="C1005" t="str">
        <x:v>Robotics</x:v>
      </x:c>
      <x:c r="D1005" t="str">
        <x:v>Robotics / Embodied AI</x:v>
      </x:c>
      <x:c r="E1005" t="str">
        <x:v>Robotics; Embodied AI; Robot Learning; Vision-Language-Action Models</x:v>
      </x:c>
      <x:c r="F1005" t="str">
        <x:v>Chinese</x:v>
      </x:c>
      <x:c r="G1005" t="str">
        <x:v>【WAIC 特别栏目｜AI·面对面】人形机器人3-5年进入家庭？真正的难点在底层</x:v>
      </x:c>
      <x:c r="H1005" t="str">
        <x:v>WAIC 2026 guests</x:v>
      </x:c>
      <x:c r="I1005" t="str">
        <x:v>机器之心官方</x:v>
      </x:c>
      <x:c r="J1005" t="str">
        <x:v>In-depth Interview</x:v>
      </x:c>
      <x:c r="K1005" s="148" t="n">
        <x:v>14</x:v>
      </x:c>
      <x:c r="L1005" t="str">
        <x:v>https://www.bilibili.com/video/BV1r63F6NE4i</x:v>
      </x:c>
      <x:c r="M1005" t="str">
        <x:v>Bilibili</x:v>
      </x:c>
      <x:c r="N1005" s="150" t="n">
        <x:v>3469</x:v>
      </x:c>
      <x:c r="O1005" t="str">
        <x:v>A | Official / Original Creator / Organizer</x:v>
      </x:c>
      <x:c r="P1005" t="str">
        <x:v>Core</x:v>
      </x:c>
      <x:c r="Q1005" t="str">
        <x:v>Verified</x:v>
      </x:c>
      <x:c r="R1005" s="142" t="n">
        <x:v>46258</x:v>
      </x:c>
      <x:c r="S1005" t="str">
        <x:v>Curated for the 2026-08-24 ScholarTube weekly update; recent public metadata and canonical video URL verified.</x:v>
      </x:c>
      <x:c r="T1005" t="str">
        <x:v>BV1r63F6NE4i</x:v>
      </x:c>
      <x:c r="U1005" t="str"/>
      <x:c r="V1005" s="148"/>
      <x:c r="W1005" t="str"/>
    </x:row>
    <x:row r="1006">
      <x:c r="A1006" t="str">
        <x:v>ST-1006</x:v>
      </x:c>
      <x:c r="B1006" t="str">
        <x:v>Talk</x:v>
      </x:c>
      <x:c r="C1006" t="str">
        <x:v>World Model</x:v>
      </x:c>
      <x:c r="D1006" t="str">
        <x:v>World Models / Predictive Intelligence</x:v>
      </x:c>
      <x:c r="E1006" t="str">
        <x:v>World Models; Spatial Intelligence; Predictive Learning; Generative Models</x:v>
      </x:c>
      <x:c r="F1006" t="str">
        <x:v>Chinese</x:v>
      </x:c>
      <x:c r="G1006" t="str">
        <x:v>AI视频正演变为世界模拟器 - Bilawal Sidhu - 中配</x:v>
      </x:c>
      <x:c r="H1006" t="str">
        <x:v>Bilawal Sidhu</x:v>
      </x:c>
      <x:c r="I1006" t="str">
        <x:v>旁白_B</x:v>
      </x:c>
      <x:c r="J1006" t="str">
        <x:v>Research Talk</x:v>
      </x:c>
      <x:c r="K1006" s="148" t="n">
        <x:v>16</x:v>
      </x:c>
      <x:c r="L1006" t="str">
        <x:v>https://www.bilibili.com/video/BV1gb8k6EEvW</x:v>
      </x:c>
      <x:c r="M1006" t="str">
        <x:v>Bilibili</x:v>
      </x:c>
      <x:c r="N1006" s="150" t="n">
        <x:v>331</x:v>
      </x:c>
      <x:c r="O1006" t="str">
        <x:v>B | University / Conference / Institution</x:v>
      </x:c>
      <x:c r="P1006" t="str">
        <x:v>Recommended</x:v>
      </x:c>
      <x:c r="Q1006" t="str">
        <x:v>Verified</x:v>
      </x:c>
      <x:c r="R1006" s="142" t="n">
        <x:v>46258</x:v>
      </x:c>
      <x:c r="S1006" t="str">
        <x:v>Curated for the 2026-08-24 ScholarTube weekly update; recent public metadata and canonical video URL verified.</x:v>
      </x:c>
      <x:c r="T1006" t="str">
        <x:v>BV1gb8k6EEvW</x:v>
      </x:c>
      <x:c r="U1006" t="str"/>
      <x:c r="V1006" s="148"/>
      <x:c r="W1006" t="str"/>
    </x:row>
    <x:row r="1007">
      <x:c r="A1007" t="str">
        <x:v>ST-1007</x:v>
      </x:c>
      <x:c r="B1007" t="str">
        <x:v>Talk</x:v>
      </x:c>
      <x:c r="C1007" t="str">
        <x:v>World Model</x:v>
      </x:c>
      <x:c r="D1007" t="str">
        <x:v>World Models / Predictive Intelligence</x:v>
      </x:c>
      <x:c r="E1007" t="str">
        <x:v>World Models; Spatial Intelligence; Predictive Learning; Generative Models</x:v>
      </x:c>
      <x:c r="F1007" t="str">
        <x:v>Chinese</x:v>
      </x:c>
      <x:c r="G1007" t="str">
        <x:v>实时交互视频：从“抽卡”生成到可编程新媒介 | AI Engineer</x:v>
      </x:c>
      <x:c r="H1007" t="str">
        <x:v>AI Engineer speakers</x:v>
      </x:c>
      <x:c r="I1007" t="str">
        <x:v>量子菠萝_</x:v>
      </x:c>
      <x:c r="J1007" t="str">
        <x:v>Research Talk</x:v>
      </x:c>
      <x:c r="K1007" s="148" t="n">
        <x:v>18</x:v>
      </x:c>
      <x:c r="L1007" t="str">
        <x:v>https://www.bilibili.com/video/BV1e98L6jEjH</x:v>
      </x:c>
      <x:c r="M1007" t="str">
        <x:v>Bilibili</x:v>
      </x:c>
      <x:c r="N1007" s="150" t="n">
        <x:v>154</x:v>
      </x:c>
      <x:c r="O1007" t="str">
        <x:v>B | University / Conference / Institution</x:v>
      </x:c>
      <x:c r="P1007" t="str">
        <x:v>Recommended</x:v>
      </x:c>
      <x:c r="Q1007" t="str">
        <x:v>Verified</x:v>
      </x:c>
      <x:c r="R1007" s="142" t="n">
        <x:v>46258</x:v>
      </x:c>
      <x:c r="S1007" t="str">
        <x:v>Curated for the 2026-08-24 ScholarTube weekly update; recent public metadata and canonical video URL verified.</x:v>
      </x:c>
      <x:c r="T1007" t="str">
        <x:v>BV1e98L6jEjH</x:v>
      </x:c>
      <x:c r="U1007" t="str"/>
      <x:c r="V1007" s="148"/>
      <x:c r="W1007" t="str"/>
    </x:row>
    <x:row r="1008">
      <x:c r="A1008" t="str">
        <x:v>ST-1008</x:v>
      </x:c>
      <x:c r="B1008" t="str">
        <x:v>Interview</x:v>
      </x:c>
      <x:c r="C1008" t="str">
        <x:v>Agent</x:v>
      </x:c>
      <x:c r="D1008" t="str">
        <x:v>Agents / Tool Use / Reasoning</x:v>
      </x:c>
      <x:c r="E1008" t="str">
        <x:v>Agents; Tool Use; Reasoning; Large Language Models; Agentic Systems</x:v>
      </x:c>
      <x:c r="F1008" t="str">
        <x:v>Chinese</x:v>
      </x:c>
      <x:c r="G1008" t="str">
        <x:v>【AI coding/Agent工作流】同时运行128个AI智能体：Cursor与Baseten对谈编码Agent的下一步</x:v>
      </x:c>
      <x:c r="H1008" t="str">
        <x:v>Cursor and Baseten teams</x:v>
      </x:c>
      <x:c r="I1008" t="str">
        <x:v>Gelai_AI</x:v>
      </x:c>
      <x:c r="J1008" t="str">
        <x:v>In-depth Interview</x:v>
      </x:c>
      <x:c r="K1008" s="148" t="n">
        <x:v>42</x:v>
      </x:c>
      <x:c r="L1008" t="str">
        <x:v>https://www.bilibili.com/video/BV1Maud6wE5B</x:v>
      </x:c>
      <x:c r="M1008" t="str">
        <x:v>Bilibili</x:v>
      </x:c>
      <x:c r="N1008" s="150" t="n">
        <x:v>360</x:v>
      </x:c>
      <x:c r="O1008" t="str">
        <x:v>B | University / Conference / Institution</x:v>
      </x:c>
      <x:c r="P1008" t="str">
        <x:v>Recommended</x:v>
      </x:c>
      <x:c r="Q1008" t="str">
        <x:v>Verified</x:v>
      </x:c>
      <x:c r="R1008" s="142" t="n">
        <x:v>46258</x:v>
      </x:c>
      <x:c r="S1008" t="str">
        <x:v>Curated for the 2026-08-24 ScholarTube weekly update; recent public metadata and canonical video URL verified.</x:v>
      </x:c>
      <x:c r="T1008" t="str">
        <x:v>BV1Maud6wE5B</x:v>
      </x:c>
      <x:c r="U1008" t="str"/>
      <x:c r="V1008" s="148"/>
      <x:c r="W1008" t="str"/>
    </x:row>
    <x:row r="1009">
      <x:c r="A1009" t="str">
        <x:v>ST-1009</x:v>
      </x:c>
      <x:c r="B1009" t="str">
        <x:v>Course</x:v>
      </x:c>
      <x:c r="C1009" t="str">
        <x:v>Agent</x:v>
      </x:c>
      <x:c r="D1009" t="str">
        <x:v>Agents / Tool Use / Reasoning</x:v>
      </x:c>
      <x:c r="E1009" t="str">
        <x:v>Agents; Tool Use; Reasoning; Large Language Models; Agentic Systems</x:v>
      </x:c>
      <x:c r="F1009" t="str">
        <x:v>Chinese</x:v>
      </x:c>
      <x:c r="G1009" t="str">
        <x:v>AI Agent 的正确打开方式:Skill、插件、模板库到底怎么玩？</x:v>
      </x:c>
      <x:c r="H1009" t="str">
        <x:v>Su</x:v>
      </x:c>
      <x:c r="I1009" t="str">
        <x:v>在下小苏</x:v>
      </x:c>
      <x:c r="J1009" t="str">
        <x:v>Technical Tutorial</x:v>
      </x:c>
      <x:c r="K1009" s="148" t="n">
        <x:v>14</x:v>
      </x:c>
      <x:c r="L1009" t="str">
        <x:v>https://www.bilibili.com/video/BV1Yku16CEzX</x:v>
      </x:c>
      <x:c r="M1009" t="str">
        <x:v>Bilibili</x:v>
      </x:c>
      <x:c r="N1009" s="150" t="n">
        <x:v>501661</x:v>
      </x:c>
      <x:c r="O1009" t="str">
        <x:v>B | University / Conference / Institution</x:v>
      </x:c>
      <x:c r="P1009" t="str">
        <x:v>Recommended</x:v>
      </x:c>
      <x:c r="Q1009" t="str">
        <x:v>Verified</x:v>
      </x:c>
      <x:c r="R1009" s="142" t="n">
        <x:v>46258</x:v>
      </x:c>
      <x:c r="S1009" t="str">
        <x:v>Curated for the 2026-08-24 ScholarTube weekly update; recent public metadata and canonical video URL verified.</x:v>
      </x:c>
      <x:c r="T1009" t="str">
        <x:v>BV1Yku16CEzX</x:v>
      </x:c>
      <x:c r="U1009" t="str"/>
      <x:c r="V1009" s="148"/>
      <x:c r="W1009" t="str"/>
    </x:row>
    <x:row r="1010">
      <x:c r="A1010" t="str">
        <x:v>ST-1010</x:v>
      </x:c>
      <x:c r="B1010" t="str">
        <x:v>Interview</x:v>
      </x:c>
      <x:c r="C1010" t="str">
        <x:v>Robotics</x:v>
      </x:c>
      <x:c r="D1010" t="str">
        <x:v>Robotics / Embodied AI</x:v>
      </x:c>
      <x:c r="E1010" t="str">
        <x:v>Robotics; Embodied AI; Robot Learning; Vision-Language-Action Models</x:v>
      </x:c>
      <x:c r="F1010" t="str">
        <x:v>Chinese</x:v>
      </x:c>
      <x:c r="G1010" t="str">
        <x:v>VLA已死，WM当立？世界人工智能大会WAIC2026智元具身圆桌：激辩“Scaling Law的物理墙”，预判机器人“ChatGPT时刻”</x:v>
      </x:c>
      <x:c r="H1010" t="str">
        <x:v>WAIC 2026 embodied-AI panelists</x:v>
      </x:c>
      <x:c r="I1010" t="str">
        <x:v>一袋芋头</x:v>
      </x:c>
      <x:c r="J1010" t="str">
        <x:v>In-depth Interview</x:v>
      </x:c>
      <x:c r="K1010" s="148" t="n">
        <x:v>42</x:v>
      </x:c>
      <x:c r="L1010" t="str">
        <x:v>https://www.bilibili.com/video/BV1xEus6zEUC</x:v>
      </x:c>
      <x:c r="M1010" t="str">
        <x:v>Bilibili</x:v>
      </x:c>
      <x:c r="N1010" s="150" t="n">
        <x:v>727</x:v>
      </x:c>
      <x:c r="O1010" t="str">
        <x:v>B | University / Conference / Institution</x:v>
      </x:c>
      <x:c r="P1010" t="str">
        <x:v>Recommended</x:v>
      </x:c>
      <x:c r="Q1010" t="str">
        <x:v>Verified</x:v>
      </x:c>
      <x:c r="R1010" s="142" t="n">
        <x:v>46258</x:v>
      </x:c>
      <x:c r="S1010" t="str">
        <x:v>Curated for the 2026-08-24 ScholarTube weekly update; recent public metadata and canonical video URL verified.</x:v>
      </x:c>
      <x:c r="T1010" t="str">
        <x:v>BV1xEus6zEUC</x:v>
      </x:c>
      <x:c r="U1010" t="str"/>
      <x:c r="V1010" s="148"/>
      <x:c r="W1010" t="str"/>
    </x:row>
    <x:row r="1011">
      <x:c r="A1011" t="str">
        <x:v>ST-1011</x:v>
      </x:c>
      <x:c r="B1011" t="str">
        <x:v>Interview</x:v>
      </x:c>
      <x:c r="C1011" t="str">
        <x:v>Agent</x:v>
      </x:c>
      <x:c r="D1011" t="str">
        <x:v>Agents / Tool Use / Reasoning</x:v>
      </x:c>
      <x:c r="E1011" t="str">
        <x:v>Agents; Tool Use; Reasoning; Large Language Models; Agentic Systems</x:v>
      </x:c>
      <x:c r="F1011" t="str">
        <x:v>Chinese</x:v>
      </x:c>
      <x:c r="G1011" t="str">
        <x:v>对话YouMind创始人玉伯：一句话说清楚的AI产品，基本死得差不多了</x:v>
      </x:c>
      <x:c r="H1011" t="str">
        <x:v>Yu Bo</x:v>
      </x:c>
      <x:c r="I1011" t="str">
        <x:v>尚晶聊财经</x:v>
      </x:c>
      <x:c r="J1011" t="str">
        <x:v>In-depth Interview</x:v>
      </x:c>
      <x:c r="K1011" s="148" t="n">
        <x:v>40</x:v>
      </x:c>
      <x:c r="L1011" t="str">
        <x:v>https://www.bilibili.com/video/BV17fM66eEQ2</x:v>
      </x:c>
      <x:c r="M1011" t="str">
        <x:v>Bilibili</x:v>
      </x:c>
      <x:c r="N1011" s="150" t="n">
        <x:v>284</x:v>
      </x:c>
      <x:c r="O1011" t="str">
        <x:v>B | University / Conference / Institution</x:v>
      </x:c>
      <x:c r="P1011" t="str">
        <x:v>Recommended</x:v>
      </x:c>
      <x:c r="Q1011" t="str">
        <x:v>Verified</x:v>
      </x:c>
      <x:c r="R1011" s="142" t="n">
        <x:v>46258</x:v>
      </x:c>
      <x:c r="S1011" t="str">
        <x:v>Curated for the 2026-08-24 ScholarTube weekly update; recent public metadata and canonical video URL verified.</x:v>
      </x:c>
      <x:c r="T1011" t="str">
        <x:v>BV17fM66eEQ2</x:v>
      </x:c>
      <x:c r="U1011" t="str"/>
      <x:c r="V1011" s="148"/>
      <x:c r="W1011" t="str"/>
    </x:row>
    <x:row r="1012">
      <x:c r="A1012" t="str">
        <x:v>ST-1012</x:v>
      </x:c>
      <x:c r="B1012" t="str">
        <x:v>Interview</x:v>
      </x:c>
      <x:c r="C1012" t="str">
        <x:v>Agent</x:v>
      </x:c>
      <x:c r="D1012" t="str">
        <x:v>Agents / Tool Use / Reasoning</x:v>
      </x:c>
      <x:c r="E1012" t="str">
        <x:v>Agents; Tool Use; Reasoning; Large Language Models; Agentic Systems</x:v>
      </x:c>
      <x:c r="F1012" t="str">
        <x:v>Chinese</x:v>
      </x:c>
      <x:c r="G1012" t="str">
        <x:v>对话盛颖：xAI，Infra的浪漫，SGLang，开源，平权与“甄嬛传”【101视频播客】</x:v>
      </x:c>
      <x:c r="H1012" t="str">
        <x:v>Sheng Ying</x:v>
      </x:c>
      <x:c r="I1012" t="str">
        <x:v>硅谷101</x:v>
      </x:c>
      <x:c r="J1012" t="str">
        <x:v>In-depth Interview</x:v>
      </x:c>
      <x:c r="K1012" s="148" t="n">
        <x:v>108</x:v>
      </x:c>
      <x:c r="L1012" t="str">
        <x:v>https://www.bilibili.com/video/BV1GaM968E6T</x:v>
      </x:c>
      <x:c r="M1012" t="str">
        <x:v>Bilibili</x:v>
      </x:c>
      <x:c r="N1012" s="150" t="n">
        <x:v>108950</x:v>
      </x:c>
      <x:c r="O1012" t="str">
        <x:v>B | University / Conference / Institution</x:v>
      </x:c>
      <x:c r="P1012" t="str">
        <x:v>Recommended</x:v>
      </x:c>
      <x:c r="Q1012" t="str">
        <x:v>Verified</x:v>
      </x:c>
      <x:c r="R1012" s="142" t="n">
        <x:v>46258</x:v>
      </x:c>
      <x:c r="S1012" t="str">
        <x:v>Curated for the 2026-08-24 ScholarTube weekly update; recent public metadata and canonical video URL verified.</x:v>
      </x:c>
      <x:c r="T1012" t="str">
        <x:v>BV1GaM968E6T</x:v>
      </x:c>
      <x:c r="U1012" t="str">
        <x:v>硅谷101｜AI Conversations</x:v>
      </x:c>
      <x:c r="V1012" s="148" t="n">
        <x:v>20260803</x:v>
      </x:c>
      <x:c r="W1012" t="str">
        <x:v>silicon-valley-101-ai-conversations</x:v>
      </x:c>
    </x:row>
    <x:row r="1013">
      <x:c r="A1013" t="str">
        <x:v>ST-1013</x:v>
      </x:c>
      <x:c r="B1013" t="str">
        <x:v>Talk</x:v>
      </x:c>
      <x:c r="C1013" t="str">
        <x:v>Agent</x:v>
      </x:c>
      <x:c r="D1013" t="str">
        <x:v>Agents / Tool Use / Reasoning</x:v>
      </x:c>
      <x:c r="E1013" t="str">
        <x:v>Agents; Tool Use; Reasoning; Large Language Models; Agentic Systems</x:v>
      </x:c>
      <x:c r="F1013" t="str">
        <x:v>Chinese</x:v>
      </x:c>
      <x:c r="G1013" t="str">
        <x:v>【4K完整版】强化学习之父理查德·萨顿WAIC 2026演讲</x:v>
      </x:c>
      <x:c r="H1013" t="str">
        <x:v>Richard Sutton</x:v>
      </x:c>
      <x:c r="I1013" t="str">
        <x:v>鹤若尘</x:v>
      </x:c>
      <x:c r="J1013" t="str">
        <x:v>Research Talk</x:v>
      </x:c>
      <x:c r="K1013" s="148" t="n">
        <x:v>47</x:v>
      </x:c>
      <x:c r="L1013" t="str">
        <x:v>https://www.bilibili.com/video/BV1qEgr6qEwc</x:v>
      </x:c>
      <x:c r="M1013" t="str">
        <x:v>Bilibili</x:v>
      </x:c>
      <x:c r="N1013" s="150" t="n">
        <x:v>1514</x:v>
      </x:c>
      <x:c r="O1013" t="str">
        <x:v>B | University / Conference / Institution</x:v>
      </x:c>
      <x:c r="P1013" t="str">
        <x:v>Recommended</x:v>
      </x:c>
      <x:c r="Q1013" t="str">
        <x:v>Verified</x:v>
      </x:c>
      <x:c r="R1013" s="142" t="n">
        <x:v>46258</x:v>
      </x:c>
      <x:c r="S1013" t="str">
        <x:v>Curated for the 2026-08-24 ScholarTube weekly update; recent public metadata and canonical video URL verified.</x:v>
      </x:c>
      <x:c r="T1013" t="str">
        <x:v>BV1qEgr6qEwc</x:v>
      </x:c>
      <x:c r="U1013" t="str"/>
      <x:c r="V1013" s="148"/>
      <x:c r="W1013" t="str"/>
    </x:row>
    <x:row r="1014">
      <x:c r="A1014" t="str">
        <x:v>ST-1014</x:v>
      </x:c>
      <x:c r="B1014" t="str">
        <x:v>Talk</x:v>
      </x:c>
      <x:c r="C1014" t="str">
        <x:v>Robotics</x:v>
      </x:c>
      <x:c r="D1014" t="str">
        <x:v>Robotics / Embodied AI</x:v>
      </x:c>
      <x:c r="E1014" t="str">
        <x:v>Robotics; Embodied AI; Robot Learning; Vision-Language-Action Models</x:v>
      </x:c>
      <x:c r="F1014" t="str">
        <x:v>Chinese</x:v>
      </x:c>
      <x:c r="G1014" t="str">
        <x:v>物理AI重塑智能制造论坛直播回放</x:v>
      </x:c>
      <x:c r="H1014" t="str">
        <x:v>Physical AI forum speakers</x:v>
      </x:c>
      <x:c r="I1014" t="str">
        <x:v>中国科学院工业智能所</x:v>
      </x:c>
      <x:c r="J1014" t="str">
        <x:v>Research Talk</x:v>
      </x:c>
      <x:c r="K1014" s="148" t="n">
        <x:v>227</x:v>
      </x:c>
      <x:c r="L1014" t="str">
        <x:v>https://www.bilibili.com/video/BV1q5KU6UEEK</x:v>
      </x:c>
      <x:c r="M1014" t="str">
        <x:v>Bilibili</x:v>
      </x:c>
      <x:c r="N1014" s="150" t="n">
        <x:v>1209</x:v>
      </x:c>
      <x:c r="O1014" t="str">
        <x:v>A | Official / Original Creator / Organizer</x:v>
      </x:c>
      <x:c r="P1014" t="str">
        <x:v>Core</x:v>
      </x:c>
      <x:c r="Q1014" t="str">
        <x:v>Verified</x:v>
      </x:c>
      <x:c r="R1014" s="142" t="n">
        <x:v>46258</x:v>
      </x:c>
      <x:c r="S1014" t="str">
        <x:v>Curated for the 2026-08-24 ScholarTube weekly update; recent public metadata and canonical video URL verified.</x:v>
      </x:c>
      <x:c r="T1014" t="str">
        <x:v>BV1q5KU6UEEK</x:v>
      </x:c>
      <x:c r="U1014" t="str"/>
      <x:c r="V1014" s="148"/>
      <x:c r="W1014" t="str"/>
    </x:row>
    <x:row r="1015">
      <x:c r="A1015" t="str">
        <x:v>ST-1015</x:v>
      </x:c>
      <x:c r="B1015" t="str">
        <x:v>Interview</x:v>
      </x:c>
      <x:c r="C1015" t="str">
        <x:v>Agent</x:v>
      </x:c>
      <x:c r="D1015" t="str">
        <x:v>Agents / Tool Use / Reasoning</x:v>
      </x:c>
      <x:c r="E1015" t="str">
        <x:v>Agents; Tool Use; Reasoning; Large Language Models; Agentic Systems</x:v>
      </x:c>
      <x:c r="F1015" t="str">
        <x:v>Chinese</x:v>
      </x:c>
      <x:c r="G1015" t="str">
        <x:v>大方之谈丨对话周伯文：一个AI科学家的世界观</x:v>
      </x:c>
      <x:c r="H1015" t="str">
        <x:v>Zhou Bowen</x:v>
      </x:c>
      <x:c r="I1015" t="str">
        <x:v>大方之谈</x:v>
      </x:c>
      <x:c r="J1015" t="str">
        <x:v>In-depth Interview</x:v>
      </x:c>
      <x:c r="K1015" s="148" t="n">
        <x:v>65</x:v>
      </x:c>
      <x:c r="L1015" t="str">
        <x:v>https://www.bilibili.com/video/BV1pvKJ6kEwL</x:v>
      </x:c>
      <x:c r="M1015" t="str">
        <x:v>Bilibili</x:v>
      </x:c>
      <x:c r="N1015" s="150" t="n">
        <x:v>6243</x:v>
      </x:c>
      <x:c r="O1015" t="str">
        <x:v>B | University / Conference / Institution</x:v>
      </x:c>
      <x:c r="P1015" t="str">
        <x:v>Recommended</x:v>
      </x:c>
      <x:c r="Q1015" t="str">
        <x:v>Verified</x:v>
      </x:c>
      <x:c r="R1015" s="142" t="n">
        <x:v>46258</x:v>
      </x:c>
      <x:c r="S1015" t="str">
        <x:v>Curated for the 2026-08-24 ScholarTube weekly update; recent public metadata and canonical video URL verified.</x:v>
      </x:c>
      <x:c r="T1015" t="str">
        <x:v>BV1pvKJ6kEwL</x:v>
      </x:c>
      <x:c r="U1015" t="str"/>
      <x:c r="V1015" s="148"/>
      <x:c r="W1015" t="str"/>
    </x:row>
    <x:row r="1016">
      <x:c r="A1016" t="str">
        <x:v>ST-1016</x:v>
      </x:c>
      <x:c r="B1016" t="str">
        <x:v>Course</x:v>
      </x:c>
      <x:c r="C1016" t="str">
        <x:v>World Model</x:v>
      </x:c>
      <x:c r="D1016" t="str">
        <x:v>World Models / Predictive Intelligence</x:v>
      </x:c>
      <x:c r="E1016" t="str">
        <x:v>World Models; Spatial Intelligence; Predictive Learning; Generative Models</x:v>
      </x:c>
      <x:c r="F1016" t="str">
        <x:v>Chinese</x:v>
      </x:c>
      <x:c r="G1016" t="str">
        <x:v>浙江大学X群核科技 | 空间智能课程：空间智能概念演化与前沿案例</x:v>
      </x:c>
      <x:c r="H1016" t="str">
        <x:v>Zhejiang University AI Education Center</x:v>
      </x:c>
      <x:c r="I1016" t="str">
        <x:v>浙江大学AI教研中心</x:v>
      </x:c>
      <x:c r="J1016" t="str">
        <x:v>Technical Tutorial</x:v>
      </x:c>
      <x:c r="K1016" s="148" t="n">
        <x:v>25</x:v>
      </x:c>
      <x:c r="L1016" t="str">
        <x:v>https://www.bilibili.com/video/BV1CfND6YE9w</x:v>
      </x:c>
      <x:c r="M1016" t="str">
        <x:v>Bilibili</x:v>
      </x:c>
      <x:c r="N1016" s="150" t="n">
        <x:v>553</x:v>
      </x:c>
      <x:c r="O1016" t="str">
        <x:v>A | Official / Original Creator / Organizer</x:v>
      </x:c>
      <x:c r="P1016" t="str">
        <x:v>Core</x:v>
      </x:c>
      <x:c r="Q1016" t="str">
        <x:v>Verified</x:v>
      </x:c>
      <x:c r="R1016" s="142" t="n">
        <x:v>46258</x:v>
      </x:c>
      <x:c r="S1016" t="str">
        <x:v>Curated for the 2026-08-24 ScholarTube weekly update; recent public metadata and canonical video URL verified.</x:v>
      </x:c>
      <x:c r="T1016" t="str">
        <x:v>BV1CfND6YE9w</x:v>
      </x:c>
      <x:c r="U1016" t="str"/>
      <x:c r="V1016" s="148"/>
      <x:c r="W1016" t="str"/>
    </x:row>
    <x:row r="1017">
      <x:c r="A1017" t="str">
        <x:v>ST-1017</x:v>
      </x:c>
      <x:c r="B1017" t="str">
        <x:v>Talk</x:v>
      </x:c>
      <x:c r="C1017" t="str">
        <x:v>Vision</x:v>
      </x:c>
      <x:c r="D1017" t="str">
        <x:v>Computer Vision / 3D Vision</x:v>
      </x:c>
      <x:c r="E1017" t="str">
        <x:v>Computer Vision; 3D Vision; Multimodal Learning; Generative Models</x:v>
      </x:c>
      <x:c r="F1017" t="str">
        <x:v>Chinese</x:v>
      </x:c>
      <x:c r="G1017" t="str">
        <x:v>中科院李阳：面向细粒度AI生成文本检测的“创作者-编辑者”双重建模</x:v>
      </x:c>
      <x:c r="H1017" t="str">
        <x:v>Li Yang</x:v>
      </x:c>
      <x:c r="I1017" t="str">
        <x:v>机器之心官方</x:v>
      </x:c>
      <x:c r="J1017" t="str">
        <x:v>Research Talk</x:v>
      </x:c>
      <x:c r="K1017" s="148" t="n">
        <x:v>16</x:v>
      </x:c>
      <x:c r="L1017" t="str">
        <x:v>https://www.bilibili.com/video/BV11dTk6nES9</x:v>
      </x:c>
      <x:c r="M1017" t="str">
        <x:v>Bilibili</x:v>
      </x:c>
      <x:c r="N1017" s="150" t="n">
        <x:v>160</x:v>
      </x:c>
      <x:c r="O1017" t="str">
        <x:v>A | Official / Original Creator / Organizer</x:v>
      </x:c>
      <x:c r="P1017" t="str">
        <x:v>Core</x:v>
      </x:c>
      <x:c r="Q1017" t="str">
        <x:v>Verified</x:v>
      </x:c>
      <x:c r="R1017" s="142" t="n">
        <x:v>46258</x:v>
      </x:c>
      <x:c r="S1017" t="str">
        <x:v>Curated for the 2026-08-24 ScholarTube weekly update; recent public metadata and canonical video URL verified.</x:v>
      </x:c>
      <x:c r="T1017" t="str">
        <x:v>BV11dTk6nES9</x:v>
      </x:c>
      <x:c r="U1017" t="str"/>
      <x:c r="V1017" s="148"/>
      <x:c r="W1017" t="str"/>
    </x:row>
    <x:row r="1018">
      <x:c r="A1018" t="str">
        <x:v>ST-1018</x:v>
      </x:c>
      <x:c r="B1018" t="str">
        <x:v>Interview</x:v>
      </x:c>
      <x:c r="C1018" t="str">
        <x:v>Robotics</x:v>
      </x:c>
      <x:c r="D1018" t="str">
        <x:v>Robotics / Embodied AI</x:v>
      </x:c>
      <x:c r="E1018" t="str">
        <x:v>Robotics; Embodied AI; Robot Learning; Vision-Language-Action Models</x:v>
      </x:c>
      <x:c r="F1018" t="str">
        <x:v>Chinese</x:v>
      </x:c>
      <x:c r="G1018" t="str">
        <x:v>2026北京智源大会圆桌讨论：王鹏伟x王鹤x罗剑岚x高阳x卢宗青行x穆尧x李弘扬x丁文超</x:v>
      </x:c>
      <x:c r="H1018" t="str">
        <x:v>BAAI 2026 roundtable panelists</x:v>
      </x:c>
      <x:c r="I1018" t="str">
        <x:v>穆尧在交大CS</x:v>
      </x:c>
      <x:c r="J1018" t="str">
        <x:v>In-depth Interview</x:v>
      </x:c>
      <x:c r="K1018" s="148" t="n">
        <x:v>67</x:v>
      </x:c>
      <x:c r="L1018" t="str">
        <x:v>https://www.bilibili.com/video/BV1jGjd68EVC</x:v>
      </x:c>
      <x:c r="M1018" t="str">
        <x:v>Bilibili</x:v>
      </x:c>
      <x:c r="N1018" s="150" t="n">
        <x:v>10139</x:v>
      </x:c>
      <x:c r="O1018" t="str">
        <x:v>B | University / Conference / Institution</x:v>
      </x:c>
      <x:c r="P1018" t="str">
        <x:v>Recommended</x:v>
      </x:c>
      <x:c r="Q1018" t="str">
        <x:v>Verified</x:v>
      </x:c>
      <x:c r="R1018" s="142" t="n">
        <x:v>46258</x:v>
      </x:c>
      <x:c r="S1018" t="str">
        <x:v>Curated for the 2026-08-24 ScholarTube weekly update; recent public metadata and canonical video URL verified.</x:v>
      </x:c>
      <x:c r="T1018" t="str">
        <x:v>BV1jGjd68EVC</x:v>
      </x:c>
      <x:c r="U1018" t="str"/>
      <x:c r="V1018" s="148"/>
      <x:c r="W1018" t="str"/>
    </x:row>
    <x:row r="1019">
      <x:c r="A1019" t="str">
        <x:v>ST-1019</x:v>
      </x:c>
      <x:c r="B1019" t="str">
        <x:v>Talk</x:v>
      </x:c>
      <x:c r="C1019" t="str">
        <x:v>World Model</x:v>
      </x:c>
      <x:c r="D1019" t="str">
        <x:v>World Models / Predictive Intelligence</x:v>
      </x:c>
      <x:c r="E1019" t="str">
        <x:v>World Models; Spatial Intelligence; Predictive Learning; Generative Models</x:v>
      </x:c>
      <x:c r="F1019" t="str">
        <x:v>Chinese</x:v>
      </x:c>
      <x:c r="G1019" t="str">
        <x:v>ICML 2026 预讲会 特邀报告：隐空间统一模型：从跨模态推理到世界建模</x:v>
      </x:c>
      <x:c r="H1019" t="str">
        <x:v>AITIME invited speaker</x:v>
      </x:c>
      <x:c r="I1019" t="str">
        <x:v>AITIME论道</x:v>
      </x:c>
      <x:c r="J1019" t="str">
        <x:v>Research Talk</x:v>
      </x:c>
      <x:c r="K1019" s="148" t="n">
        <x:v>29</x:v>
      </x:c>
      <x:c r="L1019" t="str">
        <x:v>https://www.bilibili.com/video/BV1477g6pEb6</x:v>
      </x:c>
      <x:c r="M1019" t="str">
        <x:v>Bilibili</x:v>
      </x:c>
      <x:c r="N1019" s="150" t="n">
        <x:v>3207</x:v>
      </x:c>
      <x:c r="O1019" t="str">
        <x:v>A | Official / Original Creator / Organizer</x:v>
      </x:c>
      <x:c r="P1019" t="str">
        <x:v>Core</x:v>
      </x:c>
      <x:c r="Q1019" t="str">
        <x:v>Verified</x:v>
      </x:c>
      <x:c r="R1019" s="142" t="n">
        <x:v>46258</x:v>
      </x:c>
      <x:c r="S1019" t="str">
        <x:v>Curated for the 2026-08-24 ScholarTube weekly update; recent public metadata and canonical video URL verified.</x:v>
      </x:c>
      <x:c r="T1019" t="str">
        <x:v>BV1477g6pEb6</x:v>
      </x:c>
      <x:c r="U1019" t="str"/>
      <x:c r="V1019" s="148"/>
      <x:c r="W1019" t="str"/>
    </x:row>
    <x:row r="1020">
      <x:c r="A1020" t="str">
        <x:v>ST-1020</x:v>
      </x:c>
      <x:c r="B1020" t="str">
        <x:v>Course</x:v>
      </x:c>
      <x:c r="C1020" t="str">
        <x:v>Agent</x:v>
      </x:c>
      <x:c r="D1020" t="str">
        <x:v>Agents / Tool Use / Reasoning</x:v>
      </x:c>
      <x:c r="E1020" t="str">
        <x:v>Agents; Tool Use; Reasoning; Large Language Models; Agentic Systems</x:v>
      </x:c>
      <x:c r="F1020" t="str">
        <x:v>Chinese</x:v>
      </x:c>
      <x:c r="G1020" t="str">
        <x:v>2026北京智源大会丨强化学习</x:v>
      </x:c>
      <x:c r="H1020" t="str">
        <x:v>BAAI 2026 reinforcement-learning forum speakers</x:v>
      </x:c>
      <x:c r="I1020" t="str">
        <x:v>智源社区</x:v>
      </x:c>
      <x:c r="J1020" t="str">
        <x:v>Technical Tutorial</x:v>
      </x:c>
      <x:c r="K1020" s="148" t="n">
        <x:v>201</x:v>
      </x:c>
      <x:c r="L1020" t="str">
        <x:v>https://www.bilibili.com/video/BV1KNjz6cEeR</x:v>
      </x:c>
      <x:c r="M1020" t="str">
        <x:v>Bilibili</x:v>
      </x:c>
      <x:c r="N1020" s="150" t="n">
        <x:v>13566</x:v>
      </x:c>
      <x:c r="O1020" t="str">
        <x:v>A | Official / Original Creator / Organizer</x:v>
      </x:c>
      <x:c r="P1020" t="str">
        <x:v>Core</x:v>
      </x:c>
      <x:c r="Q1020" t="str">
        <x:v>Verified</x:v>
      </x:c>
      <x:c r="R1020" s="142" t="n">
        <x:v>46258</x:v>
      </x:c>
      <x:c r="S1020" t="str">
        <x:v>Curated for the 2026-08-24 ScholarTube weekly update; recent public metadata and canonical video URL verified.</x:v>
      </x:c>
      <x:c r="T1020" t="str">
        <x:v>BV1KNjz6cEeR</x:v>
      </x:c>
      <x:c r="U1020" t="str">
        <x:v>Beijing Academy of Artificial Intelligence Conference — 2026</x:v>
      </x:c>
      <x:c r="V1020" s="148" t="n">
        <x:v>20260619</x:v>
      </x:c>
      <x:c r="W1020" t="str">
        <x:v>baai-conference-2026</x:v>
      </x:c>
    </x:row>
    <x:row r="1021">
      <x:c r="A1021" t="str">
        <x:v>ST-1021</x:v>
      </x:c>
      <x:c r="B1021" t="str">
        <x:v>Course</x:v>
      </x:c>
      <x:c r="C1021" t="str">
        <x:v>Agent</x:v>
      </x:c>
      <x:c r="D1021" t="str">
        <x:v>Agents / Tool Use / Reasoning</x:v>
      </x:c>
      <x:c r="E1021" t="str">
        <x:v>Agents; Tool Use; Reasoning; Large Language Models; Agentic Systems</x:v>
      </x:c>
      <x:c r="F1021" t="str">
        <x:v>Chinese</x:v>
      </x:c>
      <x:c r="G1021" t="str">
        <x:v>2026北京智源大会丨AI智能体安全</x:v>
      </x:c>
      <x:c r="H1021" t="str">
        <x:v>BAAI 2026 agent-safety forum speakers</x:v>
      </x:c>
      <x:c r="I1021" t="str">
        <x:v>智源社区</x:v>
      </x:c>
      <x:c r="J1021" t="str">
        <x:v>Technical Tutorial</x:v>
      </x:c>
      <x:c r="K1021" s="148" t="n">
        <x:v>213</x:v>
      </x:c>
      <x:c r="L1021" t="str">
        <x:v>https://www.bilibili.com/video/BV1Rhjz6VEgD</x:v>
      </x:c>
      <x:c r="M1021" t="str">
        <x:v>Bilibili</x:v>
      </x:c>
      <x:c r="N1021" s="150" t="n">
        <x:v>2981</x:v>
      </x:c>
      <x:c r="O1021" t="str">
        <x:v>A | Official / Original Creator / Organizer</x:v>
      </x:c>
      <x:c r="P1021" t="str">
        <x:v>Core</x:v>
      </x:c>
      <x:c r="Q1021" t="str">
        <x:v>Verified</x:v>
      </x:c>
      <x:c r="R1021" s="142" t="n">
        <x:v>46258</x:v>
      </x:c>
      <x:c r="S1021" t="str">
        <x:v>Curated for the 2026-08-24 ScholarTube weekly update; recent public metadata and canonical video URL verified.</x:v>
      </x:c>
      <x:c r="T1021" t="str">
        <x:v>BV1Rhjz6VEgD</x:v>
      </x:c>
      <x:c r="U1021" t="str">
        <x:v>Beijing Academy of Artificial Intelligence Conference — 2026</x:v>
      </x:c>
      <x:c r="V1021" s="148" t="n">
        <x:v>20260619</x:v>
      </x:c>
      <x:c r="W1021" t="str">
        <x:v>baai-conference-2026</x:v>
      </x:c>
    </x:row>
    <x:row r="1022">
      <x:c r="A1022" t="str">
        <x:v>ST-1022</x:v>
      </x:c>
      <x:c r="B1022" t="str">
        <x:v>Course</x:v>
      </x:c>
      <x:c r="C1022" t="str">
        <x:v>Vision</x:v>
      </x:c>
      <x:c r="D1022" t="str">
        <x:v>Computer Vision / 3D Vision</x:v>
      </x:c>
      <x:c r="E1022" t="str">
        <x:v>Computer Vision; 3D Vision; Multimodal Learning; Generative Models</x:v>
      </x:c>
      <x:c r="F1022" t="str">
        <x:v>Chinese</x:v>
      </x:c>
      <x:c r="G1022" t="str">
        <x:v>2026北京智源大会丨多模态</x:v>
      </x:c>
      <x:c r="H1022" t="str">
        <x:v>BAAI 2026 multimodal forum speakers</x:v>
      </x:c>
      <x:c r="I1022" t="str">
        <x:v>智源社区</x:v>
      </x:c>
      <x:c r="J1022" t="str">
        <x:v>Technical Tutorial</x:v>
      </x:c>
      <x:c r="K1022" s="148" t="n">
        <x:v>207</x:v>
      </x:c>
      <x:c r="L1022" t="str">
        <x:v>https://www.bilibili.com/video/BV1Agjz6oEoU</x:v>
      </x:c>
      <x:c r="M1022" t="str">
        <x:v>Bilibili</x:v>
      </x:c>
      <x:c r="N1022" s="150" t="n">
        <x:v>2427</x:v>
      </x:c>
      <x:c r="O1022" t="str">
        <x:v>A | Official / Original Creator / Organizer</x:v>
      </x:c>
      <x:c r="P1022" t="str">
        <x:v>Core</x:v>
      </x:c>
      <x:c r="Q1022" t="str">
        <x:v>Verified</x:v>
      </x:c>
      <x:c r="R1022" s="142" t="n">
        <x:v>46258</x:v>
      </x:c>
      <x:c r="S1022" t="str">
        <x:v>Curated for the 2026-08-24 ScholarTube weekly update; recent public metadata and canonical video URL verified.</x:v>
      </x:c>
      <x:c r="T1022" t="str">
        <x:v>BV1Agjz6oEoU</x:v>
      </x:c>
      <x:c r="U1022" t="str">
        <x:v>Beijing Academy of Artificial Intelligence Conference — 2026</x:v>
      </x:c>
      <x:c r="V1022" s="148" t="n">
        <x:v>20260619</x:v>
      </x:c>
      <x:c r="W1022" t="str">
        <x:v>baai-conference-2026</x:v>
      </x:c>
    </x:row>
    <x:row r="1023">
      <x:c r="A1023" t="str">
        <x:v>ST-1023</x:v>
      </x:c>
      <x:c r="B1023" t="str">
        <x:v>Course</x:v>
      </x:c>
      <x:c r="C1023" t="str">
        <x:v>Agent</x:v>
      </x:c>
      <x:c r="D1023" t="str">
        <x:v>Agents / Tool Use / Reasoning</x:v>
      </x:c>
      <x:c r="E1023" t="str">
        <x:v>Agents; Tool Use; Reasoning; Large Language Models; Agentic Systems</x:v>
      </x:c>
      <x:c r="F1023" t="str">
        <x:v>Chinese</x:v>
      </x:c>
      <x:c r="G1023" t="str">
        <x:v>2026北京智源大会丨AI自进化</x:v>
      </x:c>
      <x:c r="H1023" t="str">
        <x:v>BAAI 2026 self-evolving AI forum speakers</x:v>
      </x:c>
      <x:c r="I1023" t="str">
        <x:v>智源社区</x:v>
      </x:c>
      <x:c r="J1023" t="str">
        <x:v>Technical Tutorial</x:v>
      </x:c>
      <x:c r="K1023" s="148" t="n">
        <x:v>267</x:v>
      </x:c>
      <x:c r="L1023" t="str">
        <x:v>https://www.bilibili.com/video/BV1Bijw65Ec9</x:v>
      </x:c>
      <x:c r="M1023" t="str">
        <x:v>Bilibili</x:v>
      </x:c>
      <x:c r="N1023" s="150" t="n">
        <x:v>3124</x:v>
      </x:c>
      <x:c r="O1023" t="str">
        <x:v>A | Official / Original Creator / Organizer</x:v>
      </x:c>
      <x:c r="P1023" t="str">
        <x:v>Core</x:v>
      </x:c>
      <x:c r="Q1023" t="str">
        <x:v>Verified</x:v>
      </x:c>
      <x:c r="R1023" s="142" t="n">
        <x:v>46258</x:v>
      </x:c>
      <x:c r="S1023" t="str">
        <x:v>Curated for the 2026-08-24 ScholarTube weekly update; recent public metadata and canonical video URL verified.</x:v>
      </x:c>
      <x:c r="T1023" t="str">
        <x:v>BV1Bijw65Ec9</x:v>
      </x:c>
      <x:c r="U1023" t="str">
        <x:v>Beijing Academy of Artificial Intelligence Conference — 2026</x:v>
      </x:c>
      <x:c r="V1023" s="148" t="n">
        <x:v>20260618</x:v>
      </x:c>
      <x:c r="W1023" t="str">
        <x:v>baai-conference-2026</x:v>
      </x:c>
    </x:row>
    <x:row r="1024">
      <x:c r="A1024" t="str">
        <x:v>ST-1024</x:v>
      </x:c>
      <x:c r="B1024" t="str">
        <x:v>Talk</x:v>
      </x:c>
      <x:c r="C1024" t="str">
        <x:v>World Model</x:v>
      </x:c>
      <x:c r="D1024" t="str">
        <x:v>World Models / Predictive Intelligence</x:v>
      </x:c>
      <x:c r="E1024" t="str">
        <x:v>World Models; Spatial Intelligence; Predictive Learning; Generative Models</x:v>
      </x:c>
      <x:c r="F1024" t="str">
        <x:v>Chinese</x:v>
      </x:c>
      <x:c r="G1024" t="str">
        <x:v>【Frontier】世界模型+物理知识！通过视觉学习真实的物理规律 | ICLR</x:v>
      </x:c>
      <x:c r="H1024" t="str">
        <x:v>Frontier paper presenter</x:v>
      </x:c>
      <x:c r="I1024" t="str">
        <x:v>至高机器智能</x:v>
      </x:c>
      <x:c r="J1024" t="str">
        <x:v>Research Talk</x:v>
      </x:c>
      <x:c r="K1024" s="148" t="n">
        <x:v>32</x:v>
      </x:c>
      <x:c r="L1024" t="str">
        <x:v>https://www.bilibili.com/video/BV1TtEe6oEDF</x:v>
      </x:c>
      <x:c r="M1024" t="str">
        <x:v>Bilibili</x:v>
      </x:c>
      <x:c r="N1024" s="150" t="n">
        <x:v>3026</x:v>
      </x:c>
      <x:c r="O1024" t="str">
        <x:v>B | University / Conference / Institution</x:v>
      </x:c>
      <x:c r="P1024" t="str">
        <x:v>Recommended</x:v>
      </x:c>
      <x:c r="Q1024" t="str">
        <x:v>Verified</x:v>
      </x:c>
      <x:c r="R1024" s="142" t="n">
        <x:v>46258</x:v>
      </x:c>
      <x:c r="S1024" t="str">
        <x:v>Curated for the 2026-08-24 ScholarTube weekly update; recent public metadata and canonical video URL verified.</x:v>
      </x:c>
      <x:c r="T1024" t="str">
        <x:v>BV1TtEe6oEDF</x:v>
      </x:c>
      <x:c r="U1024" t="str"/>
      <x:c r="V1024" s="148"/>
      <x:c r="W1024" t="str"/>
    </x:row>
    <x:row r="1025">
      <x:c r="A1025" t="str">
        <x:v>ST-1025</x:v>
      </x:c>
      <x:c r="B1025" t="str">
        <x:v>Course</x:v>
      </x:c>
      <x:c r="C1025" t="str">
        <x:v>Vision</x:v>
      </x:c>
      <x:c r="D1025" t="str">
        <x:v>Computer Vision / 3D Vision</x:v>
      </x:c>
      <x:c r="E1025" t="str">
        <x:v>Computer Vision; 3D Vision; Multimodal Learning; Generative Models</x:v>
      </x:c>
      <x:c r="F1025" t="str">
        <x:v>Chinese</x:v>
      </x:c>
      <x:c r="G1025" t="str">
        <x:v>（2026春季）斯坦福CS231N：计算机视觉中的深度学习 | 中英字幕完结</x:v>
      </x:c>
      <x:c r="H1025" t="str">
        <x:v>Stanford CS231n instructors</x:v>
      </x:c>
      <x:c r="I1025" t="str">
        <x:v>机器学习基础课堂</x:v>
      </x:c>
      <x:c r="J1025" t="str">
        <x:v>Technical Tutorial</x:v>
      </x:c>
      <x:c r="K1025" s="148" t="n">
        <x:v>1273</x:v>
      </x:c>
      <x:c r="L1025" t="str">
        <x:v>https://www.bilibili.com/video/BV1F3NY6kERr</x:v>
      </x:c>
      <x:c r="M1025" t="str">
        <x:v>Bilibili</x:v>
      </x:c>
      <x:c r="N1025" s="150" t="n">
        <x:v>2052</x:v>
      </x:c>
      <x:c r="O1025" t="str">
        <x:v>B | University / Conference / Institution</x:v>
      </x:c>
      <x:c r="P1025" t="str">
        <x:v>Recommended</x:v>
      </x:c>
      <x:c r="Q1025" t="str">
        <x:v>Verified</x:v>
      </x:c>
      <x:c r="R1025" s="142" t="n">
        <x:v>46258</x:v>
      </x:c>
      <x:c r="S1025" t="str">
        <x:v>Curated for the 2026-08-24 ScholarTube weekly update; recent public metadata and canonical video URL verified.</x:v>
      </x:c>
      <x:c r="T1025" t="str">
        <x:v>BV1F3NY6kERr</x:v>
      </x:c>
      <x:c r="U1025" t="str"/>
      <x:c r="V1025" s="148"/>
      <x:c r="W1025" t="str"/>
    </x:row>
    <x:row r="1026">
      <x:c r="A1026" t="str">
        <x:v>ST-1026</x:v>
      </x:c>
      <x:c r="B1026" t="str">
        <x:v>Course</x:v>
      </x:c>
      <x:c r="C1026" t="str">
        <x:v>Agent</x:v>
      </x:c>
      <x:c r="D1026" t="str">
        <x:v>Agents / Tool Use / Reasoning</x:v>
      </x:c>
      <x:c r="E1026" t="str">
        <x:v>Agents; Tool Use; Reasoning; Large Language Models; Agentic Systems</x:v>
      </x:c>
      <x:c r="F1026" t="str">
        <x:v>Chinese</x:v>
      </x:c>
      <x:c r="G1026" t="str">
        <x:v>会说话就能搭 Agent 工作流？feat.一人公司如何用 WorkBuddy 提升效率</x:v>
      </x:c>
      <x:c r="H1026" t="str">
        <x:v>WorkBuddy team</x:v>
      </x:c>
      <x:c r="I1026" t="str">
        <x:v>御风大世界</x:v>
      </x:c>
      <x:c r="J1026" t="str">
        <x:v>Technical Tutorial</x:v>
      </x:c>
      <x:c r="K1026" s="148" t="n">
        <x:v>11</x:v>
      </x:c>
      <x:c r="L1026" t="str">
        <x:v>https://www.bilibili.com/video/BV1ngJH6yEKH</x:v>
      </x:c>
      <x:c r="M1026" t="str">
        <x:v>Bilibili</x:v>
      </x:c>
      <x:c r="N1026" s="150" t="n">
        <x:v>480820</x:v>
      </x:c>
      <x:c r="O1026" t="str">
        <x:v>B | University / Conference / Institution</x:v>
      </x:c>
      <x:c r="P1026" t="str">
        <x:v>Recommended</x:v>
      </x:c>
      <x:c r="Q1026" t="str">
        <x:v>Verified</x:v>
      </x:c>
      <x:c r="R1026" s="142" t="n">
        <x:v>46258</x:v>
      </x:c>
      <x:c r="S1026" t="str">
        <x:v>Curated for the 2026-08-24 ScholarTube weekly update; recent public metadata and canonical video URL verified.</x:v>
      </x:c>
      <x:c r="T1026" t="str">
        <x:v>BV1ngJH6yEKH</x:v>
      </x:c>
      <x:c r="U1026" t="str"/>
      <x:c r="V1026" s="148"/>
      <x:c r="W1026" t="str"/>
    </x:row>
    <x:row r="1027">
      <x:c r="A1027"/>
      <x:c r="B1027"/>
      <x:c r="C1027"/>
      <x:c r="D1027"/>
      <x:c r="E1027"/>
      <x:c r="F1027"/>
      <x:c r="G1027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  <x:c r="U1027"/>
      <x:c r="V1027"/>
      <x:c r="W1027"/>
    </x:row>
    <x:row r="1028">
      <x:c r="A1028"/>
      <x:c r="B1028"/>
      <x:c r="C1028"/>
      <x:c r="D1028"/>
      <x:c r="E1028"/>
      <x:c r="F1028"/>
      <x:c r="G1028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  <x:c r="U1028"/>
      <x:c r="V1028"/>
      <x:c r="W1028"/>
    </x:row>
    <x:row r="1029">
      <x:c r="A1029"/>
      <x:c r="B1029"/>
      <x:c r="C1029"/>
      <x:c r="D1029"/>
      <x:c r="E1029"/>
      <x:c r="F1029"/>
      <x:c r="G1029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  <x:c r="U1029"/>
      <x:c r="V1029"/>
      <x:c r="W1029"/>
    </x:row>
    <x:row r="1030">
      <x:c r="A1030"/>
      <x:c r="B1030"/>
      <x:c r="C1030"/>
      <x:c r="D1030"/>
      <x:c r="E1030"/>
      <x:c r="F1030"/>
      <x:c r="G1030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  <x:c r="U1030"/>
      <x:c r="V1030"/>
      <x:c r="W1030"/>
    </x:row>
    <x:row r="1031">
      <x:c r="A1031"/>
      <x:c r="B1031"/>
      <x:c r="C1031"/>
      <x:c r="D1031"/>
      <x:c r="E1031"/>
      <x:c r="F1031"/>
      <x:c r="G1031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  <x:c r="U1031"/>
      <x:c r="V1031"/>
      <x:c r="W1031"/>
    </x:row>
    <x:row r="1032">
      <x:c r="A1032"/>
      <x:c r="B1032"/>
      <x:c r="C1032"/>
      <x:c r="D1032"/>
      <x:c r="E1032"/>
      <x:c r="F1032"/>
      <x:c r="G1032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  <x:c r="U1032"/>
      <x:c r="V1032"/>
      <x:c r="W1032"/>
    </x:row>
    <x:row r="1033">
      <x:c r="A1033"/>
      <x:c r="B1033"/>
      <x:c r="C1033"/>
      <x:c r="D1033"/>
      <x:c r="E1033"/>
      <x:c r="F1033"/>
      <x:c r="G1033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  <x:c r="U1033"/>
      <x:c r="V1033"/>
      <x:c r="W1033"/>
    </x:row>
    <x:row r="1034">
      <x:c r="A1034"/>
      <x:c r="B1034"/>
      <x:c r="C1034"/>
      <x:c r="D1034"/>
      <x:c r="E1034"/>
      <x:c r="F1034"/>
      <x:c r="G1034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  <x:c r="U1034"/>
      <x:c r="V1034"/>
      <x:c r="W1034"/>
    </x:row>
    <x:row r="1035">
      <x:c r="A1035"/>
      <x:c r="B1035"/>
      <x:c r="C1035"/>
      <x:c r="D1035"/>
      <x:c r="E1035"/>
      <x:c r="F1035"/>
      <x:c r="G103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  <x:c r="U1035"/>
      <x:c r="V1035"/>
      <x:c r="W1035"/>
    </x:row>
    <x:row r="1036">
      <x:c r="A1036"/>
      <x:c r="B1036"/>
      <x:c r="C1036"/>
      <x:c r="D1036"/>
      <x:c r="E1036"/>
      <x:c r="F1036"/>
      <x:c r="G1036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  <x:c r="U1036"/>
      <x:c r="V1036"/>
      <x:c r="W1036"/>
    </x:row>
    <x:row r="1037">
      <x:c r="A1037"/>
      <x:c r="B1037"/>
      <x:c r="C1037"/>
      <x:c r="D1037"/>
      <x:c r="E1037"/>
      <x:c r="F1037"/>
      <x:c r="G1037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  <x:c r="U1037"/>
      <x:c r="V1037"/>
      <x:c r="W1037"/>
    </x:row>
    <x:row r="1038">
      <x:c r="A1038"/>
      <x:c r="B1038"/>
      <x:c r="C1038"/>
      <x:c r="D1038"/>
      <x:c r="E1038"/>
      <x:c r="F1038"/>
      <x:c r="G1038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  <x:c r="U1038"/>
      <x:c r="V1038"/>
      <x:c r="W1038"/>
    </x:row>
    <x:row r="1039">
      <x:c r="A1039"/>
      <x:c r="B1039"/>
      <x:c r="C1039"/>
      <x:c r="D1039"/>
      <x:c r="E1039"/>
      <x:c r="F1039"/>
      <x:c r="G1039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  <x:c r="U1039"/>
      <x:c r="V1039"/>
      <x:c r="W1039"/>
    </x:row>
    <x:row r="1040">
      <x:c r="A1040"/>
      <x:c r="B1040"/>
      <x:c r="C1040"/>
      <x:c r="D1040"/>
      <x:c r="E1040"/>
      <x:c r="F1040"/>
      <x:c r="G1040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  <x:c r="U1040"/>
      <x:c r="V1040"/>
      <x:c r="W1040"/>
    </x:row>
    <x:row r="1041">
      <x:c r="A1041"/>
      <x:c r="B1041"/>
      <x:c r="C1041"/>
      <x:c r="D1041"/>
      <x:c r="E1041"/>
      <x:c r="F1041"/>
      <x:c r="G1041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  <x:c r="U1041"/>
      <x:c r="V1041"/>
      <x:c r="W1041"/>
    </x:row>
    <x:row r="1042">
      <x:c r="A1042"/>
      <x:c r="B1042"/>
      <x:c r="C1042"/>
      <x:c r="D1042"/>
      <x:c r="E1042"/>
      <x:c r="F1042"/>
      <x:c r="G1042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  <x:c r="U1042"/>
      <x:c r="V1042"/>
      <x:c r="W1042"/>
    </x:row>
    <x:row r="1043">
      <x:c r="A1043"/>
      <x:c r="B1043"/>
      <x:c r="C1043"/>
      <x:c r="D1043"/>
      <x:c r="E1043"/>
      <x:c r="F1043"/>
      <x:c r="G1043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  <x:c r="U1043"/>
      <x:c r="V1043"/>
      <x:c r="W1043"/>
    </x:row>
    <x:row r="1044">
      <x:c r="A1044"/>
      <x:c r="B1044"/>
      <x:c r="C1044"/>
      <x:c r="D1044"/>
      <x:c r="E1044"/>
      <x:c r="F1044"/>
      <x:c r="G1044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  <x:c r="U1044"/>
      <x:c r="V1044"/>
      <x:c r="W1044"/>
    </x:row>
    <x:row r="1045">
      <x:c r="A1045"/>
      <x:c r="B1045"/>
      <x:c r="C1045"/>
      <x:c r="D1045"/>
      <x:c r="E1045"/>
      <x:c r="F1045"/>
      <x:c r="G104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  <x:c r="U1045"/>
      <x:c r="V1045"/>
      <x:c r="W1045"/>
    </x:row>
    <x:row r="1046">
      <x:c r="A1046"/>
      <x:c r="B1046"/>
      <x:c r="C1046"/>
      <x:c r="D1046"/>
      <x:c r="E1046"/>
      <x:c r="F1046"/>
      <x:c r="G1046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  <x:c r="U1046"/>
      <x:c r="V1046"/>
      <x:c r="W1046"/>
    </x:row>
    <x:row r="1047">
      <x:c r="A1047"/>
      <x:c r="B1047"/>
      <x:c r="C1047"/>
      <x:c r="D1047"/>
      <x:c r="E1047"/>
      <x:c r="F1047"/>
      <x:c r="G1047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  <x:c r="U1047"/>
      <x:c r="V1047"/>
      <x:c r="W1047"/>
    </x:row>
    <x:row r="1048">
      <x:c r="A1048"/>
      <x:c r="B1048"/>
      <x:c r="C1048"/>
      <x:c r="D1048"/>
      <x:c r="E1048"/>
      <x:c r="F1048"/>
      <x:c r="G1048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  <x:c r="U1048"/>
      <x:c r="V1048"/>
      <x:c r="W1048"/>
    </x:row>
    <x:row r="1049">
      <x:c r="A1049"/>
      <x:c r="B1049"/>
      <x:c r="C1049"/>
      <x:c r="D1049"/>
      <x:c r="E1049"/>
      <x:c r="F1049"/>
      <x:c r="G1049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  <x:c r="U1049"/>
      <x:c r="V1049"/>
      <x:c r="W1049"/>
    </x:row>
    <x:row r="1050">
      <x:c r="A1050"/>
      <x:c r="B1050"/>
      <x:c r="C1050"/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  <x:c r="U1050"/>
      <x:c r="V1050"/>
      <x:c r="W1050"/>
    </x:row>
    <x:row r="1051">
      <x:c r="A1051"/>
      <x:c r="B1051"/>
      <x:c r="C1051"/>
      <x:c r="D1051"/>
      <x:c r="E1051"/>
      <x:c r="F1051"/>
      <x:c r="G1051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  <x:c r="U1051"/>
      <x:c r="V1051"/>
      <x:c r="W1051"/>
    </x:row>
    <x:row r="1052">
      <x:c r="A1052"/>
      <x:c r="B1052"/>
      <x:c r="C1052"/>
      <x:c r="D1052"/>
      <x:c r="E1052"/>
      <x:c r="F1052"/>
      <x:c r="G1052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  <x:c r="U1052"/>
      <x:c r="V1052"/>
      <x:c r="W1052"/>
    </x:row>
    <x:row r="1053">
      <x:c r="A1053"/>
      <x:c r="B1053"/>
      <x:c r="C1053"/>
      <x:c r="D1053"/>
      <x:c r="E1053"/>
      <x:c r="F1053"/>
      <x:c r="G1053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  <x:c r="U1053"/>
      <x:c r="V1053"/>
      <x:c r="W1053"/>
    </x:row>
    <x:row r="1054">
      <x:c r="A1054"/>
      <x:c r="B1054"/>
      <x:c r="C1054"/>
      <x:c r="D1054"/>
      <x:c r="E1054"/>
      <x:c r="F1054"/>
      <x:c r="G1054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  <x:c r="U1054"/>
      <x:c r="V1054"/>
      <x:c r="W1054"/>
    </x:row>
    <x:row r="1055">
      <x:c r="A1055"/>
      <x:c r="B1055"/>
      <x:c r="C1055"/>
      <x:c r="D1055"/>
      <x:c r="E1055"/>
      <x:c r="F1055"/>
      <x:c r="G105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  <x:c r="U1055"/>
      <x:c r="V1055"/>
      <x:c r="W1055"/>
    </x:row>
    <x:row r="1056">
      <x:c r="A1056"/>
      <x:c r="B1056"/>
      <x:c r="C1056"/>
      <x:c r="D1056"/>
      <x:c r="E1056"/>
      <x:c r="F1056"/>
      <x:c r="G1056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  <x:c r="U1056"/>
      <x:c r="V1056"/>
      <x:c r="W1056"/>
    </x:row>
    <x:row r="1057">
      <x:c r="A1057"/>
      <x:c r="B1057"/>
      <x:c r="C1057"/>
      <x:c r="D1057"/>
      <x:c r="E1057"/>
      <x:c r="F1057"/>
      <x:c r="G1057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  <x:c r="U1057"/>
      <x:c r="V1057"/>
      <x:c r="W1057"/>
    </x:row>
    <x:row r="1058">
      <x:c r="A1058"/>
      <x:c r="B1058"/>
      <x:c r="C1058"/>
      <x:c r="D1058"/>
      <x:c r="E1058"/>
      <x:c r="F1058"/>
      <x:c r="G1058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  <x:c r="U1058"/>
      <x:c r="V1058"/>
      <x:c r="W1058"/>
    </x:row>
    <x:row r="1059">
      <x:c r="A1059"/>
      <x:c r="B1059"/>
      <x:c r="C1059"/>
      <x:c r="D1059"/>
      <x:c r="E1059"/>
      <x:c r="F1059"/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  <x:c r="U1059"/>
      <x:c r="V1059"/>
      <x:c r="W1059"/>
    </x:row>
    <x:row r="1060">
      <x:c r="A1060"/>
      <x:c r="B1060"/>
      <x:c r="C1060"/>
      <x:c r="D1060"/>
      <x:c r="E1060"/>
      <x:c r="F1060"/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  <x:c r="U1060"/>
      <x:c r="V1060"/>
      <x:c r="W1060"/>
    </x:row>
    <x:row r="1061">
      <x:c r="A1061"/>
      <x:c r="B1061"/>
      <x:c r="C1061"/>
      <x:c r="D1061"/>
      <x:c r="E1061"/>
      <x:c r="F1061"/>
      <x:c r="G1061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  <x:c r="U1061"/>
      <x:c r="V1061"/>
      <x:c r="W1061"/>
    </x:row>
    <x:row r="1062">
      <x:c r="A1062"/>
      <x:c r="B1062"/>
      <x:c r="C1062"/>
      <x:c r="D1062"/>
      <x:c r="E1062"/>
      <x:c r="F1062"/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  <x:c r="U1062"/>
      <x:c r="V1062"/>
      <x:c r="W1062"/>
    </x:row>
    <x:row r="1063">
      <x:c r="A1063"/>
      <x:c r="B1063"/>
      <x:c r="C1063"/>
      <x:c r="D1063"/>
      <x:c r="E1063"/>
      <x:c r="F1063"/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  <x:c r="U1063"/>
      <x:c r="V1063"/>
      <x:c r="W1063"/>
    </x:row>
    <x:row r="1064">
      <x:c r="A1064"/>
      <x:c r="B1064"/>
      <x:c r="C1064"/>
      <x:c r="D1064"/>
      <x:c r="E1064"/>
      <x:c r="F1064"/>
      <x:c r="G1064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  <x:c r="U1064"/>
      <x:c r="V1064"/>
      <x:c r="W1064"/>
    </x:row>
    <x:row r="1065">
      <x:c r="A1065"/>
      <x:c r="B1065"/>
      <x:c r="C1065"/>
      <x:c r="D1065"/>
      <x:c r="E1065"/>
      <x:c r="F1065"/>
      <x:c r="G106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  <x:c r="U1065"/>
      <x:c r="V1065"/>
      <x:c r="W1065"/>
    </x:row>
    <x:row r="1066">
      <x:c r="A1066"/>
      <x:c r="B1066"/>
      <x:c r="C1066"/>
      <x:c r="D1066"/>
      <x:c r="E1066"/>
      <x:c r="F1066"/>
      <x:c r="G1066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  <x:c r="U1066"/>
      <x:c r="V1066"/>
      <x:c r="W1066"/>
    </x:row>
    <x:row r="1067">
      <x:c r="A1067"/>
      <x:c r="B1067"/>
      <x:c r="C1067"/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  <x:c r="U1067"/>
      <x:c r="V1067"/>
      <x:c r="W1067"/>
    </x:row>
    <x:row r="1068">
      <x:c r="A1068"/>
      <x:c r="B1068"/>
      <x:c r="C1068"/>
      <x:c r="D1068"/>
      <x:c r="E1068"/>
      <x:c r="F1068"/>
      <x:c r="G1068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  <x:c r="U1068"/>
      <x:c r="V1068"/>
      <x:c r="W1068"/>
    </x:row>
    <x:row r="1069">
      <x:c r="A1069"/>
      <x:c r="B1069"/>
      <x:c r="C1069"/>
      <x:c r="D1069"/>
      <x:c r="E1069"/>
      <x:c r="F1069"/>
      <x:c r="G1069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  <x:c r="U1069"/>
      <x:c r="V1069"/>
      <x:c r="W1069"/>
    </x:row>
    <x:row r="1070">
      <x:c r="A1070"/>
      <x:c r="B1070"/>
      <x:c r="C1070"/>
      <x:c r="D1070"/>
      <x:c r="E1070"/>
      <x:c r="F1070"/>
      <x:c r="G1070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  <x:c r="U1070"/>
      <x:c r="V1070"/>
      <x:c r="W1070"/>
    </x:row>
    <x:row r="107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  <x:c r="U1071"/>
      <x:c r="V1071"/>
      <x:c r="W1071"/>
    </x:row>
    <x:row r="1072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  <x:c r="U1072"/>
      <x:c r="V1072"/>
      <x:c r="W1072"/>
    </x:row>
    <x:row r="1073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  <x:c r="U1073"/>
      <x:c r="V1073"/>
      <x:c r="W1073"/>
    </x:row>
    <x:row r="1074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  <x:c r="U1074"/>
      <x:c r="V1074"/>
      <x:c r="W1074"/>
    </x:row>
    <x:row r="1075">
      <x:c r="A1075"/>
      <x:c r="B1075"/>
      <x:c r="C1075"/>
      <x:c r="D1075"/>
      <x:c r="E1075"/>
      <x:c r="F1075"/>
      <x:c r="G107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  <x:c r="U1075"/>
      <x:c r="V1075"/>
      <x:c r="W1075"/>
    </x:row>
    <x:row r="1076">
      <x:c r="A1076"/>
      <x:c r="B1076"/>
      <x:c r="C1076"/>
      <x:c r="D1076"/>
      <x:c r="E1076"/>
      <x:c r="F1076"/>
      <x:c r="G1076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  <x:c r="U1076"/>
      <x:c r="V1076"/>
      <x:c r="W1076"/>
    </x:row>
    <x:row r="1077">
      <x:c r="A1077"/>
      <x:c r="B1077"/>
      <x:c r="C1077"/>
      <x:c r="D1077"/>
      <x:c r="E1077"/>
      <x:c r="F1077"/>
      <x:c r="G1077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  <x:c r="U1077"/>
      <x:c r="V1077"/>
      <x:c r="W1077"/>
    </x:row>
    <x:row r="1078">
      <x:c r="A1078"/>
      <x:c r="B1078"/>
      <x:c r="C1078"/>
      <x:c r="D1078"/>
      <x:c r="E1078"/>
      <x:c r="F1078"/>
      <x:c r="G1078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  <x:c r="U1078"/>
      <x:c r="V1078"/>
      <x:c r="W1078"/>
    </x:row>
    <x:row r="1079">
      <x:c r="A1079"/>
      <x:c r="B1079"/>
      <x:c r="C1079"/>
      <x:c r="D1079"/>
      <x:c r="E1079"/>
      <x:c r="F1079"/>
      <x:c r="G1079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  <x:c r="U1079"/>
      <x:c r="V1079"/>
      <x:c r="W1079"/>
    </x:row>
    <x:row r="1080">
      <x:c r="A1080"/>
      <x:c r="B1080"/>
      <x:c r="C1080"/>
      <x:c r="D1080"/>
      <x:c r="E1080"/>
      <x:c r="F1080"/>
      <x:c r="G1080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  <x:c r="U1080"/>
      <x:c r="V1080"/>
      <x:c r="W1080"/>
    </x:row>
    <x:row r="1081">
      <x:c r="A1081"/>
      <x:c r="B1081"/>
      <x:c r="C1081"/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  <x:c r="U1081"/>
      <x:c r="V1081"/>
      <x:c r="W1081"/>
    </x:row>
    <x:row r="1082">
      <x:c r="A1082"/>
      <x:c r="B1082"/>
      <x:c r="C1082"/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  <x:c r="U1082"/>
      <x:c r="V1082"/>
      <x:c r="W1082"/>
    </x:row>
    <x:row r="1083">
      <x:c r="A1083"/>
      <x:c r="B1083"/>
      <x:c r="C1083"/>
      <x:c r="D1083"/>
      <x:c r="E1083"/>
      <x:c r="F1083"/>
      <x:c r="G1083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  <x:c r="U1083"/>
      <x:c r="V1083"/>
      <x:c r="W1083"/>
    </x:row>
    <x:row r="1084">
      <x:c r="A1084"/>
      <x:c r="B1084"/>
      <x:c r="C1084"/>
      <x:c r="D1084"/>
      <x:c r="E1084"/>
      <x:c r="F1084"/>
      <x:c r="G1084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  <x:c r="U1084"/>
      <x:c r="V1084"/>
      <x:c r="W1084"/>
    </x:row>
    <x:row r="1085">
      <x:c r="A1085"/>
      <x:c r="B1085"/>
      <x:c r="C1085"/>
      <x:c r="D1085"/>
      <x:c r="E1085"/>
      <x:c r="F1085"/>
      <x:c r="G108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  <x:c r="U1085"/>
      <x:c r="V1085"/>
      <x:c r="W1085"/>
    </x:row>
    <x:row r="1086">
      <x:c r="A1086"/>
      <x:c r="B1086"/>
      <x:c r="C1086"/>
      <x:c r="D1086"/>
      <x:c r="E1086"/>
      <x:c r="F1086"/>
      <x:c r="G1086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  <x:c r="U1086"/>
      <x:c r="V1086"/>
      <x:c r="W1086"/>
    </x:row>
    <x:row r="1087">
      <x:c r="A1087"/>
      <x:c r="B1087"/>
      <x:c r="C1087"/>
      <x:c r="D1087"/>
      <x:c r="E1087"/>
      <x:c r="F1087"/>
      <x:c r="G1087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  <x:c r="U1087"/>
      <x:c r="V1087"/>
      <x:c r="W1087"/>
    </x:row>
    <x:row r="1088">
      <x:c r="A1088"/>
      <x:c r="B1088"/>
      <x:c r="C1088"/>
      <x:c r="D1088"/>
      <x:c r="E1088"/>
      <x:c r="F1088"/>
      <x:c r="G1088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  <x:c r="U1088"/>
      <x:c r="V1088"/>
      <x:c r="W1088"/>
    </x:row>
    <x:row r="1089">
      <x:c r="A1089"/>
      <x:c r="B1089"/>
      <x:c r="C1089"/>
      <x:c r="D1089"/>
      <x:c r="E1089"/>
      <x:c r="F1089"/>
      <x:c r="G1089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  <x:c r="U1089"/>
      <x:c r="V1089"/>
      <x:c r="W1089"/>
    </x:row>
    <x:row r="1090">
      <x:c r="A1090"/>
      <x:c r="B1090"/>
      <x:c r="C1090"/>
      <x:c r="D1090"/>
      <x:c r="E1090"/>
      <x:c r="F1090"/>
      <x:c r="G1090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  <x:c r="U1090"/>
      <x:c r="V1090"/>
      <x:c r="W1090"/>
    </x:row>
    <x:row r="1091">
      <x:c r="A1091"/>
      <x:c r="B1091"/>
      <x:c r="C1091"/>
      <x:c r="D1091"/>
      <x:c r="E1091"/>
      <x:c r="F1091"/>
      <x:c r="G1091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  <x:c r="U1091"/>
      <x:c r="V1091"/>
      <x:c r="W1091"/>
    </x:row>
    <x:row r="1092">
      <x:c r="A1092"/>
      <x:c r="B1092"/>
      <x:c r="C1092"/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  <x:c r="U1092"/>
      <x:c r="V1092"/>
      <x:c r="W1092"/>
    </x:row>
    <x:row r="1093">
      <x:c r="A1093"/>
      <x:c r="B1093"/>
      <x:c r="C1093"/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  <x:c r="U1093"/>
      <x:c r="V1093"/>
      <x:c r="W1093"/>
    </x:row>
    <x:row r="1094">
      <x:c r="A1094"/>
      <x:c r="B1094"/>
      <x:c r="C1094"/>
      <x:c r="D1094"/>
      <x:c r="E1094"/>
      <x:c r="F1094"/>
      <x:c r="G1094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  <x:c r="U1094"/>
      <x:c r="V1094"/>
      <x:c r="W1094"/>
    </x:row>
    <x:row r="1095">
      <x:c r="A1095"/>
      <x:c r="B1095"/>
      <x:c r="C1095"/>
      <x:c r="D1095"/>
      <x:c r="E1095"/>
      <x:c r="F1095"/>
      <x:c r="G109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  <x:c r="U1095"/>
      <x:c r="V1095"/>
      <x:c r="W1095"/>
    </x:row>
    <x:row r="1096">
      <x:c r="A1096"/>
      <x:c r="B1096"/>
      <x:c r="C1096"/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  <x:c r="U1096"/>
      <x:c r="V1096"/>
      <x:c r="W1096"/>
    </x:row>
    <x:row r="1097">
      <x:c r="A1097"/>
      <x:c r="B1097"/>
      <x:c r="C1097"/>
      <x:c r="D1097"/>
      <x:c r="E1097"/>
      <x:c r="F1097"/>
      <x:c r="G1097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  <x:c r="U1097"/>
      <x:c r="V1097"/>
      <x:c r="W1097"/>
    </x:row>
    <x:row r="1098">
      <x:c r="A1098"/>
      <x:c r="B1098"/>
      <x:c r="C1098"/>
      <x:c r="D1098"/>
      <x:c r="E1098"/>
      <x:c r="F1098"/>
      <x:c r="G1098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  <x:c r="U1098"/>
      <x:c r="V1098"/>
      <x:c r="W1098"/>
    </x:row>
    <x:row r="1099">
      <x:c r="A1099"/>
      <x:c r="B1099"/>
      <x:c r="C1099"/>
      <x:c r="D1099"/>
      <x:c r="E1099"/>
      <x:c r="F1099"/>
      <x:c r="G1099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  <x:c r="U1099"/>
      <x:c r="V1099"/>
      <x:c r="W1099"/>
    </x:row>
    <x:row r="1100">
      <x:c r="A1100"/>
      <x:c r="B1100"/>
      <x:c r="C1100"/>
      <x:c r="D1100"/>
      <x:c r="E1100"/>
      <x:c r="F1100"/>
      <x:c r="G1100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  <x:c r="U1100"/>
      <x:c r="V1100"/>
      <x:c r="W1100"/>
    </x:row>
    <x:row r="1101">
      <x:c r="A1101"/>
      <x:c r="B1101"/>
      <x:c r="C1101"/>
      <x:c r="D1101"/>
      <x:c r="E1101"/>
      <x:c r="F1101"/>
      <x:c r="G1101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  <x:c r="U1101"/>
      <x:c r="V1101"/>
      <x:c r="W1101"/>
    </x:row>
    <x:row r="1102">
      <x:c r="A1102"/>
      <x:c r="B1102"/>
      <x:c r="C1102"/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  <x:c r="U1102"/>
      <x:c r="V1102"/>
      <x:c r="W1102"/>
    </x:row>
    <x:row r="1103">
      <x:c r="A1103"/>
      <x:c r="B1103"/>
      <x:c r="C1103"/>
      <x:c r="D1103"/>
      <x:c r="E1103"/>
      <x:c r="F1103"/>
      <x:c r="G1103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  <x:c r="U1103"/>
      <x:c r="V1103"/>
      <x:c r="W1103"/>
    </x:row>
    <x:row r="1104">
      <x:c r="A1104"/>
      <x:c r="B1104"/>
      <x:c r="C1104"/>
      <x:c r="D1104"/>
      <x:c r="E1104"/>
      <x:c r="F1104"/>
      <x:c r="G1104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  <x:c r="U1104"/>
      <x:c r="V1104"/>
      <x:c r="W1104"/>
    </x:row>
    <x:row r="1105">
      <x:c r="A1105"/>
      <x:c r="B1105"/>
      <x:c r="C1105"/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  <x:c r="U1105"/>
      <x:c r="V1105"/>
      <x:c r="W1105"/>
    </x:row>
    <x:row r="1106">
      <x:c r="A1106"/>
      <x:c r="B1106"/>
      <x:c r="C1106"/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  <x:c r="U1106"/>
      <x:c r="V1106"/>
      <x:c r="W1106"/>
    </x:row>
    <x:row r="1107">
      <x:c r="A1107"/>
      <x:c r="B1107"/>
      <x:c r="C1107"/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  <x:c r="U1107"/>
      <x:c r="V1107"/>
      <x:c r="W1107"/>
    </x:row>
    <x:row r="1108">
      <x:c r="A1108"/>
      <x:c r="B1108"/>
      <x:c r="C1108"/>
      <x:c r="D1108"/>
      <x:c r="E1108"/>
      <x:c r="F1108"/>
      <x:c r="G1108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  <x:c r="U1108"/>
      <x:c r="V1108"/>
      <x:c r="W1108"/>
    </x:row>
    <x:row r="1109">
      <x:c r="A1109"/>
      <x:c r="B1109"/>
      <x:c r="C1109"/>
      <x:c r="D1109"/>
      <x:c r="E1109"/>
      <x:c r="F1109"/>
      <x:c r="G1109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  <x:c r="U1109"/>
      <x:c r="V1109"/>
      <x:c r="W1109"/>
    </x:row>
    <x:row r="1110">
      <x:c r="A1110"/>
      <x:c r="B1110"/>
      <x:c r="C1110"/>
      <x:c r="D1110"/>
      <x:c r="E1110"/>
      <x:c r="F1110"/>
      <x:c r="G1110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  <x:c r="U1110"/>
      <x:c r="V1110"/>
      <x:c r="W1110"/>
    </x:row>
    <x:row r="1111">
      <x:c r="A1111"/>
      <x:c r="B1111"/>
      <x:c r="C1111"/>
      <x:c r="D1111"/>
      <x:c r="E1111"/>
      <x:c r="F1111"/>
      <x:c r="G1111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  <x:c r="U1111"/>
      <x:c r="V1111"/>
      <x:c r="W1111"/>
    </x:row>
    <x:row r="1112">
      <x:c r="A1112"/>
      <x:c r="B1112"/>
      <x:c r="C1112"/>
      <x:c r="D1112"/>
      <x:c r="E1112"/>
      <x:c r="F1112"/>
      <x:c r="G1112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  <x:c r="U1112"/>
      <x:c r="V1112"/>
      <x:c r="W1112"/>
    </x:row>
    <x:row r="1113">
      <x:c r="A1113"/>
      <x:c r="B1113"/>
      <x:c r="C1113"/>
      <x:c r="D1113"/>
      <x:c r="E1113"/>
      <x:c r="F1113"/>
      <x:c r="G1113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  <x:c r="U1113"/>
      <x:c r="V1113"/>
      <x:c r="W1113"/>
    </x:row>
    <x:row r="1114">
      <x:c r="A1114"/>
      <x:c r="B1114"/>
      <x:c r="C1114"/>
      <x:c r="D1114"/>
      <x:c r="E1114"/>
      <x:c r="F1114"/>
      <x:c r="G1114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  <x:c r="U1114"/>
      <x:c r="V1114"/>
      <x:c r="W1114"/>
    </x:row>
    <x:row r="1115">
      <x:c r="A1115"/>
      <x:c r="B1115"/>
      <x:c r="C1115"/>
      <x:c r="D1115"/>
      <x:c r="E1115"/>
      <x:c r="F1115"/>
      <x:c r="G111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  <x:c r="U1115"/>
      <x:c r="V1115"/>
      <x:c r="W1115"/>
    </x:row>
    <x:row r="1116">
      <x:c r="A1116"/>
      <x:c r="B1116"/>
      <x:c r="C1116"/>
      <x:c r="D1116"/>
      <x:c r="E1116"/>
      <x:c r="F1116"/>
      <x:c r="G1116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  <x:c r="U1116"/>
      <x:c r="V1116"/>
      <x:c r="W1116"/>
    </x:row>
    <x:row r="1117">
      <x:c r="A1117"/>
      <x:c r="B1117"/>
      <x:c r="C1117"/>
      <x:c r="D1117"/>
      <x:c r="E1117"/>
      <x:c r="F1117"/>
      <x:c r="G1117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  <x:c r="U1117"/>
      <x:c r="V1117"/>
      <x:c r="W1117"/>
    </x:row>
    <x:row r="1118">
      <x:c r="A1118"/>
      <x:c r="B1118"/>
      <x:c r="C1118"/>
      <x:c r="D1118"/>
      <x:c r="E1118"/>
      <x:c r="F1118"/>
      <x:c r="G1118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  <x:c r="U1118"/>
      <x:c r="V1118"/>
      <x:c r="W1118"/>
    </x:row>
    <x:row r="1119">
      <x:c r="A1119"/>
      <x:c r="B1119"/>
      <x:c r="C1119"/>
      <x:c r="D1119"/>
      <x:c r="E1119"/>
      <x:c r="F1119"/>
      <x:c r="G1119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  <x:c r="U1119"/>
      <x:c r="V1119"/>
      <x:c r="W1119"/>
    </x:row>
    <x:row r="1120">
      <x:c r="A1120"/>
      <x:c r="B1120"/>
      <x:c r="C1120"/>
      <x:c r="D1120"/>
      <x:c r="E1120"/>
      <x:c r="F1120"/>
      <x:c r="G1120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  <x:c r="U1120"/>
      <x:c r="V1120"/>
      <x:c r="W1120"/>
    </x:row>
    <x:row r="1121">
      <x:c r="A1121"/>
      <x:c r="B1121"/>
      <x:c r="C1121"/>
      <x:c r="D1121"/>
      <x:c r="E1121"/>
      <x:c r="F1121"/>
      <x:c r="G1121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  <x:c r="U1121"/>
      <x:c r="V1121"/>
      <x:c r="W1121"/>
    </x:row>
    <x:row r="1122">
      <x:c r="A1122"/>
      <x:c r="B1122"/>
      <x:c r="C1122"/>
      <x:c r="D1122"/>
      <x:c r="E1122"/>
      <x:c r="F1122"/>
      <x:c r="G1122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  <x:c r="U1122"/>
      <x:c r="V1122"/>
      <x:c r="W1122"/>
    </x:row>
    <x:row r="1123">
      <x:c r="A1123"/>
      <x:c r="B1123"/>
      <x:c r="C1123"/>
      <x:c r="D1123"/>
      <x:c r="E1123"/>
      <x:c r="F1123"/>
      <x:c r="G1123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  <x:c r="U1123"/>
      <x:c r="V1123"/>
      <x:c r="W1123"/>
    </x:row>
    <x:row r="1124">
      <x:c r="A1124"/>
      <x:c r="B1124"/>
      <x:c r="C1124"/>
      <x:c r="D1124"/>
      <x:c r="E1124"/>
      <x:c r="F1124"/>
      <x:c r="G1124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  <x:c r="U1124"/>
      <x:c r="V1124"/>
      <x:c r="W1124"/>
    </x:row>
    <x:row r="1125">
      <x:c r="A1125"/>
      <x:c r="B1125"/>
      <x:c r="C1125"/>
      <x:c r="D1125"/>
      <x:c r="E1125"/>
      <x:c r="F1125"/>
      <x:c r="G112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  <x:c r="U1125"/>
      <x:c r="V1125"/>
      <x:c r="W1125"/>
    </x:row>
    <x:row r="1126">
      <x:c r="A1126"/>
      <x:c r="B1126"/>
      <x:c r="C1126"/>
      <x:c r="D1126"/>
      <x:c r="E1126"/>
      <x:c r="F1126"/>
      <x:c r="G1126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  <x:c r="U1126"/>
      <x:c r="V1126"/>
      <x:c r="W1126"/>
    </x:row>
    <x:row r="1127">
      <x:c r="A1127"/>
      <x:c r="B1127"/>
      <x:c r="C1127"/>
      <x:c r="D1127"/>
      <x:c r="E1127"/>
      <x:c r="F1127"/>
      <x:c r="G1127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  <x:c r="U1127"/>
      <x:c r="V1127"/>
      <x:c r="W1127"/>
    </x:row>
    <x:row r="1128">
      <x:c r="A1128"/>
      <x:c r="B1128"/>
      <x:c r="C1128"/>
      <x:c r="D1128"/>
      <x:c r="E1128"/>
      <x:c r="F1128"/>
      <x:c r="G1128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  <x:c r="U1128"/>
      <x:c r="V1128"/>
      <x:c r="W1128"/>
    </x:row>
    <x:row r="1129">
      <x:c r="A1129"/>
      <x:c r="B1129"/>
      <x:c r="C1129"/>
      <x:c r="D1129"/>
      <x:c r="E1129"/>
      <x:c r="F1129"/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  <x:c r="U1129"/>
      <x:c r="V1129"/>
      <x:c r="W1129"/>
    </x:row>
    <x:row r="1130">
      <x:c r="A1130"/>
      <x:c r="B1130"/>
      <x:c r="C1130"/>
      <x:c r="D1130"/>
      <x:c r="E1130"/>
      <x:c r="F1130"/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  <x:c r="U1130"/>
      <x:c r="V1130"/>
      <x:c r="W1130"/>
    </x:row>
    <x:row r="1131">
      <x:c r="A1131"/>
      <x:c r="B1131"/>
      <x:c r="C1131"/>
      <x:c r="D1131"/>
      <x:c r="E1131"/>
      <x:c r="F1131"/>
      <x:c r="G1131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  <x:c r="U1131"/>
      <x:c r="V1131"/>
      <x:c r="W1131"/>
    </x:row>
    <x:row r="1132">
      <x:c r="A1132"/>
      <x:c r="B1132"/>
      <x:c r="C1132"/>
      <x:c r="D1132"/>
      <x:c r="E1132"/>
      <x:c r="F1132"/>
      <x:c r="G1132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  <x:c r="U1132"/>
      <x:c r="V1132"/>
      <x:c r="W1132"/>
    </x:row>
    <x:row r="1133">
      <x:c r="A1133"/>
      <x:c r="B1133"/>
      <x:c r="C1133"/>
      <x:c r="D1133"/>
      <x:c r="E1133"/>
      <x:c r="F1133"/>
      <x:c r="G1133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  <x:c r="U1133"/>
      <x:c r="V1133"/>
      <x:c r="W1133"/>
    </x:row>
    <x:row r="1134">
      <x:c r="A1134"/>
      <x:c r="B1134"/>
      <x:c r="C1134"/>
      <x:c r="D1134"/>
      <x:c r="E1134"/>
      <x:c r="F1134"/>
      <x:c r="G1134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  <x:c r="U1134"/>
      <x:c r="V1134"/>
      <x:c r="W1134"/>
    </x:row>
    <x:row r="1135">
      <x:c r="A1135"/>
      <x:c r="B1135"/>
      <x:c r="C1135"/>
      <x:c r="D1135"/>
      <x:c r="E1135"/>
      <x:c r="F1135"/>
      <x:c r="G113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  <x:c r="U1135"/>
      <x:c r="V1135"/>
      <x:c r="W1135"/>
    </x:row>
    <x:row r="1136">
      <x:c r="A1136"/>
      <x:c r="B1136"/>
      <x:c r="C1136"/>
      <x:c r="D1136"/>
      <x:c r="E1136"/>
      <x:c r="F1136"/>
      <x:c r="G1136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  <x:c r="U1136"/>
      <x:c r="V1136"/>
      <x:c r="W1136"/>
    </x:row>
    <x:row r="1137">
      <x:c r="A1137"/>
      <x:c r="B1137"/>
      <x:c r="C1137"/>
      <x:c r="D1137"/>
      <x:c r="E1137"/>
      <x:c r="F1137"/>
      <x:c r="G1137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  <x:c r="U1137"/>
      <x:c r="V1137"/>
      <x:c r="W1137"/>
    </x:row>
    <x:row r="1138">
      <x:c r="A1138"/>
      <x:c r="B1138"/>
      <x:c r="C1138"/>
      <x:c r="D1138"/>
      <x:c r="E1138"/>
      <x:c r="F1138"/>
      <x:c r="G1138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  <x:c r="U1138"/>
      <x:c r="V1138"/>
      <x:c r="W1138"/>
    </x:row>
    <x:row r="1139">
      <x:c r="A1139"/>
      <x:c r="B1139"/>
      <x:c r="C1139"/>
      <x:c r="D1139"/>
      <x:c r="E1139"/>
      <x:c r="F1139"/>
      <x:c r="G1139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  <x:c r="U1139"/>
      <x:c r="V1139"/>
      <x:c r="W1139"/>
    </x:row>
    <x:row r="1140">
      <x:c r="A1140"/>
      <x:c r="B1140"/>
      <x:c r="C1140"/>
      <x:c r="D1140"/>
      <x:c r="E1140"/>
      <x:c r="F1140"/>
      <x:c r="G1140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  <x:c r="U1140"/>
      <x:c r="V1140"/>
      <x:c r="W1140"/>
    </x:row>
    <x:row r="1141">
      <x:c r="A1141"/>
      <x:c r="B1141"/>
      <x:c r="C1141"/>
      <x:c r="D1141"/>
      <x:c r="E1141"/>
      <x:c r="F1141"/>
      <x:c r="G1141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  <x:c r="U1141"/>
      <x:c r="V1141"/>
      <x:c r="W1141"/>
    </x:row>
    <x:row r="1142">
      <x:c r="A1142"/>
      <x:c r="B1142"/>
      <x:c r="C1142"/>
      <x:c r="D1142"/>
      <x:c r="E1142"/>
      <x:c r="F1142"/>
      <x:c r="G1142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  <x:c r="U1142"/>
      <x:c r="V1142"/>
      <x:c r="W1142"/>
    </x:row>
    <x:row r="1143">
      <x:c r="A1143"/>
      <x:c r="B1143"/>
      <x:c r="C1143"/>
      <x:c r="D1143"/>
      <x:c r="E1143"/>
      <x:c r="F1143"/>
      <x:c r="G1143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  <x:c r="U1143"/>
      <x:c r="V1143"/>
      <x:c r="W1143"/>
    </x:row>
    <x:row r="1144">
      <x:c r="A1144"/>
      <x:c r="B1144"/>
      <x:c r="C1144"/>
      <x:c r="D1144"/>
      <x:c r="E1144"/>
      <x:c r="F1144"/>
      <x:c r="G1144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  <x:c r="U1144"/>
      <x:c r="V1144"/>
      <x:c r="W1144"/>
    </x:row>
    <x:row r="1145">
      <x:c r="A1145"/>
      <x:c r="B1145"/>
      <x:c r="C1145"/>
      <x:c r="D1145"/>
      <x:c r="E1145"/>
      <x:c r="F1145"/>
      <x:c r="G114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  <x:c r="U1145"/>
      <x:c r="V1145"/>
      <x:c r="W1145"/>
    </x:row>
    <x:row r="1146">
      <x:c r="A1146"/>
      <x:c r="B1146"/>
      <x:c r="C1146"/>
      <x:c r="D1146"/>
      <x:c r="E1146"/>
      <x:c r="F1146"/>
      <x:c r="G1146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  <x:c r="U1146"/>
      <x:c r="V1146"/>
      <x:c r="W1146"/>
    </x:row>
    <x:row r="1147">
      <x:c r="A1147"/>
      <x:c r="B1147"/>
      <x:c r="C1147"/>
      <x:c r="D1147"/>
      <x:c r="E1147"/>
      <x:c r="F1147"/>
      <x:c r="G1147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  <x:c r="U1147"/>
      <x:c r="V1147"/>
      <x:c r="W1147"/>
    </x:row>
    <x:row r="1148">
      <x:c r="A1148"/>
      <x:c r="B1148"/>
      <x:c r="C1148"/>
      <x:c r="D1148"/>
      <x:c r="E1148"/>
      <x:c r="F1148"/>
      <x:c r="G1148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  <x:c r="U1148"/>
      <x:c r="V1148"/>
      <x:c r="W1148"/>
    </x:row>
    <x:row r="1149">
      <x:c r="A1149"/>
      <x:c r="B1149"/>
      <x:c r="C1149"/>
      <x:c r="D1149"/>
      <x:c r="E1149"/>
      <x:c r="F1149"/>
      <x:c r="G1149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  <x:c r="U1149"/>
      <x:c r="V1149"/>
      <x:c r="W1149"/>
    </x:row>
    <x:row r="1150">
      <x:c r="A1150"/>
      <x:c r="B1150"/>
      <x:c r="C1150"/>
      <x:c r="D1150"/>
      <x:c r="E1150"/>
      <x:c r="F1150"/>
      <x:c r="G1150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  <x:c r="U1150"/>
      <x:c r="V1150"/>
      <x:c r="W1150"/>
    </x:row>
    <x:row r="1151">
      <x:c r="A1151"/>
      <x:c r="B1151"/>
      <x:c r="C1151"/>
      <x:c r="D1151"/>
      <x:c r="E1151"/>
      <x:c r="F1151"/>
      <x:c r="G1151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  <x:c r="U1151"/>
      <x:c r="V1151"/>
      <x:c r="W1151"/>
    </x:row>
    <x:row r="1152">
      <x:c r="A1152"/>
      <x:c r="B1152"/>
      <x:c r="C1152"/>
      <x:c r="D1152"/>
      <x:c r="E1152"/>
      <x:c r="F1152"/>
      <x:c r="G1152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  <x:c r="U1152"/>
      <x:c r="V1152"/>
      <x:c r="W1152"/>
    </x:row>
    <x:row r="1153">
      <x:c r="A1153"/>
      <x:c r="B1153"/>
      <x:c r="C1153"/>
      <x:c r="D1153"/>
      <x:c r="E1153"/>
      <x:c r="F1153"/>
      <x:c r="G1153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  <x:c r="U1153"/>
      <x:c r="V1153"/>
      <x:c r="W1153"/>
    </x:row>
    <x:row r="1154">
      <x:c r="A1154"/>
      <x:c r="B1154"/>
      <x:c r="C1154"/>
      <x:c r="D1154"/>
      <x:c r="E1154"/>
      <x:c r="F1154"/>
      <x:c r="G1154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  <x:c r="U1154"/>
      <x:c r="V1154"/>
      <x:c r="W1154"/>
    </x:row>
    <x:row r="1155">
      <x:c r="A1155"/>
      <x:c r="B1155"/>
      <x:c r="C1155"/>
      <x:c r="D1155"/>
      <x:c r="E1155"/>
      <x:c r="F1155"/>
      <x:c r="G115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  <x:c r="U1155"/>
      <x:c r="V1155"/>
      <x:c r="W1155"/>
    </x:row>
    <x:row r="1156">
      <x:c r="A1156"/>
      <x:c r="B1156"/>
      <x:c r="C1156"/>
      <x:c r="D1156"/>
      <x:c r="E1156"/>
      <x:c r="F1156"/>
      <x:c r="G1156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  <x:c r="U1156"/>
      <x:c r="V1156"/>
      <x:c r="W1156"/>
    </x:row>
    <x:row r="1157">
      <x:c r="A1157"/>
      <x:c r="B1157"/>
      <x:c r="C1157"/>
      <x:c r="D1157"/>
      <x:c r="E1157"/>
      <x:c r="F1157"/>
      <x:c r="G1157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  <x:c r="U1157"/>
      <x:c r="V1157"/>
      <x:c r="W1157"/>
    </x:row>
    <x:row r="1158">
      <x:c r="A1158"/>
      <x:c r="B1158"/>
      <x:c r="C1158"/>
      <x:c r="D1158"/>
      <x:c r="E1158"/>
      <x:c r="F1158"/>
      <x:c r="G1158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  <x:c r="U1158"/>
      <x:c r="V1158"/>
      <x:c r="W1158"/>
    </x:row>
    <x:row r="1159">
      <x:c r="A1159"/>
      <x:c r="B1159"/>
      <x:c r="C1159"/>
      <x:c r="D1159"/>
      <x:c r="E1159"/>
      <x:c r="F1159"/>
      <x:c r="G1159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  <x:c r="U1159"/>
      <x:c r="V1159"/>
      <x:c r="W1159"/>
    </x:row>
    <x:row r="1160">
      <x:c r="A1160"/>
      <x:c r="B1160"/>
      <x:c r="C1160"/>
      <x:c r="D1160"/>
      <x:c r="E1160"/>
      <x:c r="F1160"/>
      <x:c r="G1160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  <x:c r="U1160"/>
      <x:c r="V1160"/>
      <x:c r="W1160"/>
    </x:row>
    <x:row r="1161">
      <x:c r="A1161"/>
      <x:c r="B1161"/>
      <x:c r="C1161"/>
      <x:c r="D1161"/>
      <x:c r="E1161"/>
      <x:c r="F1161"/>
      <x:c r="G1161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  <x:c r="U1161"/>
      <x:c r="V1161"/>
      <x:c r="W1161"/>
    </x:row>
    <x:row r="1162">
      <x:c r="A1162"/>
      <x:c r="B1162"/>
      <x:c r="C1162"/>
      <x:c r="D1162"/>
      <x:c r="E1162"/>
      <x:c r="F1162"/>
      <x:c r="G1162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  <x:c r="U1162"/>
      <x:c r="V1162"/>
      <x:c r="W1162"/>
    </x:row>
    <x:row r="1163">
      <x:c r="A1163"/>
      <x:c r="B1163"/>
      <x:c r="C1163"/>
      <x:c r="D1163"/>
      <x:c r="E1163"/>
      <x:c r="F1163"/>
      <x:c r="G1163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  <x:c r="U1163"/>
      <x:c r="V1163"/>
      <x:c r="W1163"/>
    </x:row>
    <x:row r="1164">
      <x:c r="A1164"/>
      <x:c r="B1164"/>
      <x:c r="C1164"/>
      <x:c r="D1164"/>
      <x:c r="E1164"/>
      <x:c r="F1164"/>
      <x:c r="G1164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  <x:c r="U1164"/>
      <x:c r="V1164"/>
      <x:c r="W1164"/>
    </x:row>
    <x:row r="1165">
      <x:c r="A1165"/>
      <x:c r="B1165"/>
      <x:c r="C1165"/>
      <x:c r="D1165"/>
      <x:c r="E1165"/>
      <x:c r="F1165"/>
      <x:c r="G116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  <x:c r="U1165"/>
      <x:c r="V1165"/>
      <x:c r="W1165"/>
    </x:row>
    <x:row r="1166">
      <x:c r="A1166"/>
      <x:c r="B1166"/>
      <x:c r="C1166"/>
      <x:c r="D1166"/>
      <x:c r="E1166"/>
      <x:c r="F1166"/>
      <x:c r="G1166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  <x:c r="U1166"/>
      <x:c r="V1166"/>
      <x:c r="W1166"/>
    </x:row>
    <x:row r="1167">
      <x:c r="A1167"/>
      <x:c r="B1167"/>
      <x:c r="C1167"/>
      <x:c r="D1167"/>
      <x:c r="E1167"/>
      <x:c r="F1167"/>
      <x:c r="G1167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  <x:c r="U1167"/>
      <x:c r="V1167"/>
      <x:c r="W1167"/>
    </x:row>
    <x:row r="1168">
      <x:c r="A1168"/>
      <x:c r="B1168"/>
      <x:c r="C1168"/>
      <x:c r="D1168"/>
      <x:c r="E1168"/>
      <x:c r="F1168"/>
      <x:c r="G1168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  <x:c r="U1168"/>
      <x:c r="V1168"/>
      <x:c r="W1168"/>
    </x:row>
    <x:row r="1169">
      <x:c r="A1169"/>
      <x:c r="B1169"/>
      <x:c r="C1169"/>
      <x:c r="D1169"/>
      <x:c r="E1169"/>
      <x:c r="F1169"/>
      <x:c r="G1169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  <x:c r="U1169"/>
      <x:c r="V1169"/>
      <x:c r="W1169"/>
    </x:row>
    <x:row r="1170">
      <x:c r="A1170"/>
      <x:c r="B1170"/>
      <x:c r="C1170"/>
      <x:c r="D1170"/>
      <x:c r="E1170"/>
      <x:c r="F1170"/>
      <x:c r="G1170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  <x:c r="U1170"/>
      <x:c r="V1170"/>
      <x:c r="W1170"/>
    </x:row>
    <x:row r="1171">
      <x:c r="A1171"/>
      <x:c r="B1171"/>
      <x:c r="C1171"/>
      <x:c r="D1171"/>
      <x:c r="E1171"/>
      <x:c r="F1171"/>
      <x:c r="G1171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  <x:c r="U1171"/>
      <x:c r="V1171"/>
      <x:c r="W1171"/>
    </x:row>
    <x:row r="1172">
      <x:c r="A1172"/>
      <x:c r="B1172"/>
      <x:c r="C1172"/>
      <x:c r="D1172"/>
      <x:c r="E1172"/>
      <x:c r="F1172"/>
      <x:c r="G1172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  <x:c r="U1172"/>
      <x:c r="V1172"/>
      <x:c r="W1172"/>
    </x:row>
    <x:row r="1173">
      <x:c r="A1173"/>
      <x:c r="B1173"/>
      <x:c r="C1173"/>
      <x:c r="D1173"/>
      <x:c r="E1173"/>
      <x:c r="F1173"/>
      <x:c r="G1173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  <x:c r="U1173"/>
      <x:c r="V1173"/>
      <x:c r="W1173"/>
    </x:row>
    <x:row r="1174">
      <x:c r="A1174"/>
      <x:c r="B1174"/>
      <x:c r="C1174"/>
      <x:c r="D1174"/>
      <x:c r="E1174"/>
      <x:c r="F1174"/>
      <x:c r="G1174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  <x:c r="U1174"/>
      <x:c r="V1174"/>
      <x:c r="W1174"/>
    </x:row>
    <x:row r="1175">
      <x:c r="A1175"/>
      <x:c r="B1175"/>
      <x:c r="C1175"/>
      <x:c r="D1175"/>
      <x:c r="E1175"/>
      <x:c r="F1175"/>
      <x:c r="G117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  <x:c r="U1175"/>
      <x:c r="V1175"/>
      <x:c r="W1175"/>
    </x:row>
    <x:row r="1176">
      <x:c r="A1176"/>
      <x:c r="B1176"/>
      <x:c r="C1176"/>
      <x:c r="D1176"/>
      <x:c r="E1176"/>
      <x:c r="F1176"/>
      <x:c r="G1176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  <x:c r="U1176"/>
      <x:c r="V1176"/>
      <x:c r="W1176"/>
    </x:row>
    <x:row r="1177">
      <x:c r="A1177"/>
      <x:c r="B1177"/>
      <x:c r="C1177"/>
      <x:c r="D1177"/>
      <x:c r="E1177"/>
      <x:c r="F1177"/>
      <x:c r="G1177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  <x:c r="U1177"/>
      <x:c r="V1177"/>
      <x:c r="W1177"/>
    </x:row>
    <x:row r="1178">
      <x:c r="A1178"/>
      <x:c r="B1178"/>
      <x:c r="C1178"/>
      <x:c r="D1178"/>
      <x:c r="E1178"/>
      <x:c r="F1178"/>
      <x:c r="G1178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  <x:c r="U1178"/>
      <x:c r="V1178"/>
      <x:c r="W1178"/>
    </x:row>
    <x:row r="1179">
      <x:c r="A1179"/>
      <x:c r="B1179"/>
      <x:c r="C1179"/>
      <x:c r="D1179"/>
      <x:c r="E1179"/>
      <x:c r="F1179"/>
      <x:c r="G1179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  <x:c r="U1179"/>
      <x:c r="V1179"/>
      <x:c r="W1179"/>
    </x:row>
    <x:row r="1180">
      <x:c r="A1180"/>
      <x:c r="B1180"/>
      <x:c r="C1180"/>
      <x:c r="D1180"/>
      <x:c r="E1180"/>
      <x:c r="F1180"/>
      <x:c r="G1180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  <x:c r="U1180"/>
      <x:c r="V1180"/>
      <x:c r="W1180"/>
    </x:row>
    <x:row r="1181">
      <x:c r="A1181"/>
      <x:c r="B1181"/>
      <x:c r="C1181"/>
      <x:c r="D1181"/>
      <x:c r="E1181"/>
      <x:c r="F1181"/>
      <x:c r="G1181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  <x:c r="U1181"/>
      <x:c r="V1181"/>
      <x:c r="W1181"/>
    </x:row>
    <x:row r="1182">
      <x:c r="A1182"/>
      <x:c r="B1182"/>
      <x:c r="C1182"/>
      <x:c r="D1182"/>
      <x:c r="E1182"/>
      <x:c r="F1182"/>
      <x:c r="G1182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  <x:c r="U1182"/>
      <x:c r="V1182"/>
      <x:c r="W1182"/>
    </x:row>
    <x:row r="1183">
      <x:c r="A1183"/>
      <x:c r="B1183"/>
      <x:c r="C1183"/>
      <x:c r="D1183"/>
      <x:c r="E1183"/>
      <x:c r="F1183"/>
      <x:c r="G1183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  <x:c r="U1183"/>
      <x:c r="V1183"/>
      <x:c r="W1183"/>
    </x:row>
    <x:row r="1184">
      <x:c r="A1184"/>
      <x:c r="B1184"/>
      <x:c r="C1184"/>
      <x:c r="D1184"/>
      <x:c r="E1184"/>
      <x:c r="F1184"/>
      <x:c r="G1184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  <x:c r="U1184"/>
      <x:c r="V1184"/>
      <x:c r="W1184"/>
    </x:row>
    <x:row r="1185">
      <x:c r="A1185"/>
      <x:c r="B1185"/>
      <x:c r="C1185"/>
      <x:c r="D1185"/>
      <x:c r="E1185"/>
      <x:c r="F1185"/>
      <x:c r="G118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  <x:c r="U1185"/>
      <x:c r="V1185"/>
      <x:c r="W1185"/>
    </x:row>
    <x:row r="1186">
      <x:c r="A1186"/>
      <x:c r="B1186"/>
      <x:c r="C1186"/>
      <x:c r="D1186"/>
      <x:c r="E1186"/>
      <x:c r="F1186"/>
      <x:c r="G1186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  <x:c r="U1186"/>
      <x:c r="V1186"/>
      <x:c r="W1186"/>
    </x:row>
    <x:row r="1187">
      <x:c r="A1187"/>
      <x:c r="B1187"/>
      <x:c r="C1187"/>
      <x:c r="D1187"/>
      <x:c r="E1187"/>
      <x:c r="F1187"/>
      <x:c r="G1187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  <x:c r="U1187"/>
      <x:c r="V1187"/>
      <x:c r="W1187"/>
    </x:row>
    <x:row r="1188">
      <x:c r="A1188"/>
      <x:c r="B1188"/>
      <x:c r="C1188"/>
      <x:c r="D1188"/>
      <x:c r="E1188"/>
      <x:c r="F1188"/>
      <x:c r="G1188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  <x:c r="U1188"/>
      <x:c r="V1188"/>
      <x:c r="W1188"/>
    </x:row>
    <x:row r="1189">
      <x:c r="A1189"/>
      <x:c r="B1189"/>
      <x:c r="C1189"/>
      <x:c r="D1189"/>
      <x:c r="E1189"/>
      <x:c r="F1189"/>
      <x:c r="G1189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  <x:c r="U1189"/>
      <x:c r="V1189"/>
      <x:c r="W1189"/>
    </x:row>
    <x:row r="1190">
      <x:c r="A1190"/>
      <x:c r="B1190"/>
      <x:c r="C1190"/>
      <x:c r="D1190"/>
      <x:c r="E1190"/>
      <x:c r="F1190"/>
      <x:c r="G1190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  <x:c r="U1190"/>
      <x:c r="V1190"/>
      <x:c r="W1190"/>
    </x:row>
    <x:row r="1191">
      <x:c r="A1191"/>
      <x:c r="B1191"/>
      <x:c r="C1191"/>
      <x:c r="D1191"/>
      <x:c r="E1191"/>
      <x:c r="F1191"/>
      <x:c r="G1191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  <x:c r="U1191"/>
      <x:c r="V1191"/>
      <x:c r="W1191"/>
    </x:row>
    <x:row r="1192">
      <x:c r="A1192"/>
      <x:c r="B1192"/>
      <x:c r="C1192"/>
      <x:c r="D1192"/>
      <x:c r="E1192"/>
      <x:c r="F1192"/>
      <x:c r="G1192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  <x:c r="U1192"/>
      <x:c r="V1192"/>
      <x:c r="W1192"/>
    </x:row>
    <x:row r="1193">
      <x:c r="A1193"/>
      <x:c r="B1193"/>
      <x:c r="C1193"/>
      <x:c r="D1193"/>
      <x:c r="E1193"/>
      <x:c r="F1193"/>
      <x:c r="G1193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  <x:c r="U1193"/>
      <x:c r="V1193"/>
      <x:c r="W1193"/>
    </x:row>
    <x:row r="1194">
      <x:c r="A1194"/>
      <x:c r="B1194"/>
      <x:c r="C1194"/>
      <x:c r="D1194"/>
      <x:c r="E1194"/>
      <x:c r="F1194"/>
      <x:c r="G1194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  <x:c r="U1194"/>
      <x:c r="V1194"/>
      <x:c r="W1194"/>
    </x:row>
    <x:row r="1195">
      <x:c r="A1195"/>
      <x:c r="B1195"/>
      <x:c r="C1195"/>
      <x:c r="D1195"/>
      <x:c r="E1195"/>
      <x:c r="F1195"/>
      <x:c r="G119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  <x:c r="U1195"/>
      <x:c r="V1195"/>
      <x:c r="W1195"/>
    </x:row>
    <x:row r="1196">
      <x:c r="A1196"/>
      <x:c r="B1196"/>
      <x:c r="C1196"/>
      <x:c r="D1196"/>
      <x:c r="E1196"/>
      <x:c r="F1196"/>
      <x:c r="G1196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  <x:c r="U1196"/>
      <x:c r="V1196"/>
      <x:c r="W1196"/>
    </x:row>
    <x:row r="1197">
      <x:c r="A1197"/>
      <x:c r="B1197"/>
      <x:c r="C1197"/>
      <x:c r="D1197"/>
      <x:c r="E1197"/>
      <x:c r="F1197"/>
      <x:c r="G1197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  <x:c r="U1197"/>
      <x:c r="V1197"/>
      <x:c r="W1197"/>
    </x:row>
    <x:row r="1198">
      <x:c r="A1198"/>
      <x:c r="B1198"/>
      <x:c r="C1198"/>
      <x:c r="D1198"/>
      <x:c r="E1198"/>
      <x:c r="F1198"/>
      <x:c r="G1198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  <x:c r="U1198"/>
      <x:c r="V1198"/>
      <x:c r="W1198"/>
    </x:row>
    <x:row r="1199">
      <x:c r="A1199"/>
      <x:c r="B1199"/>
      <x:c r="C1199"/>
      <x:c r="D1199"/>
      <x:c r="E1199"/>
      <x:c r="F1199"/>
      <x:c r="G1199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  <x:c r="U1199"/>
      <x:c r="V1199"/>
      <x:c r="W1199"/>
    </x:row>
    <x:row r="1200">
      <x:c r="A1200"/>
      <x:c r="B1200"/>
      <x:c r="C1200"/>
      <x:c r="D1200"/>
      <x:c r="E1200"/>
      <x:c r="F1200"/>
      <x:c r="G1200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  <x:c r="U1200"/>
      <x:c r="V1200"/>
      <x:c r="W1200"/>
    </x:row>
    <x:row r="1201">
      <x:c r="A1201"/>
      <x:c r="B1201"/>
      <x:c r="C1201"/>
      <x:c r="D1201"/>
      <x:c r="E1201"/>
      <x:c r="F1201"/>
      <x:c r="G1201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  <x:c r="U1201"/>
      <x:c r="V1201"/>
      <x:c r="W1201"/>
    </x:row>
    <x:row r="1202">
      <x:c r="A1202"/>
      <x:c r="B1202"/>
      <x:c r="C1202"/>
      <x:c r="D1202"/>
      <x:c r="E1202"/>
      <x:c r="F1202"/>
      <x:c r="G1202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  <x:c r="U1202"/>
      <x:c r="V1202"/>
      <x:c r="W1202"/>
    </x:row>
    <x:row r="1203">
      <x:c r="A1203"/>
      <x:c r="B1203"/>
      <x:c r="C1203"/>
      <x:c r="D1203"/>
      <x:c r="E1203"/>
      <x:c r="F1203"/>
      <x:c r="G1203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  <x:c r="U1203"/>
      <x:c r="V1203"/>
      <x:c r="W1203"/>
    </x:row>
    <x:row r="1204">
      <x:c r="A1204"/>
      <x:c r="B1204"/>
      <x:c r="C1204"/>
      <x:c r="D1204"/>
      <x:c r="E1204"/>
      <x:c r="F1204"/>
      <x:c r="G1204"/>
      <x:c r="H1204"/>
      <x:c r="I1204"/>
      <x:c r="J1204"/>
      <x:c r="K1204"/>
      <x:c r="L1204"/>
      <x:c r="M1204"/>
      <x:c r="N1204"/>
      <x:c r="O1204"/>
      <x:c r="P1204"/>
      <x:c r="Q1204"/>
      <x:c r="R1204"/>
      <x:c r="S1204"/>
      <x:c r="T1204"/>
      <x:c r="U1204"/>
      <x:c r="V1204"/>
      <x:c r="W1204"/>
    </x:row>
    <x:row r="1205">
      <x:c r="A1205"/>
      <x:c r="B1205"/>
      <x:c r="C1205"/>
      <x:c r="D1205"/>
      <x:c r="E1205"/>
      <x:c r="F1205"/>
      <x:c r="G1205"/>
      <x:c r="H1205"/>
      <x:c r="I1205"/>
      <x:c r="J1205"/>
      <x:c r="K1205"/>
      <x:c r="L1205"/>
      <x:c r="M1205"/>
      <x:c r="N1205"/>
      <x:c r="O1205"/>
      <x:c r="P1205"/>
      <x:c r="Q1205"/>
      <x:c r="R1205"/>
      <x:c r="S1205"/>
      <x:c r="T1205"/>
      <x:c r="U1205"/>
      <x:c r="V1205"/>
      <x:c r="W1205"/>
    </x:row>
    <x:row r="1206">
      <x:c r="A1206"/>
      <x:c r="B1206"/>
      <x:c r="C1206"/>
      <x:c r="D1206"/>
      <x:c r="E1206"/>
      <x:c r="F1206"/>
      <x:c r="G1206"/>
      <x:c r="H1206"/>
      <x:c r="I1206"/>
      <x:c r="J1206"/>
      <x:c r="K1206"/>
      <x:c r="L1206"/>
      <x:c r="M1206"/>
      <x:c r="N1206"/>
      <x:c r="O1206"/>
      <x:c r="P1206"/>
      <x:c r="Q1206"/>
      <x:c r="R1206"/>
      <x:c r="S1206"/>
      <x:c r="T1206"/>
      <x:c r="U1206"/>
      <x:c r="V1206"/>
      <x:c r="W1206"/>
    </x:row>
    <x:row r="1207">
      <x:c r="A1207"/>
      <x:c r="B1207"/>
      <x:c r="C1207"/>
      <x:c r="D1207"/>
      <x:c r="E1207"/>
      <x:c r="F1207"/>
      <x:c r="G1207"/>
      <x:c r="H1207"/>
      <x:c r="I1207"/>
      <x:c r="J1207"/>
      <x:c r="K1207"/>
      <x:c r="L1207"/>
      <x:c r="M1207"/>
      <x:c r="N1207"/>
      <x:c r="O1207"/>
      <x:c r="P1207"/>
      <x:c r="Q1207"/>
      <x:c r="R1207"/>
      <x:c r="S1207"/>
      <x:c r="T1207"/>
      <x:c r="U1207"/>
      <x:c r="V1207"/>
      <x:c r="W1207"/>
    </x:row>
    <x:row r="1208">
      <x:c r="A1208"/>
      <x:c r="B1208"/>
      <x:c r="C1208"/>
      <x:c r="D1208"/>
      <x:c r="E1208"/>
      <x:c r="F1208"/>
      <x:c r="G1208"/>
      <x:c r="H1208"/>
      <x:c r="I1208"/>
      <x:c r="J1208"/>
      <x:c r="K1208"/>
      <x:c r="L1208"/>
      <x:c r="M1208"/>
      <x:c r="N1208"/>
      <x:c r="O1208"/>
      <x:c r="P1208"/>
      <x:c r="Q1208"/>
      <x:c r="R1208"/>
      <x:c r="S1208"/>
      <x:c r="T1208"/>
      <x:c r="U1208"/>
      <x:c r="V1208"/>
      <x:c r="W1208"/>
    </x:row>
    <x:row r="1209">
      <x:c r="A1209"/>
      <x:c r="B1209"/>
      <x:c r="C1209"/>
      <x:c r="D1209"/>
      <x:c r="E1209"/>
      <x:c r="F1209"/>
      <x:c r="G1209"/>
      <x:c r="H1209"/>
      <x:c r="I1209"/>
      <x:c r="J1209"/>
      <x:c r="K1209"/>
      <x:c r="L1209"/>
      <x:c r="M1209"/>
      <x:c r="N1209"/>
      <x:c r="O1209"/>
      <x:c r="P1209"/>
      <x:c r="Q1209"/>
      <x:c r="R1209"/>
      <x:c r="S1209"/>
      <x:c r="T1209"/>
      <x:c r="U1209"/>
      <x:c r="V1209"/>
      <x:c r="W1209"/>
    </x:row>
    <x:row r="1210">
      <x:c r="A1210"/>
      <x:c r="B1210"/>
      <x:c r="C1210"/>
      <x:c r="D1210"/>
      <x:c r="E1210"/>
      <x:c r="F1210"/>
      <x:c r="G1210"/>
      <x:c r="H1210"/>
      <x:c r="I1210"/>
      <x:c r="J1210"/>
      <x:c r="K1210"/>
      <x:c r="L1210"/>
      <x:c r="M1210"/>
      <x:c r="N1210"/>
      <x:c r="O1210"/>
      <x:c r="P1210"/>
      <x:c r="Q1210"/>
      <x:c r="R1210"/>
      <x:c r="S1210"/>
      <x:c r="T1210"/>
      <x:c r="U1210"/>
      <x:c r="V1210"/>
      <x:c r="W1210"/>
    </x:row>
    <x:row r="121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  <x:c r="U1211"/>
      <x:c r="V1211"/>
      <x:c r="W1211"/>
    </x:row>
    <x:row r="1212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  <x:c r="U1212"/>
      <x:c r="V1212"/>
      <x:c r="W1212"/>
    </x:row>
    <x:row r="1213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  <x:c r="U1213"/>
      <x:c r="V1213"/>
      <x:c r="W1213"/>
    </x:row>
    <x:row r="1214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  <x:c r="U1214"/>
      <x:c r="V1214"/>
      <x:c r="W1214"/>
    </x:row>
    <x:row r="1215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  <x:c r="U1215"/>
      <x:c r="V1215"/>
      <x:c r="W1215"/>
    </x:row>
    <x:row r="1216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  <x:c r="U1216"/>
      <x:c r="V1216"/>
      <x:c r="W1216"/>
    </x:row>
    <x:row r="1217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  <x:c r="U1217"/>
      <x:c r="V1217"/>
      <x:c r="W1217"/>
    </x:row>
    <x:row r="1218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  <x:c r="U1218"/>
      <x:c r="V1218"/>
      <x:c r="W1218"/>
    </x:row>
    <x:row r="1219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  <x:c r="U1219"/>
      <x:c r="V1219"/>
      <x:c r="W1219"/>
    </x:row>
    <x:row r="1220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  <x:c r="U1220"/>
      <x:c r="V1220"/>
      <x:c r="W1220"/>
    </x:row>
    <x:row r="122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  <x:c r="U1221"/>
      <x:c r="V1221"/>
      <x:c r="W1221"/>
    </x:row>
    <x:row r="1222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  <x:c r="U1222"/>
      <x:c r="V1222"/>
      <x:c r="W1222"/>
    </x:row>
    <x:row r="1223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  <x:c r="U1223"/>
      <x:c r="V1223"/>
      <x:c r="W1223"/>
    </x:row>
    <x:row r="1224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  <x:c r="U1224"/>
      <x:c r="V1224"/>
      <x:c r="W1224"/>
    </x:row>
    <x:row r="1225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  <x:c r="U1225"/>
      <x:c r="V1225"/>
      <x:c r="W1225"/>
    </x:row>
    <x:row r="1226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  <x:c r="U1226"/>
      <x:c r="V1226"/>
      <x:c r="W1226"/>
    </x:row>
    <x:row r="1227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  <x:c r="U1227"/>
      <x:c r="V1227"/>
      <x:c r="W1227"/>
    </x:row>
    <x:row r="1228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  <x:c r="U1228"/>
      <x:c r="V1228"/>
      <x:c r="W1228"/>
    </x:row>
    <x:row r="1229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  <x:c r="U1229"/>
      <x:c r="V1229"/>
      <x:c r="W1229"/>
    </x:row>
    <x:row r="1230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  <x:c r="U1230"/>
      <x:c r="V1230"/>
      <x:c r="W1230"/>
    </x:row>
    <x:row r="123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  <x:c r="U1231"/>
      <x:c r="V1231"/>
      <x:c r="W1231"/>
    </x:row>
    <x:row r="1232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  <x:c r="U1232"/>
      <x:c r="V1232"/>
      <x:c r="W1232"/>
    </x:row>
    <x:row r="1233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  <x:c r="U1233"/>
      <x:c r="V1233"/>
      <x:c r="W1233"/>
    </x:row>
    <x:row r="1234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  <x:c r="U1234"/>
      <x:c r="V1234"/>
      <x:c r="W1234"/>
    </x:row>
    <x:row r="1235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  <x:c r="U1235"/>
      <x:c r="V1235"/>
      <x:c r="W1235"/>
    </x:row>
    <x:row r="1236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  <x:c r="U1236"/>
      <x:c r="V1236"/>
      <x:c r="W1236"/>
    </x:row>
    <x:row r="1237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  <x:c r="U1237"/>
      <x:c r="V1237"/>
      <x:c r="W1237"/>
    </x:row>
    <x:row r="1238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  <x:c r="U1238"/>
      <x:c r="V1238"/>
      <x:c r="W1238"/>
    </x:row>
    <x:row r="1239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  <x:c r="U1239"/>
      <x:c r="V1239"/>
      <x:c r="W1239"/>
    </x:row>
    <x:row r="1240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  <x:c r="U1240"/>
      <x:c r="V1240"/>
      <x:c r="W1240"/>
    </x:row>
    <x:row r="124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  <x:c r="U1241"/>
      <x:c r="V1241"/>
      <x:c r="W1241"/>
    </x:row>
    <x:row r="1242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  <x:c r="U1242"/>
      <x:c r="V1242"/>
      <x:c r="W1242"/>
    </x:row>
    <x:row r="1243">
      <x:c r="A1243"/>
      <x:c r="B1243"/>
      <x:c r="C1243"/>
      <x:c r="D1243"/>
      <x:c r="E1243"/>
      <x:c r="F1243"/>
      <x:c r="G1243"/>
      <x:c r="H1243"/>
      <x:c r="I1243"/>
      <x:c r="J1243"/>
      <x:c r="K1243"/>
      <x:c r="L1243"/>
      <x:c r="M1243"/>
      <x:c r="N1243"/>
      <x:c r="O1243"/>
      <x:c r="P1243"/>
      <x:c r="Q1243"/>
      <x:c r="R1243"/>
      <x:c r="S1243"/>
      <x:c r="T1243"/>
      <x:c r="U1243"/>
      <x:c r="V1243"/>
      <x:c r="W1243"/>
    </x:row>
    <x:row r="1244">
      <x:c r="A1244"/>
      <x:c r="B1244"/>
      <x:c r="C1244"/>
      <x:c r="D1244"/>
      <x:c r="E1244"/>
      <x:c r="F1244"/>
      <x:c r="G1244"/>
      <x:c r="H1244"/>
      <x:c r="I1244"/>
      <x:c r="J1244"/>
      <x:c r="K1244"/>
      <x:c r="L1244"/>
      <x:c r="M1244"/>
      <x:c r="N1244"/>
      <x:c r="O1244"/>
      <x:c r="P1244"/>
      <x:c r="Q1244"/>
      <x:c r="R1244"/>
      <x:c r="S1244"/>
      <x:c r="T1244"/>
      <x:c r="U1244"/>
      <x:c r="V1244"/>
      <x:c r="W1244"/>
    </x:row>
    <x:row r="1245">
      <x:c r="A1245"/>
      <x:c r="B1245"/>
      <x:c r="C1245"/>
      <x:c r="D1245"/>
      <x:c r="E1245"/>
      <x:c r="F1245"/>
      <x:c r="G1245"/>
      <x:c r="H1245"/>
      <x:c r="I1245"/>
      <x:c r="J1245"/>
      <x:c r="K1245"/>
      <x:c r="L1245"/>
      <x:c r="M1245"/>
      <x:c r="N1245"/>
      <x:c r="O1245"/>
      <x:c r="P1245"/>
      <x:c r="Q1245"/>
      <x:c r="R1245"/>
      <x:c r="S1245"/>
      <x:c r="T1245"/>
      <x:c r="U1245"/>
      <x:c r="V1245"/>
      <x:c r="W1245"/>
    </x:row>
    <x:row r="1246">
      <x:c r="A1246"/>
      <x:c r="B1246"/>
      <x:c r="C1246"/>
      <x:c r="D1246"/>
      <x:c r="E1246"/>
      <x:c r="F1246"/>
      <x:c r="G1246"/>
      <x:c r="H1246"/>
      <x:c r="I1246"/>
      <x:c r="J1246"/>
      <x:c r="K1246"/>
      <x:c r="L1246"/>
      <x:c r="M1246"/>
      <x:c r="N1246"/>
      <x:c r="O1246"/>
      <x:c r="P1246"/>
      <x:c r="Q1246"/>
      <x:c r="R1246"/>
      <x:c r="S1246"/>
      <x:c r="T1246"/>
      <x:c r="U1246"/>
      <x:c r="V1246"/>
      <x:c r="W1246"/>
    </x:row>
    <x:row r="1247">
      <x:c r="A1247"/>
      <x:c r="B1247"/>
      <x:c r="C1247"/>
      <x:c r="D1247"/>
      <x:c r="E1247"/>
      <x:c r="F1247"/>
      <x:c r="G1247"/>
      <x:c r="H1247"/>
      <x:c r="I1247"/>
      <x:c r="J1247"/>
      <x:c r="K1247"/>
      <x:c r="L1247"/>
      <x:c r="M1247"/>
      <x:c r="N1247"/>
      <x:c r="O1247"/>
      <x:c r="P1247"/>
      <x:c r="Q1247"/>
      <x:c r="R1247"/>
      <x:c r="S1247"/>
      <x:c r="T1247"/>
      <x:c r="U1247"/>
      <x:c r="V1247"/>
      <x:c r="W1247"/>
    </x:row>
    <x:row r="1248">
      <x:c r="A1248"/>
      <x:c r="B1248"/>
      <x:c r="C1248"/>
      <x:c r="D1248"/>
      <x:c r="E1248"/>
      <x:c r="F1248"/>
      <x:c r="G1248"/>
      <x:c r="H1248"/>
      <x:c r="I1248"/>
      <x:c r="J1248"/>
      <x:c r="K1248"/>
      <x:c r="L1248"/>
      <x:c r="M1248"/>
      <x:c r="N1248"/>
      <x:c r="O1248"/>
      <x:c r="P1248"/>
      <x:c r="Q1248"/>
      <x:c r="R1248"/>
      <x:c r="S1248"/>
      <x:c r="T1248"/>
      <x:c r="U1248"/>
      <x:c r="V1248"/>
      <x:c r="W1248"/>
    </x:row>
    <x:row r="1249">
      <x:c r="A1249"/>
      <x:c r="B1249"/>
      <x:c r="C1249"/>
      <x:c r="D1249"/>
      <x:c r="E1249"/>
      <x:c r="F1249"/>
      <x:c r="G1249"/>
      <x:c r="H1249"/>
      <x:c r="I1249"/>
      <x:c r="J1249"/>
      <x:c r="K1249"/>
      <x:c r="L1249"/>
      <x:c r="M1249"/>
      <x:c r="N1249"/>
      <x:c r="O1249"/>
      <x:c r="P1249"/>
      <x:c r="Q1249"/>
      <x:c r="R1249"/>
      <x:c r="S1249"/>
      <x:c r="T1249"/>
      <x:c r="U1249"/>
      <x:c r="V1249"/>
      <x:c r="W1249"/>
    </x:row>
    <x:row r="1250">
      <x:c r="A1250"/>
      <x:c r="B1250"/>
      <x:c r="C1250"/>
      <x:c r="D1250"/>
      <x:c r="E1250"/>
      <x:c r="F1250"/>
      <x:c r="G1250"/>
      <x:c r="H1250"/>
      <x:c r="I1250"/>
      <x:c r="J1250"/>
      <x:c r="K1250"/>
      <x:c r="L1250"/>
      <x:c r="M1250"/>
      <x:c r="N1250"/>
      <x:c r="O1250"/>
      <x:c r="P1250"/>
      <x:c r="Q1250"/>
      <x:c r="R1250"/>
      <x:c r="S1250"/>
      <x:c r="T1250"/>
      <x:c r="U1250"/>
      <x:c r="V1250"/>
      <x:c r="W1250"/>
    </x:row>
    <x:row r="1251">
      <x:c r="A1251"/>
      <x:c r="B1251"/>
      <x:c r="C1251"/>
      <x:c r="D1251"/>
      <x:c r="E1251"/>
      <x:c r="F1251"/>
      <x:c r="G1251"/>
      <x:c r="H1251"/>
      <x:c r="I1251"/>
      <x:c r="J1251"/>
      <x:c r="K1251"/>
      <x:c r="L1251"/>
      <x:c r="M1251"/>
      <x:c r="N1251"/>
      <x:c r="O1251"/>
      <x:c r="P1251"/>
      <x:c r="Q1251"/>
      <x:c r="R1251"/>
      <x:c r="S1251"/>
      <x:c r="T1251"/>
      <x:c r="U1251"/>
      <x:c r="V1251"/>
      <x:c r="W1251"/>
    </x:row>
    <x:row r="1252">
      <x:c r="A1252"/>
      <x:c r="B1252"/>
      <x:c r="C1252"/>
      <x:c r="D1252"/>
      <x:c r="E1252"/>
      <x:c r="F1252"/>
      <x:c r="G1252"/>
      <x:c r="H1252"/>
      <x:c r="I1252"/>
      <x:c r="J1252"/>
      <x:c r="K1252"/>
      <x:c r="L1252"/>
      <x:c r="M1252"/>
      <x:c r="N1252"/>
      <x:c r="O1252"/>
      <x:c r="P1252"/>
      <x:c r="Q1252"/>
      <x:c r="R1252"/>
      <x:c r="S1252"/>
      <x:c r="T1252"/>
      <x:c r="U1252"/>
      <x:c r="V1252"/>
      <x:c r="W1252"/>
    </x:row>
    <x:row r="1253">
      <x:c r="A1253"/>
      <x:c r="B1253"/>
      <x:c r="C1253"/>
      <x:c r="D1253"/>
      <x:c r="E1253"/>
      <x:c r="F1253"/>
      <x:c r="G1253"/>
      <x:c r="H1253"/>
      <x:c r="I1253"/>
      <x:c r="J1253"/>
      <x:c r="K1253"/>
      <x:c r="L1253"/>
      <x:c r="M1253"/>
      <x:c r="N1253"/>
      <x:c r="O1253"/>
      <x:c r="P1253"/>
      <x:c r="Q1253"/>
      <x:c r="R1253"/>
      <x:c r="S1253"/>
      <x:c r="T1253"/>
      <x:c r="U1253"/>
      <x:c r="V1253"/>
      <x:c r="W1253"/>
    </x:row>
    <x:row r="1254">
      <x:c r="A1254"/>
      <x:c r="B1254"/>
      <x:c r="C1254"/>
      <x:c r="D1254"/>
      <x:c r="E1254"/>
      <x:c r="F1254"/>
      <x:c r="G1254"/>
      <x:c r="H1254"/>
      <x:c r="I1254"/>
      <x:c r="J1254"/>
      <x:c r="K1254"/>
      <x:c r="L1254"/>
      <x:c r="M1254"/>
      <x:c r="N1254"/>
      <x:c r="O1254"/>
      <x:c r="P1254"/>
      <x:c r="Q1254"/>
      <x:c r="R1254"/>
      <x:c r="S1254"/>
      <x:c r="T1254"/>
      <x:c r="U1254"/>
      <x:c r="V1254"/>
      <x:c r="W1254"/>
    </x:row>
    <x:row r="1255">
      <x:c r="A1255"/>
      <x:c r="B1255"/>
      <x:c r="C1255"/>
      <x:c r="D1255"/>
      <x:c r="E1255"/>
      <x:c r="F1255"/>
      <x:c r="G1255"/>
      <x:c r="H1255"/>
      <x:c r="I1255"/>
      <x:c r="J1255"/>
      <x:c r="K1255"/>
      <x:c r="L1255"/>
      <x:c r="M1255"/>
      <x:c r="N1255"/>
      <x:c r="O1255"/>
      <x:c r="P1255"/>
      <x:c r="Q1255"/>
      <x:c r="R1255"/>
      <x:c r="S1255"/>
      <x:c r="T1255"/>
      <x:c r="U1255"/>
      <x:c r="V1255"/>
      <x:c r="W1255"/>
    </x:row>
    <x:row r="1256">
      <x:c r="A1256"/>
      <x:c r="B1256"/>
      <x:c r="C1256"/>
      <x:c r="D1256"/>
      <x:c r="E1256"/>
      <x:c r="F1256"/>
      <x:c r="G1256"/>
      <x:c r="H1256"/>
      <x:c r="I1256"/>
      <x:c r="J1256"/>
      <x:c r="K1256"/>
      <x:c r="L1256"/>
      <x:c r="M1256"/>
      <x:c r="N1256"/>
      <x:c r="O1256"/>
      <x:c r="P1256"/>
      <x:c r="Q1256"/>
      <x:c r="R1256"/>
      <x:c r="S1256"/>
      <x:c r="T1256"/>
      <x:c r="U1256"/>
      <x:c r="V1256"/>
      <x:c r="W1256"/>
    </x:row>
    <x:row r="1257">
      <x:c r="A1257"/>
      <x:c r="B1257"/>
      <x:c r="C1257"/>
      <x:c r="D1257"/>
      <x:c r="E1257"/>
      <x:c r="F1257"/>
      <x:c r="G1257"/>
      <x:c r="H1257"/>
      <x:c r="I1257"/>
      <x:c r="J1257"/>
      <x:c r="K1257"/>
      <x:c r="L1257"/>
      <x:c r="M1257"/>
      <x:c r="N1257"/>
      <x:c r="O1257"/>
      <x:c r="P1257"/>
      <x:c r="Q1257"/>
      <x:c r="R1257"/>
      <x:c r="S1257"/>
      <x:c r="T1257"/>
      <x:c r="U1257"/>
      <x:c r="V1257"/>
      <x:c r="W1257"/>
    </x:row>
    <x:row r="1258">
      <x:c r="A1258"/>
      <x:c r="B1258"/>
      <x:c r="C1258"/>
      <x:c r="D1258"/>
      <x:c r="E1258"/>
      <x:c r="F1258"/>
      <x:c r="G1258"/>
      <x:c r="H1258"/>
      <x:c r="I1258"/>
      <x:c r="J1258"/>
      <x:c r="K1258"/>
      <x:c r="L1258"/>
      <x:c r="M1258"/>
      <x:c r="N1258"/>
      <x:c r="O1258"/>
      <x:c r="P1258"/>
      <x:c r="Q1258"/>
      <x:c r="R1258"/>
      <x:c r="S1258"/>
      <x:c r="T1258"/>
      <x:c r="U1258"/>
      <x:c r="V1258"/>
      <x:c r="W1258"/>
    </x:row>
    <x:row r="1259">
      <x:c r="A1259"/>
      <x:c r="B1259"/>
      <x:c r="C1259"/>
      <x:c r="D1259"/>
      <x:c r="E1259"/>
      <x:c r="F1259"/>
      <x:c r="G1259"/>
      <x:c r="H1259"/>
      <x:c r="I1259"/>
      <x:c r="J1259"/>
      <x:c r="K1259"/>
      <x:c r="L1259"/>
      <x:c r="M1259"/>
      <x:c r="N1259"/>
      <x:c r="O1259"/>
      <x:c r="P1259"/>
      <x:c r="Q1259"/>
      <x:c r="R1259"/>
      <x:c r="S1259"/>
      <x:c r="T1259"/>
      <x:c r="U1259"/>
      <x:c r="V1259"/>
      <x:c r="W1259"/>
    </x:row>
    <x:row r="1260">
      <x:c r="A1260"/>
      <x:c r="B1260"/>
      <x:c r="C1260"/>
      <x:c r="D1260"/>
      <x:c r="E1260"/>
      <x:c r="F1260"/>
      <x:c r="G1260"/>
      <x:c r="H1260"/>
      <x:c r="I1260"/>
      <x:c r="J1260"/>
      <x:c r="K1260"/>
      <x:c r="L1260"/>
      <x:c r="M1260"/>
      <x:c r="N1260"/>
      <x:c r="O1260"/>
      <x:c r="P1260"/>
      <x:c r="Q1260"/>
      <x:c r="R1260"/>
      <x:c r="S1260"/>
      <x:c r="T1260"/>
      <x:c r="U1260"/>
      <x:c r="V1260"/>
      <x:c r="W1260"/>
    </x:row>
    <x:row r="1261">
      <x:c r="A1261"/>
      <x:c r="B1261"/>
      <x:c r="C1261"/>
      <x:c r="D1261"/>
      <x:c r="E1261"/>
      <x:c r="F1261"/>
      <x:c r="G1261"/>
      <x:c r="H1261"/>
      <x:c r="I1261"/>
      <x:c r="J1261"/>
      <x:c r="K1261"/>
      <x:c r="L1261"/>
      <x:c r="M1261"/>
      <x:c r="N1261"/>
      <x:c r="O1261"/>
      <x:c r="P1261"/>
      <x:c r="Q1261"/>
      <x:c r="R1261"/>
      <x:c r="S1261"/>
      <x:c r="T1261"/>
      <x:c r="U1261"/>
      <x:c r="V1261"/>
      <x:c r="W1261"/>
    </x:row>
    <x:row r="1262">
      <x:c r="A1262"/>
      <x:c r="B1262"/>
      <x:c r="C1262"/>
      <x:c r="D1262"/>
      <x:c r="E1262"/>
      <x:c r="F1262"/>
      <x:c r="G1262"/>
      <x:c r="H1262"/>
      <x:c r="I1262"/>
      <x:c r="J1262"/>
      <x:c r="K1262"/>
      <x:c r="L1262"/>
      <x:c r="M1262"/>
      <x:c r="N1262"/>
      <x:c r="O1262"/>
      <x:c r="P1262"/>
      <x:c r="Q1262"/>
      <x:c r="R1262"/>
      <x:c r="S1262"/>
      <x:c r="T1262"/>
      <x:c r="U1262"/>
      <x:c r="V1262"/>
      <x:c r="W1262"/>
    </x:row>
    <x:row r="1263">
      <x:c r="A1263"/>
      <x:c r="B1263"/>
      <x:c r="C1263"/>
      <x:c r="D1263"/>
      <x:c r="E1263"/>
      <x:c r="F1263"/>
      <x:c r="G1263"/>
      <x:c r="H1263"/>
      <x:c r="I1263"/>
      <x:c r="J1263"/>
      <x:c r="K1263"/>
      <x:c r="L1263"/>
      <x:c r="M1263"/>
      <x:c r="N1263"/>
      <x:c r="O1263"/>
      <x:c r="P1263"/>
      <x:c r="Q1263"/>
      <x:c r="R1263"/>
      <x:c r="S1263"/>
      <x:c r="T1263"/>
      <x:c r="U1263"/>
      <x:c r="V1263"/>
      <x:c r="W1263"/>
    </x:row>
    <x:row r="1264">
      <x:c r="A1264"/>
      <x:c r="B1264"/>
      <x:c r="C1264"/>
      <x:c r="D1264"/>
      <x:c r="E1264"/>
      <x:c r="F1264"/>
      <x:c r="G1264"/>
      <x:c r="H1264"/>
      <x:c r="I1264"/>
      <x:c r="J1264"/>
      <x:c r="K1264"/>
      <x:c r="L1264"/>
      <x:c r="M1264"/>
      <x:c r="N1264"/>
      <x:c r="O1264"/>
      <x:c r="P1264"/>
      <x:c r="Q1264"/>
      <x:c r="R1264"/>
      <x:c r="S1264"/>
      <x:c r="T1264"/>
      <x:c r="U1264"/>
      <x:c r="V1264"/>
      <x:c r="W1264"/>
    </x:row>
    <x:row r="1265">
      <x:c r="A1265"/>
      <x:c r="B1265"/>
      <x:c r="C1265"/>
      <x:c r="D1265"/>
      <x:c r="E1265"/>
      <x:c r="F1265"/>
      <x:c r="G1265"/>
      <x:c r="H1265"/>
      <x:c r="I1265"/>
      <x:c r="J1265"/>
      <x:c r="K1265"/>
      <x:c r="L1265"/>
      <x:c r="M1265"/>
      <x:c r="N1265"/>
      <x:c r="O1265"/>
      <x:c r="P1265"/>
      <x:c r="Q1265"/>
      <x:c r="R1265"/>
      <x:c r="S1265"/>
      <x:c r="T1265"/>
      <x:c r="U1265"/>
      <x:c r="V1265"/>
      <x:c r="W1265"/>
    </x:row>
    <x:row r="1266">
      <x:c r="A1266"/>
      <x:c r="B1266"/>
      <x:c r="C1266"/>
      <x:c r="D1266"/>
      <x:c r="E1266"/>
      <x:c r="F1266"/>
      <x:c r="G1266"/>
      <x:c r="H1266"/>
      <x:c r="I1266"/>
      <x:c r="J1266"/>
      <x:c r="K1266"/>
      <x:c r="L1266"/>
      <x:c r="M1266"/>
      <x:c r="N1266"/>
      <x:c r="O1266"/>
      <x:c r="P1266"/>
      <x:c r="Q1266"/>
      <x:c r="R1266"/>
      <x:c r="S1266"/>
      <x:c r="T1266"/>
      <x:c r="U1266"/>
      <x:c r="V1266"/>
      <x:c r="W1266"/>
    </x:row>
    <x:row r="1267">
      <x:c r="A1267"/>
      <x:c r="B1267"/>
      <x:c r="C1267"/>
      <x:c r="D1267"/>
      <x:c r="E1267"/>
      <x:c r="F1267"/>
      <x:c r="G1267"/>
      <x:c r="H1267"/>
      <x:c r="I1267"/>
      <x:c r="J1267"/>
      <x:c r="K1267"/>
      <x:c r="L1267"/>
      <x:c r="M1267"/>
      <x:c r="N1267"/>
      <x:c r="O1267"/>
      <x:c r="P1267"/>
      <x:c r="Q1267"/>
      <x:c r="R1267"/>
      <x:c r="S1267"/>
      <x:c r="T1267"/>
      <x:c r="U1267"/>
      <x:c r="V1267"/>
      <x:c r="W1267"/>
    </x:row>
    <x:row r="1268">
      <x:c r="A1268"/>
      <x:c r="B1268"/>
      <x:c r="C1268"/>
      <x:c r="D1268"/>
      <x:c r="E1268"/>
      <x:c r="F1268"/>
      <x:c r="G1268"/>
      <x:c r="H1268"/>
      <x:c r="I1268"/>
      <x:c r="J1268"/>
      <x:c r="K1268"/>
      <x:c r="L1268"/>
      <x:c r="M1268"/>
      <x:c r="N1268"/>
      <x:c r="O1268"/>
      <x:c r="P1268"/>
      <x:c r="Q1268"/>
      <x:c r="R1268"/>
      <x:c r="S1268"/>
      <x:c r="T1268"/>
      <x:c r="U1268"/>
      <x:c r="V1268"/>
      <x:c r="W1268"/>
    </x:row>
    <x:row r="1269">
      <x:c r="A1269"/>
      <x:c r="B1269"/>
      <x:c r="C1269"/>
      <x:c r="D1269"/>
      <x:c r="E1269"/>
      <x:c r="F1269"/>
      <x:c r="G1269"/>
      <x:c r="H1269"/>
      <x:c r="I1269"/>
      <x:c r="J1269"/>
      <x:c r="K1269"/>
      <x:c r="L1269"/>
      <x:c r="M1269"/>
      <x:c r="N1269"/>
      <x:c r="O1269"/>
      <x:c r="P1269"/>
      <x:c r="Q1269"/>
      <x:c r="R1269"/>
      <x:c r="S1269"/>
      <x:c r="T1269"/>
      <x:c r="U1269"/>
      <x:c r="V1269"/>
      <x:c r="W1269"/>
    </x:row>
    <x:row r="1270">
      <x:c r="A1270"/>
      <x:c r="B1270"/>
      <x:c r="C1270"/>
      <x:c r="D1270"/>
      <x:c r="E1270"/>
      <x:c r="F1270"/>
      <x:c r="G1270"/>
      <x:c r="H1270"/>
      <x:c r="I1270"/>
      <x:c r="J1270"/>
      <x:c r="K1270"/>
      <x:c r="L1270"/>
      <x:c r="M1270"/>
      <x:c r="N1270"/>
      <x:c r="O1270"/>
      <x:c r="P1270"/>
      <x:c r="Q1270"/>
      <x:c r="R1270"/>
      <x:c r="S1270"/>
      <x:c r="T1270"/>
      <x:c r="U1270"/>
      <x:c r="V1270"/>
      <x:c r="W1270"/>
    </x:row>
    <x:row r="1271">
      <x:c r="A1271"/>
      <x:c r="B1271"/>
      <x:c r="C1271"/>
      <x:c r="D1271"/>
      <x:c r="E1271"/>
      <x:c r="F1271"/>
      <x:c r="G1271"/>
      <x:c r="H1271"/>
      <x:c r="I1271"/>
      <x:c r="J1271"/>
      <x:c r="K1271"/>
      <x:c r="L1271"/>
      <x:c r="M1271"/>
      <x:c r="N1271"/>
      <x:c r="O1271"/>
      <x:c r="P1271"/>
      <x:c r="Q1271"/>
      <x:c r="R1271"/>
      <x:c r="S1271"/>
      <x:c r="T1271"/>
      <x:c r="U1271"/>
      <x:c r="V1271"/>
      <x:c r="W1271"/>
    </x:row>
    <x:row r="1272">
      <x:c r="A1272"/>
      <x:c r="B1272"/>
      <x:c r="C1272"/>
      <x:c r="D1272"/>
      <x:c r="E1272"/>
      <x:c r="F1272"/>
      <x:c r="G1272"/>
      <x:c r="H1272"/>
      <x:c r="I1272"/>
      <x:c r="J1272"/>
      <x:c r="K1272"/>
      <x:c r="L1272"/>
      <x:c r="M1272"/>
      <x:c r="N1272"/>
      <x:c r="O1272"/>
      <x:c r="P1272"/>
      <x:c r="Q1272"/>
      <x:c r="R1272"/>
      <x:c r="S1272"/>
      <x:c r="T1272"/>
      <x:c r="U1272"/>
      <x:c r="V1272"/>
      <x:c r="W1272"/>
    </x:row>
    <x:row r="1273">
      <x:c r="A1273"/>
      <x:c r="B1273"/>
      <x:c r="C1273"/>
      <x:c r="D1273"/>
      <x:c r="E1273"/>
      <x:c r="F1273"/>
      <x:c r="G1273"/>
      <x:c r="H1273"/>
      <x:c r="I1273"/>
      <x:c r="J1273"/>
      <x:c r="K1273"/>
      <x:c r="L1273"/>
      <x:c r="M1273"/>
      <x:c r="N1273"/>
      <x:c r="O1273"/>
      <x:c r="P1273"/>
      <x:c r="Q1273"/>
      <x:c r="R1273"/>
      <x:c r="S1273"/>
      <x:c r="T1273"/>
      <x:c r="U1273"/>
      <x:c r="V1273"/>
      <x:c r="W1273"/>
    </x:row>
    <x:row r="1274">
      <x:c r="A1274"/>
      <x:c r="B1274"/>
      <x:c r="C1274"/>
      <x:c r="D1274"/>
      <x:c r="E1274"/>
      <x:c r="F1274"/>
      <x:c r="G1274"/>
      <x:c r="H1274"/>
      <x:c r="I1274"/>
      <x:c r="J1274"/>
      <x:c r="K1274"/>
      <x:c r="L1274"/>
      <x:c r="M1274"/>
      <x:c r="N1274"/>
      <x:c r="O1274"/>
      <x:c r="P1274"/>
      <x:c r="Q1274"/>
      <x:c r="R1274"/>
      <x:c r="S1274"/>
      <x:c r="T1274"/>
      <x:c r="U1274"/>
      <x:c r="V1274"/>
      <x:c r="W1274"/>
    </x:row>
    <x:row r="1275">
      <x:c r="A1275"/>
      <x:c r="B1275"/>
      <x:c r="C1275"/>
      <x:c r="D1275"/>
      <x:c r="E1275"/>
      <x:c r="F1275"/>
      <x:c r="G1275"/>
      <x:c r="H1275"/>
      <x:c r="I1275"/>
      <x:c r="J1275"/>
      <x:c r="K1275"/>
      <x:c r="L1275"/>
      <x:c r="M1275"/>
      <x:c r="N1275"/>
      <x:c r="O1275"/>
      <x:c r="P1275"/>
      <x:c r="Q1275"/>
      <x:c r="R1275"/>
      <x:c r="S1275"/>
      <x:c r="T1275"/>
      <x:c r="U1275"/>
      <x:c r="V1275"/>
      <x:c r="W1275"/>
    </x:row>
    <x:row r="1276">
      <x:c r="A1276"/>
      <x:c r="B1276"/>
      <x:c r="C1276"/>
      <x:c r="D1276"/>
      <x:c r="E1276"/>
      <x:c r="F1276"/>
      <x:c r="G1276"/>
      <x:c r="H1276"/>
      <x:c r="I1276"/>
      <x:c r="J1276"/>
      <x:c r="K1276"/>
      <x:c r="L1276"/>
      <x:c r="M1276"/>
      <x:c r="N1276"/>
      <x:c r="O1276"/>
      <x:c r="P1276"/>
      <x:c r="Q1276"/>
      <x:c r="R1276"/>
      <x:c r="S1276"/>
      <x:c r="T1276"/>
      <x:c r="U1276"/>
      <x:c r="V1276"/>
      <x:c r="W1276"/>
    </x:row>
    <x:row r="1277">
      <x:c r="A1277"/>
      <x:c r="B1277"/>
      <x:c r="C1277"/>
      <x:c r="D1277"/>
      <x:c r="E1277"/>
      <x:c r="F1277"/>
      <x:c r="G1277"/>
      <x:c r="H1277"/>
      <x:c r="I1277"/>
      <x:c r="J1277"/>
      <x:c r="K1277"/>
      <x:c r="L1277"/>
      <x:c r="M1277"/>
      <x:c r="N1277"/>
      <x:c r="O1277"/>
      <x:c r="P1277"/>
      <x:c r="Q1277"/>
      <x:c r="R1277"/>
      <x:c r="S1277"/>
      <x:c r="T1277"/>
      <x:c r="U1277"/>
      <x:c r="V1277"/>
      <x:c r="W1277"/>
    </x:row>
    <x:row r="1278">
      <x:c r="A1278"/>
      <x:c r="B1278"/>
      <x:c r="C1278"/>
      <x:c r="D1278"/>
      <x:c r="E1278"/>
      <x:c r="F1278"/>
      <x:c r="G1278"/>
      <x:c r="H1278"/>
      <x:c r="I1278"/>
      <x:c r="J1278"/>
      <x:c r="K1278"/>
      <x:c r="L1278"/>
      <x:c r="M1278"/>
      <x:c r="N1278"/>
      <x:c r="O1278"/>
      <x:c r="P1278"/>
      <x:c r="Q1278"/>
      <x:c r="R1278"/>
      <x:c r="S1278"/>
      <x:c r="T1278"/>
      <x:c r="U1278"/>
      <x:c r="V1278"/>
      <x:c r="W1278"/>
    </x:row>
    <x:row r="1279">
      <x:c r="A1279"/>
      <x:c r="B1279"/>
      <x:c r="C1279"/>
      <x:c r="D1279"/>
      <x:c r="E1279"/>
      <x:c r="F1279"/>
      <x:c r="G1279"/>
      <x:c r="H1279"/>
      <x:c r="I1279"/>
      <x:c r="J1279"/>
      <x:c r="K1279"/>
      <x:c r="L1279"/>
      <x:c r="M1279"/>
      <x:c r="N1279"/>
      <x:c r="O1279"/>
      <x:c r="P1279"/>
      <x:c r="Q1279"/>
      <x:c r="R1279"/>
      <x:c r="S1279"/>
      <x:c r="T1279"/>
      <x:c r="U1279"/>
      <x:c r="V1279"/>
      <x:c r="W1279"/>
    </x:row>
    <x:row r="1280">
      <x:c r="A1280"/>
      <x:c r="B1280"/>
      <x:c r="C1280"/>
      <x:c r="D1280"/>
      <x:c r="E1280"/>
      <x:c r="F1280"/>
      <x:c r="G1280"/>
      <x:c r="H1280"/>
      <x:c r="I1280"/>
      <x:c r="J1280"/>
      <x:c r="K1280"/>
      <x:c r="L1280"/>
      <x:c r="M1280"/>
      <x:c r="N1280"/>
      <x:c r="O1280"/>
      <x:c r="P1280"/>
      <x:c r="Q1280"/>
      <x:c r="R1280"/>
      <x:c r="S1280"/>
      <x:c r="T1280"/>
      <x:c r="U1280"/>
      <x:c r="V1280"/>
      <x:c r="W1280"/>
    </x:row>
    <x:row r="1281">
      <x:c r="A1281"/>
      <x:c r="B1281"/>
      <x:c r="C1281"/>
      <x:c r="D1281"/>
      <x:c r="E1281"/>
      <x:c r="F1281"/>
      <x:c r="G1281"/>
      <x:c r="H1281"/>
      <x:c r="I1281"/>
      <x:c r="J1281"/>
      <x:c r="K1281"/>
      <x:c r="L1281"/>
      <x:c r="M1281"/>
      <x:c r="N1281"/>
      <x:c r="O1281"/>
      <x:c r="P1281"/>
      <x:c r="Q1281"/>
      <x:c r="R1281"/>
      <x:c r="S1281"/>
      <x:c r="T1281"/>
      <x:c r="U1281"/>
      <x:c r="V1281"/>
      <x:c r="W1281"/>
    </x:row>
    <x:row r="1282">
      <x:c r="A1282"/>
      <x:c r="B1282"/>
      <x:c r="C1282"/>
      <x:c r="D1282"/>
      <x:c r="E1282"/>
      <x:c r="F1282"/>
      <x:c r="G1282"/>
      <x:c r="H1282"/>
      <x:c r="I1282"/>
      <x:c r="J1282"/>
      <x:c r="K1282"/>
      <x:c r="L1282"/>
      <x:c r="M1282"/>
      <x:c r="N1282"/>
      <x:c r="O1282"/>
      <x:c r="P1282"/>
      <x:c r="Q1282"/>
      <x:c r="R1282"/>
      <x:c r="S1282"/>
      <x:c r="T1282"/>
      <x:c r="U1282"/>
      <x:c r="V1282"/>
      <x:c r="W1282"/>
    </x:row>
    <x:row r="1283">
      <x:c r="A1283"/>
      <x:c r="B1283"/>
      <x:c r="C1283"/>
      <x:c r="D1283"/>
      <x:c r="E1283"/>
      <x:c r="F1283"/>
      <x:c r="G1283"/>
      <x:c r="H1283"/>
      <x:c r="I1283"/>
      <x:c r="J1283"/>
      <x:c r="K1283"/>
      <x:c r="L1283"/>
      <x:c r="M1283"/>
      <x:c r="N1283"/>
      <x:c r="O1283"/>
      <x:c r="P1283"/>
      <x:c r="Q1283"/>
      <x:c r="R1283"/>
      <x:c r="S1283"/>
      <x:c r="T1283"/>
      <x:c r="U1283"/>
      <x:c r="V1283"/>
      <x:c r="W1283"/>
    </x:row>
    <x:row r="1284">
      <x:c r="A1284"/>
      <x:c r="B1284"/>
      <x:c r="C1284"/>
      <x:c r="D1284"/>
      <x:c r="E1284"/>
      <x:c r="F1284"/>
      <x:c r="G1284"/>
      <x:c r="H1284"/>
      <x:c r="I1284"/>
      <x:c r="J1284"/>
      <x:c r="K1284"/>
      <x:c r="L1284"/>
      <x:c r="M1284"/>
      <x:c r="N1284"/>
      <x:c r="O1284"/>
      <x:c r="P1284"/>
      <x:c r="Q1284"/>
      <x:c r="R1284"/>
      <x:c r="S1284"/>
      <x:c r="T1284"/>
      <x:c r="U1284"/>
      <x:c r="V1284"/>
      <x:c r="W1284"/>
    </x:row>
    <x:row r="1285">
      <x:c r="A1285"/>
      <x:c r="B1285"/>
      <x:c r="C1285"/>
      <x:c r="D1285"/>
      <x:c r="E1285"/>
      <x:c r="F1285"/>
      <x:c r="G1285"/>
      <x:c r="H1285"/>
      <x:c r="I1285"/>
      <x:c r="J1285"/>
      <x:c r="K1285"/>
      <x:c r="L1285"/>
      <x:c r="M1285"/>
      <x:c r="N1285"/>
      <x:c r="O1285"/>
      <x:c r="P1285"/>
      <x:c r="Q1285"/>
      <x:c r="R1285"/>
      <x:c r="S1285"/>
      <x:c r="T1285"/>
      <x:c r="U1285"/>
      <x:c r="V1285"/>
      <x:c r="W1285"/>
    </x:row>
    <x:row r="1286">
      <x:c r="A1286"/>
      <x:c r="B1286"/>
      <x:c r="C1286"/>
      <x:c r="D1286"/>
      <x:c r="E1286"/>
      <x:c r="F1286"/>
      <x:c r="G1286"/>
      <x:c r="H1286"/>
      <x:c r="I1286"/>
      <x:c r="J1286"/>
      <x:c r="K1286"/>
      <x:c r="L1286"/>
      <x:c r="M1286"/>
      <x:c r="N1286"/>
      <x:c r="O1286"/>
      <x:c r="P1286"/>
      <x:c r="Q1286"/>
      <x:c r="R1286"/>
      <x:c r="S1286"/>
      <x:c r="T1286"/>
      <x:c r="U1286"/>
      <x:c r="V1286"/>
      <x:c r="W1286"/>
    </x:row>
    <x:row r="1287">
      <x:c r="A1287"/>
      <x:c r="B1287"/>
      <x:c r="C1287"/>
      <x:c r="D1287"/>
      <x:c r="E1287"/>
      <x:c r="F1287"/>
      <x:c r="G1287"/>
      <x:c r="H1287"/>
      <x:c r="I1287"/>
      <x:c r="J1287"/>
      <x:c r="K1287"/>
      <x:c r="L1287"/>
      <x:c r="M1287"/>
      <x:c r="N1287"/>
      <x:c r="O1287"/>
      <x:c r="P1287"/>
      <x:c r="Q1287"/>
      <x:c r="R1287"/>
      <x:c r="S1287"/>
      <x:c r="T1287"/>
      <x:c r="U1287"/>
      <x:c r="V1287"/>
      <x:c r="W1287"/>
    </x:row>
    <x:row r="1288">
      <x:c r="A1288"/>
      <x:c r="B1288"/>
      <x:c r="C1288"/>
      <x:c r="D1288"/>
      <x:c r="E1288"/>
      <x:c r="F1288"/>
      <x:c r="G1288"/>
      <x:c r="H1288"/>
      <x:c r="I1288"/>
      <x:c r="J1288"/>
      <x:c r="K1288"/>
      <x:c r="L1288"/>
      <x:c r="M1288"/>
      <x:c r="N1288"/>
      <x:c r="O1288"/>
      <x:c r="P1288"/>
      <x:c r="Q1288"/>
      <x:c r="R1288"/>
      <x:c r="S1288"/>
      <x:c r="T1288"/>
      <x:c r="U1288"/>
      <x:c r="V1288"/>
      <x:c r="W1288"/>
    </x:row>
    <x:row r="1289">
      <x:c r="A1289"/>
      <x:c r="B1289"/>
      <x:c r="C1289"/>
      <x:c r="D1289"/>
      <x:c r="E1289"/>
      <x:c r="F1289"/>
      <x:c r="G1289"/>
      <x:c r="H1289"/>
      <x:c r="I1289"/>
      <x:c r="J1289"/>
      <x:c r="K1289"/>
      <x:c r="L1289"/>
      <x:c r="M1289"/>
      <x:c r="N1289"/>
      <x:c r="O1289"/>
      <x:c r="P1289"/>
      <x:c r="Q1289"/>
      <x:c r="R1289"/>
      <x:c r="S1289"/>
      <x:c r="T1289"/>
      <x:c r="U1289"/>
      <x:c r="V1289"/>
      <x:c r="W1289"/>
    </x:row>
    <x:row r="1290">
      <x:c r="A1290"/>
      <x:c r="B1290"/>
      <x:c r="C1290"/>
      <x:c r="D1290"/>
      <x:c r="E1290"/>
      <x:c r="F1290"/>
      <x:c r="G1290"/>
      <x:c r="H1290"/>
      <x:c r="I1290"/>
      <x:c r="J1290"/>
      <x:c r="K1290"/>
      <x:c r="L1290"/>
      <x:c r="M1290"/>
      <x:c r="N1290"/>
      <x:c r="O1290"/>
      <x:c r="P1290"/>
      <x:c r="Q1290"/>
      <x:c r="R1290"/>
      <x:c r="S1290"/>
      <x:c r="T1290"/>
      <x:c r="U1290"/>
      <x:c r="V1290"/>
      <x:c r="W1290"/>
    </x:row>
    <x:row r="1291">
      <x:c r="A1291"/>
      <x:c r="B1291"/>
      <x:c r="C1291"/>
      <x:c r="D1291"/>
      <x:c r="E1291"/>
      <x:c r="F1291"/>
      <x:c r="G1291"/>
      <x:c r="H1291"/>
      <x:c r="I1291"/>
      <x:c r="J1291"/>
      <x:c r="K1291"/>
      <x:c r="L1291"/>
      <x:c r="M1291"/>
      <x:c r="N1291"/>
      <x:c r="O1291"/>
      <x:c r="P1291"/>
      <x:c r="Q1291"/>
      <x:c r="R1291"/>
      <x:c r="S1291"/>
      <x:c r="T1291"/>
      <x:c r="U1291"/>
      <x:c r="V1291"/>
      <x:c r="W1291"/>
    </x:row>
    <x:row r="1292">
      <x:c r="A1292"/>
      <x:c r="B1292"/>
      <x:c r="C1292"/>
      <x:c r="D1292"/>
      <x:c r="E1292"/>
      <x:c r="F1292"/>
      <x:c r="G1292"/>
      <x:c r="H1292"/>
      <x:c r="I1292"/>
      <x:c r="J1292"/>
      <x:c r="K1292"/>
      <x:c r="L1292"/>
      <x:c r="M1292"/>
      <x:c r="N1292"/>
      <x:c r="O1292"/>
      <x:c r="P1292"/>
      <x:c r="Q1292"/>
      <x:c r="R1292"/>
      <x:c r="S1292"/>
      <x:c r="T1292"/>
      <x:c r="U1292"/>
      <x:c r="V1292"/>
      <x:c r="W1292"/>
    </x:row>
    <x:row r="1293">
      <x:c r="A1293"/>
      <x:c r="B1293"/>
      <x:c r="C1293"/>
      <x:c r="D1293"/>
      <x:c r="E1293"/>
      <x:c r="F1293"/>
      <x:c r="G1293"/>
      <x:c r="H1293"/>
      <x:c r="I1293"/>
      <x:c r="J1293"/>
      <x:c r="K1293"/>
      <x:c r="L1293"/>
      <x:c r="M1293"/>
      <x:c r="N1293"/>
      <x:c r="O1293"/>
      <x:c r="P1293"/>
      <x:c r="Q1293"/>
      <x:c r="R1293"/>
      <x:c r="S1293"/>
      <x:c r="T1293"/>
      <x:c r="U1293"/>
      <x:c r="V1293"/>
      <x:c r="W1293"/>
    </x:row>
    <x:row r="1294">
      <x:c r="A1294"/>
      <x:c r="B1294"/>
      <x:c r="C1294"/>
      <x:c r="D1294"/>
      <x:c r="E1294"/>
      <x:c r="F1294"/>
      <x:c r="G1294"/>
      <x:c r="H1294"/>
      <x:c r="I1294"/>
      <x:c r="J1294"/>
      <x:c r="K1294"/>
      <x:c r="L1294"/>
      <x:c r="M1294"/>
      <x:c r="N1294"/>
      <x:c r="O1294"/>
      <x:c r="P1294"/>
      <x:c r="Q1294"/>
      <x:c r="R1294"/>
      <x:c r="S1294"/>
      <x:c r="T1294"/>
      <x:c r="U1294"/>
      <x:c r="V1294"/>
      <x:c r="W1294"/>
    </x:row>
    <x:row r="1295">
      <x:c r="A1295"/>
      <x:c r="B1295"/>
      <x:c r="C1295"/>
      <x:c r="D1295"/>
      <x:c r="E1295"/>
      <x:c r="F1295"/>
      <x:c r="G1295"/>
      <x:c r="H1295"/>
      <x:c r="I1295"/>
      <x:c r="J1295"/>
      <x:c r="K1295"/>
      <x:c r="L1295"/>
      <x:c r="M1295"/>
      <x:c r="N1295"/>
      <x:c r="O1295"/>
      <x:c r="P1295"/>
      <x:c r="Q1295"/>
      <x:c r="R1295"/>
      <x:c r="S1295"/>
      <x:c r="T1295"/>
      <x:c r="U1295"/>
      <x:c r="V1295"/>
      <x:c r="W1295"/>
    </x:row>
    <x:row r="1296">
      <x:c r="A1296"/>
      <x:c r="B1296"/>
      <x:c r="C1296"/>
      <x:c r="D1296"/>
      <x:c r="E1296"/>
      <x:c r="F1296"/>
      <x:c r="G1296"/>
      <x:c r="H1296"/>
      <x:c r="I1296"/>
      <x:c r="J1296"/>
      <x:c r="K1296"/>
      <x:c r="L1296"/>
      <x:c r="M1296"/>
      <x:c r="N1296"/>
      <x:c r="O1296"/>
      <x:c r="P1296"/>
      <x:c r="Q1296"/>
      <x:c r="R1296"/>
      <x:c r="S1296"/>
      <x:c r="T1296"/>
      <x:c r="U1296"/>
      <x:c r="V1296"/>
      <x:c r="W1296"/>
    </x:row>
    <x:row r="1297">
      <x:c r="A1297"/>
      <x:c r="B1297"/>
      <x:c r="C1297"/>
      <x:c r="D1297"/>
      <x:c r="E1297"/>
      <x:c r="F1297"/>
      <x:c r="G1297"/>
      <x:c r="H1297"/>
      <x:c r="I1297"/>
      <x:c r="J1297"/>
      <x:c r="K1297"/>
      <x:c r="L1297"/>
      <x:c r="M1297"/>
      <x:c r="N1297"/>
      <x:c r="O1297"/>
      <x:c r="P1297"/>
      <x:c r="Q1297"/>
      <x:c r="R1297"/>
      <x:c r="S1297"/>
      <x:c r="T1297"/>
      <x:c r="U1297"/>
      <x:c r="V1297"/>
      <x:c r="W1297"/>
    </x:row>
    <x:row r="1298">
      <x:c r="A1298"/>
      <x:c r="B1298"/>
      <x:c r="C1298"/>
      <x:c r="D1298"/>
      <x:c r="E1298"/>
      <x:c r="F1298"/>
      <x:c r="G1298"/>
      <x:c r="H1298"/>
      <x:c r="I1298"/>
      <x:c r="J1298"/>
      <x:c r="K1298"/>
      <x:c r="L1298"/>
      <x:c r="M1298"/>
      <x:c r="N1298"/>
      <x:c r="O1298"/>
      <x:c r="P1298"/>
      <x:c r="Q1298"/>
      <x:c r="R1298"/>
      <x:c r="S1298"/>
      <x:c r="T1298"/>
      <x:c r="U1298"/>
      <x:c r="V1298"/>
      <x:c r="W1298"/>
    </x:row>
    <x:row r="1299">
      <x:c r="A1299"/>
      <x:c r="B1299"/>
      <x:c r="C1299"/>
      <x:c r="D1299"/>
      <x:c r="E1299"/>
      <x:c r="F1299"/>
      <x:c r="G1299"/>
      <x:c r="H1299"/>
      <x:c r="I1299"/>
      <x:c r="J1299"/>
      <x:c r="K1299"/>
      <x:c r="L1299"/>
      <x:c r="M1299"/>
      <x:c r="N1299"/>
      <x:c r="O1299"/>
      <x:c r="P1299"/>
      <x:c r="Q1299"/>
      <x:c r="R1299"/>
      <x:c r="S1299"/>
      <x:c r="T1299"/>
      <x:c r="U1299"/>
      <x:c r="V1299"/>
      <x:c r="W1299"/>
    </x:row>
    <x:row r="1300">
      <x:c r="A1300"/>
      <x:c r="B1300"/>
      <x:c r="C1300"/>
      <x:c r="D1300"/>
      <x:c r="E1300"/>
      <x:c r="F1300"/>
      <x:c r="G1300"/>
      <x:c r="H1300"/>
      <x:c r="I1300"/>
      <x:c r="J1300"/>
      <x:c r="K1300"/>
      <x:c r="L1300"/>
      <x:c r="M1300"/>
      <x:c r="N1300"/>
      <x:c r="O1300"/>
      <x:c r="P1300"/>
      <x:c r="Q1300"/>
      <x:c r="R1300"/>
      <x:c r="S1300"/>
      <x:c r="T1300"/>
      <x:c r="U1300"/>
      <x:c r="V1300"/>
      <x:c r="W1300"/>
    </x:row>
    <x:row r="1301">
      <x:c r="A1301"/>
      <x:c r="B1301"/>
      <x:c r="C1301"/>
      <x:c r="D1301"/>
      <x:c r="E1301"/>
      <x:c r="F1301"/>
      <x:c r="G1301"/>
      <x:c r="H1301"/>
      <x:c r="I1301"/>
      <x:c r="J1301"/>
      <x:c r="K1301"/>
      <x:c r="L1301"/>
      <x:c r="M1301"/>
      <x:c r="N1301"/>
      <x:c r="O1301"/>
      <x:c r="P1301"/>
      <x:c r="Q1301"/>
      <x:c r="R1301"/>
      <x:c r="S1301"/>
      <x:c r="T1301"/>
      <x:c r="U1301"/>
      <x:c r="V1301"/>
      <x:c r="W1301"/>
    </x:row>
    <x:row r="1302">
      <x:c r="A1302"/>
      <x:c r="B1302"/>
      <x:c r="C1302"/>
      <x:c r="D1302"/>
      <x:c r="E1302"/>
      <x:c r="F1302"/>
      <x:c r="G1302"/>
      <x:c r="H1302"/>
      <x:c r="I1302"/>
      <x:c r="J1302"/>
      <x:c r="K1302"/>
      <x:c r="L1302"/>
      <x:c r="M1302"/>
      <x:c r="N1302"/>
      <x:c r="O1302"/>
      <x:c r="P1302"/>
      <x:c r="Q1302"/>
      <x:c r="R1302"/>
      <x:c r="S1302"/>
      <x:c r="T1302"/>
      <x:c r="U1302"/>
      <x:c r="V1302"/>
      <x:c r="W1302"/>
    </x:row>
    <x:row r="1303">
      <x:c r="A1303"/>
      <x:c r="B1303"/>
      <x:c r="C1303"/>
      <x:c r="D1303"/>
      <x:c r="E1303"/>
      <x:c r="F1303"/>
      <x:c r="G1303"/>
      <x:c r="H1303"/>
      <x:c r="I1303"/>
      <x:c r="J1303"/>
      <x:c r="K1303"/>
      <x:c r="L1303"/>
      <x:c r="M1303"/>
      <x:c r="N1303"/>
      <x:c r="O1303"/>
      <x:c r="P1303"/>
      <x:c r="Q1303"/>
      <x:c r="R1303"/>
      <x:c r="S1303"/>
      <x:c r="T1303"/>
      <x:c r="U1303"/>
      <x:c r="V1303"/>
      <x:c r="W1303"/>
    </x:row>
    <x:row r="1304">
      <x:c r="A1304"/>
      <x:c r="B1304"/>
      <x:c r="C1304"/>
      <x:c r="D1304"/>
      <x:c r="E1304"/>
      <x:c r="F1304"/>
      <x:c r="G1304"/>
      <x:c r="H1304"/>
      <x:c r="I1304"/>
      <x:c r="J1304"/>
      <x:c r="K1304"/>
      <x:c r="L1304"/>
      <x:c r="M1304"/>
      <x:c r="N1304"/>
      <x:c r="O1304"/>
      <x:c r="P1304"/>
      <x:c r="Q1304"/>
      <x:c r="R1304"/>
      <x:c r="S1304"/>
      <x:c r="T1304"/>
      <x:c r="U1304"/>
      <x:c r="V1304"/>
      <x:c r="W1304"/>
    </x:row>
    <x:row r="1305">
      <x:c r="A1305"/>
      <x:c r="B1305"/>
      <x:c r="C1305"/>
      <x:c r="D1305"/>
      <x:c r="E1305"/>
      <x:c r="F1305"/>
      <x:c r="G1305"/>
      <x:c r="H1305"/>
      <x:c r="I1305"/>
      <x:c r="J1305"/>
      <x:c r="K1305"/>
      <x:c r="L1305"/>
      <x:c r="M1305"/>
      <x:c r="N1305"/>
      <x:c r="O1305"/>
      <x:c r="P1305"/>
      <x:c r="Q1305"/>
      <x:c r="R1305"/>
      <x:c r="S1305"/>
      <x:c r="T1305"/>
      <x:c r="U1305"/>
      <x:c r="V1305"/>
      <x:c r="W1305"/>
    </x:row>
    <x:row r="1306">
      <x:c r="A1306"/>
      <x:c r="B1306"/>
      <x:c r="C1306"/>
      <x:c r="D1306"/>
      <x:c r="E1306"/>
      <x:c r="F1306"/>
      <x:c r="G1306"/>
      <x:c r="H1306"/>
      <x:c r="I1306"/>
      <x:c r="J1306"/>
      <x:c r="K1306"/>
      <x:c r="L1306"/>
      <x:c r="M1306"/>
      <x:c r="N1306"/>
      <x:c r="O1306"/>
      <x:c r="P1306"/>
      <x:c r="Q1306"/>
      <x:c r="R1306"/>
      <x:c r="S1306"/>
      <x:c r="T1306"/>
      <x:c r="U1306"/>
      <x:c r="V1306"/>
      <x:c r="W1306"/>
    </x:row>
    <x:row r="1307">
      <x:c r="A1307"/>
      <x:c r="B1307"/>
      <x:c r="C1307"/>
      <x:c r="D1307"/>
      <x:c r="E1307"/>
      <x:c r="F1307"/>
      <x:c r="G1307"/>
      <x:c r="H1307"/>
      <x:c r="I1307"/>
      <x:c r="J1307"/>
      <x:c r="K1307"/>
      <x:c r="L1307"/>
      <x:c r="M1307"/>
      <x:c r="N1307"/>
      <x:c r="O1307"/>
      <x:c r="P1307"/>
      <x:c r="Q1307"/>
      <x:c r="R1307"/>
      <x:c r="S1307"/>
      <x:c r="T1307"/>
      <x:c r="U1307"/>
      <x:c r="V1307"/>
      <x:c r="W1307"/>
    </x:row>
    <x:row r="1308">
      <x:c r="A1308"/>
      <x:c r="B1308"/>
      <x:c r="C1308"/>
      <x:c r="D1308"/>
      <x:c r="E1308"/>
      <x:c r="F1308"/>
      <x:c r="G1308"/>
      <x:c r="H1308"/>
      <x:c r="I1308"/>
      <x:c r="J1308"/>
      <x:c r="K1308"/>
      <x:c r="L1308"/>
      <x:c r="M1308"/>
      <x:c r="N1308"/>
      <x:c r="O1308"/>
      <x:c r="P1308"/>
      <x:c r="Q1308"/>
      <x:c r="R1308"/>
      <x:c r="S1308"/>
      <x:c r="T1308"/>
      <x:c r="U1308"/>
      <x:c r="V1308"/>
      <x:c r="W1308"/>
    </x:row>
    <x:row r="1309">
      <x:c r="A1309"/>
      <x:c r="B1309"/>
      <x:c r="C1309"/>
      <x:c r="D1309"/>
      <x:c r="E1309"/>
      <x:c r="F1309"/>
      <x:c r="G1309"/>
      <x:c r="H1309"/>
      <x:c r="I1309"/>
      <x:c r="J1309"/>
      <x:c r="K1309"/>
      <x:c r="L1309"/>
      <x:c r="M1309"/>
      <x:c r="N1309"/>
      <x:c r="O1309"/>
      <x:c r="P1309"/>
      <x:c r="Q1309"/>
      <x:c r="R1309"/>
      <x:c r="S1309"/>
      <x:c r="T1309"/>
      <x:c r="U1309"/>
      <x:c r="V1309"/>
      <x:c r="W1309"/>
    </x:row>
    <x:row r="1310">
      <x:c r="A1310"/>
      <x:c r="B1310"/>
      <x:c r="C1310"/>
      <x:c r="D1310"/>
      <x:c r="E1310"/>
      <x:c r="F1310"/>
      <x:c r="G1310"/>
      <x:c r="H1310"/>
      <x:c r="I1310"/>
      <x:c r="J1310"/>
      <x:c r="K1310"/>
      <x:c r="L1310"/>
      <x:c r="M1310"/>
      <x:c r="N1310"/>
      <x:c r="O1310"/>
      <x:c r="P1310"/>
      <x:c r="Q1310"/>
      <x:c r="R1310"/>
      <x:c r="S1310"/>
      <x:c r="T1310"/>
      <x:c r="U1310"/>
      <x:c r="V1310"/>
      <x:c r="W1310"/>
    </x:row>
    <x:row r="1311">
      <x:c r="A1311"/>
      <x:c r="B1311"/>
      <x:c r="C1311"/>
      <x:c r="D1311"/>
      <x:c r="E1311"/>
      <x:c r="F1311"/>
      <x:c r="G1311"/>
      <x:c r="H1311"/>
      <x:c r="I1311"/>
      <x:c r="J1311"/>
      <x:c r="K1311"/>
      <x:c r="L1311"/>
      <x:c r="M1311"/>
      <x:c r="N1311"/>
      <x:c r="O1311"/>
      <x:c r="P1311"/>
      <x:c r="Q1311"/>
      <x:c r="R1311"/>
      <x:c r="S1311"/>
      <x:c r="T1311"/>
      <x:c r="U1311"/>
      <x:c r="V1311"/>
      <x:c r="W1311"/>
    </x:row>
    <x:row r="1312">
      <x:c r="A1312"/>
      <x:c r="B1312"/>
      <x:c r="C1312"/>
      <x:c r="D1312"/>
      <x:c r="E1312"/>
      <x:c r="F1312"/>
      <x:c r="G1312"/>
      <x:c r="H1312"/>
      <x:c r="I1312"/>
      <x:c r="J1312"/>
      <x:c r="K1312"/>
      <x:c r="L1312"/>
      <x:c r="M1312"/>
      <x:c r="N1312"/>
      <x:c r="O1312"/>
      <x:c r="P1312"/>
      <x:c r="Q1312"/>
      <x:c r="R1312"/>
      <x:c r="S1312"/>
      <x:c r="T1312"/>
      <x:c r="U1312"/>
      <x:c r="V1312"/>
      <x:c r="W1312"/>
    </x:row>
    <x:row r="1313">
      <x:c r="A1313"/>
      <x:c r="B1313"/>
      <x:c r="C1313"/>
      <x:c r="D1313"/>
      <x:c r="E1313"/>
      <x:c r="F1313"/>
      <x:c r="G1313"/>
      <x:c r="H1313"/>
      <x:c r="I1313"/>
      <x:c r="J1313"/>
      <x:c r="K1313"/>
      <x:c r="L1313"/>
      <x:c r="M1313"/>
      <x:c r="N1313"/>
      <x:c r="O1313"/>
      <x:c r="P1313"/>
      <x:c r="Q1313"/>
      <x:c r="R1313"/>
      <x:c r="S1313"/>
      <x:c r="T1313"/>
      <x:c r="U1313"/>
      <x:c r="V1313"/>
      <x:c r="W1313"/>
    </x:row>
    <x:row r="1314">
      <x:c r="A1314"/>
      <x:c r="B1314"/>
      <x:c r="C1314"/>
      <x:c r="D1314"/>
      <x:c r="E1314"/>
      <x:c r="F1314"/>
      <x:c r="G1314"/>
      <x:c r="H1314"/>
      <x:c r="I1314"/>
      <x:c r="J1314"/>
      <x:c r="K1314"/>
      <x:c r="L1314"/>
      <x:c r="M1314"/>
      <x:c r="N1314"/>
      <x:c r="O1314"/>
      <x:c r="P1314"/>
      <x:c r="Q1314"/>
      <x:c r="R1314"/>
      <x:c r="S1314"/>
      <x:c r="T1314"/>
      <x:c r="U1314"/>
      <x:c r="V1314"/>
      <x:c r="W1314"/>
    </x:row>
    <x:row r="1315">
      <x:c r="A1315"/>
      <x:c r="B1315"/>
      <x:c r="C1315"/>
      <x:c r="D1315"/>
      <x:c r="E1315"/>
      <x:c r="F1315"/>
      <x:c r="G1315"/>
      <x:c r="H1315"/>
      <x:c r="I1315"/>
      <x:c r="J1315"/>
      <x:c r="K1315"/>
      <x:c r="L1315"/>
      <x:c r="M1315"/>
      <x:c r="N1315"/>
      <x:c r="O1315"/>
      <x:c r="P1315"/>
      <x:c r="Q1315"/>
      <x:c r="R1315"/>
      <x:c r="S1315"/>
      <x:c r="T1315"/>
      <x:c r="U1315"/>
      <x:c r="V1315"/>
      <x:c r="W1315"/>
    </x:row>
    <x:row r="1316">
      <x:c r="A1316"/>
      <x:c r="B1316"/>
      <x:c r="C1316"/>
      <x:c r="D1316"/>
      <x:c r="E1316"/>
      <x:c r="F1316"/>
      <x:c r="G1316"/>
      <x:c r="H1316"/>
      <x:c r="I1316"/>
      <x:c r="J1316"/>
      <x:c r="K1316"/>
      <x:c r="L1316"/>
      <x:c r="M1316"/>
      <x:c r="N1316"/>
      <x:c r="O1316"/>
      <x:c r="P1316"/>
      <x:c r="Q1316"/>
      <x:c r="R1316"/>
      <x:c r="S1316"/>
      <x:c r="T1316"/>
      <x:c r="U1316"/>
      <x:c r="V1316"/>
      <x:c r="W1316"/>
    </x:row>
    <x:row r="1317">
      <x:c r="A1317"/>
      <x:c r="B1317"/>
      <x:c r="C1317"/>
      <x:c r="D1317"/>
      <x:c r="E1317"/>
      <x:c r="F1317"/>
      <x:c r="G1317"/>
      <x:c r="H1317"/>
      <x:c r="I1317"/>
      <x:c r="J1317"/>
      <x:c r="K1317"/>
      <x:c r="L1317"/>
      <x:c r="M1317"/>
      <x:c r="N1317"/>
      <x:c r="O1317"/>
      <x:c r="P1317"/>
      <x:c r="Q1317"/>
      <x:c r="R1317"/>
      <x:c r="S1317"/>
      <x:c r="T1317"/>
      <x:c r="U1317"/>
      <x:c r="V1317"/>
      <x:c r="W1317"/>
    </x:row>
    <x:row r="1318">
      <x:c r="A1318"/>
      <x:c r="B1318"/>
      <x:c r="C1318"/>
      <x:c r="D1318"/>
      <x:c r="E1318"/>
      <x:c r="F1318"/>
      <x:c r="G1318"/>
      <x:c r="H1318"/>
      <x:c r="I1318"/>
      <x:c r="J1318"/>
      <x:c r="K1318"/>
      <x:c r="L1318"/>
      <x:c r="M1318"/>
      <x:c r="N1318"/>
      <x:c r="O1318"/>
      <x:c r="P1318"/>
      <x:c r="Q1318"/>
      <x:c r="R1318"/>
      <x:c r="S1318"/>
      <x:c r="T1318"/>
      <x:c r="U1318"/>
      <x:c r="V1318"/>
      <x:c r="W1318"/>
    </x:row>
    <x:row r="1319">
      <x:c r="A1319"/>
      <x:c r="B1319"/>
      <x:c r="C1319"/>
      <x:c r="D1319"/>
      <x:c r="E1319"/>
      <x:c r="F1319"/>
      <x:c r="G1319"/>
      <x:c r="H1319"/>
      <x:c r="I1319"/>
      <x:c r="J1319"/>
      <x:c r="K1319"/>
      <x:c r="L1319"/>
      <x:c r="M1319"/>
      <x:c r="N1319"/>
      <x:c r="O1319"/>
      <x:c r="P1319"/>
      <x:c r="Q1319"/>
      <x:c r="R1319"/>
      <x:c r="S1319"/>
      <x:c r="T1319"/>
      <x:c r="U1319"/>
      <x:c r="V1319"/>
      <x:c r="W1319"/>
    </x:row>
    <x:row r="1320">
      <x:c r="A1320"/>
      <x:c r="B1320"/>
      <x:c r="C1320"/>
      <x:c r="D1320"/>
      <x:c r="E1320"/>
      <x:c r="F1320"/>
      <x:c r="G1320"/>
      <x:c r="H1320"/>
      <x:c r="I1320"/>
      <x:c r="J1320"/>
      <x:c r="K1320"/>
      <x:c r="L1320"/>
      <x:c r="M1320"/>
      <x:c r="N1320"/>
      <x:c r="O1320"/>
      <x:c r="P1320"/>
      <x:c r="Q1320"/>
      <x:c r="R1320"/>
      <x:c r="S1320"/>
      <x:c r="T1320"/>
      <x:c r="U1320"/>
      <x:c r="V1320"/>
      <x:c r="W1320"/>
    </x:row>
    <x:row r="1321">
      <x:c r="A1321"/>
      <x:c r="B1321"/>
      <x:c r="C1321"/>
      <x:c r="D1321"/>
      <x:c r="E1321"/>
      <x:c r="F1321"/>
      <x:c r="G1321"/>
      <x:c r="H1321"/>
      <x:c r="I1321"/>
      <x:c r="J1321"/>
      <x:c r="K1321"/>
      <x:c r="L1321"/>
      <x:c r="M1321"/>
      <x:c r="N1321"/>
      <x:c r="O1321"/>
      <x:c r="P1321"/>
      <x:c r="Q1321"/>
      <x:c r="R1321"/>
      <x:c r="S1321"/>
      <x:c r="T1321"/>
      <x:c r="U1321"/>
      <x:c r="V1321"/>
      <x:c r="W1321"/>
    </x:row>
    <x:row r="1322">
      <x:c r="A1322"/>
      <x:c r="B1322"/>
      <x:c r="C1322"/>
      <x:c r="D1322"/>
      <x:c r="E1322"/>
      <x:c r="F1322"/>
      <x:c r="G1322"/>
      <x:c r="H1322"/>
      <x:c r="I1322"/>
      <x:c r="J1322"/>
      <x:c r="K1322"/>
      <x:c r="L1322"/>
      <x:c r="M1322"/>
      <x:c r="N1322"/>
      <x:c r="O1322"/>
      <x:c r="P1322"/>
      <x:c r="Q1322"/>
      <x:c r="R1322"/>
      <x:c r="S1322"/>
      <x:c r="T1322"/>
      <x:c r="U1322"/>
      <x:c r="V1322"/>
      <x:c r="W1322"/>
    </x:row>
    <x:row r="1323">
      <x:c r="A1323"/>
      <x:c r="B1323"/>
      <x:c r="C1323"/>
      <x:c r="D1323"/>
      <x:c r="E1323"/>
      <x:c r="F1323"/>
      <x:c r="G1323"/>
      <x:c r="H1323"/>
      <x:c r="I1323"/>
      <x:c r="J1323"/>
      <x:c r="K1323"/>
      <x:c r="L1323"/>
      <x:c r="M1323"/>
      <x:c r="N1323"/>
      <x:c r="O1323"/>
      <x:c r="P1323"/>
      <x:c r="Q1323"/>
      <x:c r="R1323"/>
      <x:c r="S1323"/>
      <x:c r="T1323"/>
      <x:c r="U1323"/>
      <x:c r="V1323"/>
      <x:c r="W1323"/>
    </x:row>
    <x:row r="1324">
      <x:c r="A1324"/>
      <x:c r="B1324"/>
      <x:c r="C1324"/>
      <x:c r="D1324"/>
      <x:c r="E1324"/>
      <x:c r="F1324"/>
      <x:c r="G1324"/>
      <x:c r="H1324"/>
      <x:c r="I1324"/>
      <x:c r="J1324"/>
      <x:c r="K1324"/>
      <x:c r="L1324"/>
      <x:c r="M1324"/>
      <x:c r="N1324"/>
      <x:c r="O1324"/>
      <x:c r="P1324"/>
      <x:c r="Q1324"/>
      <x:c r="R1324"/>
      <x:c r="S1324"/>
      <x:c r="T1324"/>
      <x:c r="U1324"/>
      <x:c r="V1324"/>
      <x:c r="W1324"/>
    </x:row>
    <x:row r="1325">
      <x:c r="A1325"/>
      <x:c r="B1325"/>
      <x:c r="C1325"/>
      <x:c r="D1325"/>
      <x:c r="E1325"/>
      <x:c r="F1325"/>
      <x:c r="G1325"/>
      <x:c r="H1325"/>
      <x:c r="I1325"/>
      <x:c r="J1325"/>
      <x:c r="K1325"/>
      <x:c r="L1325"/>
      <x:c r="M1325"/>
      <x:c r="N1325"/>
      <x:c r="O1325"/>
      <x:c r="P1325"/>
      <x:c r="Q1325"/>
      <x:c r="R1325"/>
      <x:c r="S1325"/>
      <x:c r="T1325"/>
      <x:c r="U1325"/>
      <x:c r="V1325"/>
      <x:c r="W1325"/>
    </x:row>
    <x:row r="1326">
      <x:c r="A1326"/>
      <x:c r="B1326"/>
      <x:c r="C1326"/>
      <x:c r="D1326"/>
      <x:c r="E1326"/>
      <x:c r="F1326"/>
      <x:c r="G1326"/>
      <x:c r="H1326"/>
      <x:c r="I1326"/>
      <x:c r="J1326"/>
      <x:c r="K1326"/>
      <x:c r="L1326"/>
      <x:c r="M1326"/>
      <x:c r="N1326"/>
      <x:c r="O1326"/>
      <x:c r="P1326"/>
      <x:c r="Q1326"/>
      <x:c r="R1326"/>
      <x:c r="S1326"/>
      <x:c r="T1326"/>
      <x:c r="U1326"/>
      <x:c r="V1326"/>
      <x:c r="W1326"/>
    </x:row>
    <x:row r="1327">
      <x:c r="A1327"/>
      <x:c r="B1327"/>
      <x:c r="C1327"/>
      <x:c r="D1327"/>
      <x:c r="E1327"/>
      <x:c r="F1327"/>
      <x:c r="G1327"/>
      <x:c r="H1327"/>
      <x:c r="I1327"/>
      <x:c r="J1327"/>
      <x:c r="K1327"/>
      <x:c r="L1327"/>
      <x:c r="M1327"/>
      <x:c r="N1327"/>
      <x:c r="O1327"/>
      <x:c r="P1327"/>
      <x:c r="Q1327"/>
      <x:c r="R1327"/>
      <x:c r="S1327"/>
      <x:c r="T1327"/>
      <x:c r="U1327"/>
      <x:c r="V1327"/>
      <x:c r="W1327"/>
    </x:row>
    <x:row r="1328">
      <x:c r="A1328"/>
      <x:c r="B1328"/>
      <x:c r="C1328"/>
      <x:c r="D1328"/>
      <x:c r="E1328"/>
      <x:c r="F1328"/>
      <x:c r="G1328"/>
      <x:c r="H1328"/>
      <x:c r="I1328"/>
      <x:c r="J1328"/>
      <x:c r="K1328"/>
      <x:c r="L1328"/>
      <x:c r="M1328"/>
      <x:c r="N1328"/>
      <x:c r="O1328"/>
      <x:c r="P1328"/>
      <x:c r="Q1328"/>
      <x:c r="R1328"/>
      <x:c r="S1328"/>
      <x:c r="T1328"/>
      <x:c r="U1328"/>
      <x:c r="V1328"/>
      <x:c r="W1328"/>
    </x:row>
    <x:row r="1329">
      <x:c r="A1329"/>
      <x:c r="B1329"/>
      <x:c r="C1329"/>
      <x:c r="D1329"/>
      <x:c r="E1329"/>
      <x:c r="F1329"/>
      <x:c r="G1329"/>
      <x:c r="H1329"/>
      <x:c r="I1329"/>
      <x:c r="J1329"/>
      <x:c r="K1329"/>
      <x:c r="L1329"/>
      <x:c r="M1329"/>
      <x:c r="N1329"/>
      <x:c r="O1329"/>
      <x:c r="P1329"/>
      <x:c r="Q1329"/>
      <x:c r="R1329"/>
      <x:c r="S1329"/>
      <x:c r="T1329"/>
      <x:c r="U1329"/>
      <x:c r="V1329"/>
      <x:c r="W1329"/>
    </x:row>
    <x:row r="1330">
      <x:c r="A1330"/>
      <x:c r="B1330"/>
      <x:c r="C1330"/>
      <x:c r="D1330"/>
      <x:c r="E1330"/>
      <x:c r="F1330"/>
      <x:c r="G1330"/>
      <x:c r="H1330"/>
      <x:c r="I1330"/>
      <x:c r="J1330"/>
      <x:c r="K1330"/>
      <x:c r="L1330"/>
      <x:c r="M1330"/>
      <x:c r="N1330"/>
      <x:c r="O1330"/>
      <x:c r="P1330"/>
      <x:c r="Q1330"/>
      <x:c r="R1330"/>
      <x:c r="S1330"/>
      <x:c r="T1330"/>
      <x:c r="U1330"/>
      <x:c r="V1330"/>
      <x:c r="W1330"/>
    </x:row>
    <x:row r="1331">
      <x:c r="A1331"/>
      <x:c r="B1331"/>
      <x:c r="C1331"/>
      <x:c r="D1331"/>
      <x:c r="E1331"/>
      <x:c r="F1331"/>
      <x:c r="G1331"/>
      <x:c r="H1331"/>
      <x:c r="I1331"/>
      <x:c r="J1331"/>
      <x:c r="K1331"/>
      <x:c r="L1331"/>
      <x:c r="M1331"/>
      <x:c r="N1331"/>
      <x:c r="O1331"/>
      <x:c r="P1331"/>
      <x:c r="Q1331"/>
      <x:c r="R1331"/>
      <x:c r="S1331"/>
      <x:c r="T1331"/>
      <x:c r="U1331"/>
      <x:c r="V1331"/>
      <x:c r="W1331"/>
    </x:row>
    <x:row r="1332">
      <x:c r="A1332"/>
      <x:c r="B1332"/>
      <x:c r="C1332"/>
      <x:c r="D1332"/>
      <x:c r="E1332"/>
      <x:c r="F1332"/>
      <x:c r="G1332"/>
      <x:c r="H1332"/>
      <x:c r="I1332"/>
      <x:c r="J1332"/>
      <x:c r="K1332"/>
      <x:c r="L1332"/>
      <x:c r="M1332"/>
      <x:c r="N1332"/>
      <x:c r="O1332"/>
      <x:c r="P1332"/>
      <x:c r="Q1332"/>
      <x:c r="R1332"/>
      <x:c r="S1332"/>
      <x:c r="T1332"/>
      <x:c r="U1332"/>
      <x:c r="V1332"/>
      <x:c r="W1332"/>
    </x:row>
    <x:row r="1333">
      <x:c r="A1333"/>
      <x:c r="B1333"/>
      <x:c r="C1333"/>
      <x:c r="D1333"/>
      <x:c r="E1333"/>
      <x:c r="F1333"/>
      <x:c r="G1333"/>
      <x:c r="H1333"/>
      <x:c r="I1333"/>
      <x:c r="J1333"/>
      <x:c r="K1333"/>
      <x:c r="L1333"/>
      <x:c r="M1333"/>
      <x:c r="N1333"/>
      <x:c r="O1333"/>
      <x:c r="P1333"/>
      <x:c r="Q1333"/>
      <x:c r="R1333"/>
      <x:c r="S1333"/>
      <x:c r="T1333"/>
      <x:c r="U1333"/>
      <x:c r="V1333"/>
      <x:c r="W1333"/>
    </x:row>
    <x:row r="1334">
      <x:c r="A1334"/>
      <x:c r="B1334"/>
      <x:c r="C1334"/>
      <x:c r="D1334"/>
      <x:c r="E1334"/>
      <x:c r="F1334"/>
      <x:c r="G1334"/>
      <x:c r="H1334"/>
      <x:c r="I1334"/>
      <x:c r="J1334"/>
      <x:c r="K1334"/>
      <x:c r="L1334"/>
      <x:c r="M1334"/>
      <x:c r="N1334"/>
      <x:c r="O1334"/>
      <x:c r="P1334"/>
      <x:c r="Q1334"/>
      <x:c r="R1334"/>
      <x:c r="S1334"/>
      <x:c r="T1334"/>
      <x:c r="U1334"/>
      <x:c r="V1334"/>
      <x:c r="W1334"/>
    </x:row>
    <x:row r="1335">
      <x:c r="A1335"/>
      <x:c r="B1335"/>
      <x:c r="C1335"/>
      <x:c r="D1335"/>
      <x:c r="E1335"/>
      <x:c r="F1335"/>
      <x:c r="G1335"/>
      <x:c r="H1335"/>
      <x:c r="I1335"/>
      <x:c r="J1335"/>
      <x:c r="K1335"/>
      <x:c r="L1335"/>
      <x:c r="M1335"/>
      <x:c r="N1335"/>
      <x:c r="O1335"/>
      <x:c r="P1335"/>
      <x:c r="Q1335"/>
      <x:c r="R1335"/>
      <x:c r="S1335"/>
      <x:c r="T1335"/>
      <x:c r="U1335"/>
      <x:c r="V1335"/>
      <x:c r="W1335"/>
    </x:row>
    <x:row r="1336">
      <x:c r="A1336"/>
      <x:c r="B1336"/>
      <x:c r="C1336"/>
      <x:c r="D1336"/>
      <x:c r="E1336"/>
      <x:c r="F1336"/>
      <x:c r="G1336"/>
      <x:c r="H1336"/>
      <x:c r="I1336"/>
      <x:c r="J1336"/>
      <x:c r="K1336"/>
      <x:c r="L1336"/>
      <x:c r="M1336"/>
      <x:c r="N1336"/>
      <x:c r="O1336"/>
      <x:c r="P1336"/>
      <x:c r="Q1336"/>
      <x:c r="R1336"/>
      <x:c r="S1336"/>
      <x:c r="T1336"/>
      <x:c r="U1336"/>
      <x:c r="V1336"/>
      <x:c r="W1336"/>
    </x:row>
    <x:row r="1337">
      <x:c r="A1337"/>
      <x:c r="B1337"/>
      <x:c r="C1337"/>
      <x:c r="D1337"/>
      <x:c r="E1337"/>
      <x:c r="F1337"/>
      <x:c r="G1337"/>
      <x:c r="H1337"/>
      <x:c r="I1337"/>
      <x:c r="J1337"/>
      <x:c r="K1337"/>
      <x:c r="L1337"/>
      <x:c r="M1337"/>
      <x:c r="N1337"/>
      <x:c r="O1337"/>
      <x:c r="P1337"/>
      <x:c r="Q1337"/>
      <x:c r="R1337"/>
      <x:c r="S1337"/>
      <x:c r="T1337"/>
      <x:c r="U1337"/>
      <x:c r="V1337"/>
      <x:c r="W1337"/>
    </x:row>
    <x:row r="1338">
      <x:c r="A1338"/>
      <x:c r="B1338"/>
      <x:c r="C1338"/>
      <x:c r="D1338"/>
      <x:c r="E1338"/>
      <x:c r="F1338"/>
      <x:c r="G1338"/>
      <x:c r="H1338"/>
      <x:c r="I1338"/>
      <x:c r="J1338"/>
      <x:c r="K1338"/>
      <x:c r="L1338"/>
      <x:c r="M1338"/>
      <x:c r="N1338"/>
      <x:c r="O1338"/>
      <x:c r="P1338"/>
      <x:c r="Q1338"/>
      <x:c r="R1338"/>
      <x:c r="S1338"/>
      <x:c r="T1338"/>
      <x:c r="U1338"/>
      <x:c r="V1338"/>
      <x:c r="W1338"/>
    </x:row>
    <x:row r="1339">
      <x:c r="A1339"/>
      <x:c r="B1339"/>
      <x:c r="C1339"/>
      <x:c r="D1339"/>
      <x:c r="E1339"/>
      <x:c r="F1339"/>
      <x:c r="G1339"/>
      <x:c r="H1339"/>
      <x:c r="I1339"/>
      <x:c r="J1339"/>
      <x:c r="K1339"/>
      <x:c r="L1339"/>
      <x:c r="M1339"/>
      <x:c r="N1339"/>
      <x:c r="O1339"/>
      <x:c r="P1339"/>
      <x:c r="Q1339"/>
      <x:c r="R1339"/>
      <x:c r="S1339"/>
      <x:c r="T1339"/>
      <x:c r="U1339"/>
      <x:c r="V1339"/>
      <x:c r="W1339"/>
    </x:row>
    <x:row r="1340">
      <x:c r="A1340"/>
      <x:c r="B1340"/>
      <x:c r="C1340"/>
      <x:c r="D1340"/>
      <x:c r="E1340"/>
      <x:c r="F1340"/>
      <x:c r="G1340"/>
      <x:c r="H1340"/>
      <x:c r="I1340"/>
      <x:c r="J1340"/>
      <x:c r="K1340"/>
      <x:c r="L1340"/>
      <x:c r="M1340"/>
      <x:c r="N1340"/>
      <x:c r="O1340"/>
      <x:c r="P1340"/>
      <x:c r="Q1340"/>
      <x:c r="R1340"/>
      <x:c r="S1340"/>
      <x:c r="T1340"/>
      <x:c r="U1340"/>
      <x:c r="V1340"/>
      <x:c r="W1340"/>
    </x:row>
    <x:row r="1341">
      <x:c r="A1341"/>
      <x:c r="B1341"/>
      <x:c r="C1341"/>
      <x:c r="D1341"/>
      <x:c r="E1341"/>
      <x:c r="F1341"/>
      <x:c r="G1341"/>
      <x:c r="H1341"/>
      <x:c r="I1341"/>
      <x:c r="J1341"/>
      <x:c r="K1341"/>
      <x:c r="L1341"/>
      <x:c r="M1341"/>
      <x:c r="N1341"/>
      <x:c r="O1341"/>
      <x:c r="P1341"/>
      <x:c r="Q1341"/>
      <x:c r="R1341"/>
      <x:c r="S1341"/>
      <x:c r="T1341"/>
      <x:c r="U1341"/>
      <x:c r="V1341"/>
      <x:c r="W1341"/>
    </x:row>
    <x:row r="1342">
      <x:c r="A1342"/>
      <x:c r="B1342"/>
      <x:c r="C1342"/>
      <x:c r="D1342"/>
      <x:c r="E1342"/>
      <x:c r="F1342"/>
      <x:c r="G1342"/>
      <x:c r="H1342"/>
      <x:c r="I1342"/>
      <x:c r="J1342"/>
      <x:c r="K1342"/>
      <x:c r="L1342"/>
      <x:c r="M1342"/>
      <x:c r="N1342"/>
      <x:c r="O1342"/>
      <x:c r="P1342"/>
      <x:c r="Q1342"/>
      <x:c r="R1342"/>
      <x:c r="S1342"/>
      <x:c r="T1342"/>
      <x:c r="U1342"/>
      <x:c r="V1342"/>
      <x:c r="W1342"/>
    </x:row>
    <x:row r="1343">
      <x:c r="A1343"/>
      <x:c r="B1343"/>
      <x:c r="C1343"/>
      <x:c r="D1343"/>
      <x:c r="E1343"/>
      <x:c r="F1343"/>
      <x:c r="G1343"/>
      <x:c r="H1343"/>
      <x:c r="I1343"/>
      <x:c r="J1343"/>
      <x:c r="K1343"/>
      <x:c r="L1343"/>
      <x:c r="M1343"/>
      <x:c r="N1343"/>
      <x:c r="O1343"/>
      <x:c r="P1343"/>
      <x:c r="Q1343"/>
      <x:c r="R1343"/>
      <x:c r="S1343"/>
      <x:c r="T1343"/>
      <x:c r="U1343"/>
      <x:c r="V1343"/>
      <x:c r="W1343"/>
    </x:row>
    <x:row r="1344">
      <x:c r="A1344"/>
      <x:c r="B1344"/>
      <x:c r="C1344"/>
      <x:c r="D1344"/>
      <x:c r="E1344"/>
      <x:c r="F1344"/>
      <x:c r="G1344"/>
      <x:c r="H1344"/>
      <x:c r="I1344"/>
      <x:c r="J1344"/>
      <x:c r="K1344"/>
      <x:c r="L1344"/>
      <x:c r="M1344"/>
      <x:c r="N1344"/>
      <x:c r="O1344"/>
      <x:c r="P1344"/>
      <x:c r="Q1344"/>
      <x:c r="R1344"/>
      <x:c r="S1344"/>
      <x:c r="T1344"/>
      <x:c r="U1344"/>
      <x:c r="V1344"/>
      <x:c r="W1344"/>
    </x:row>
    <x:row r="1345">
      <x:c r="A1345"/>
      <x:c r="B1345"/>
      <x:c r="C1345"/>
      <x:c r="D1345"/>
      <x:c r="E1345"/>
      <x:c r="F1345"/>
      <x:c r="G1345"/>
      <x:c r="H1345"/>
      <x:c r="I1345"/>
      <x:c r="J1345"/>
      <x:c r="K1345"/>
      <x:c r="L1345"/>
      <x:c r="M1345"/>
      <x:c r="N1345"/>
      <x:c r="O1345"/>
      <x:c r="P1345"/>
      <x:c r="Q1345"/>
      <x:c r="R1345"/>
      <x:c r="S1345"/>
      <x:c r="T1345"/>
      <x:c r="U1345"/>
      <x:c r="V1345"/>
      <x:c r="W1345"/>
    </x:row>
    <x:row r="1346">
      <x:c r="A1346"/>
      <x:c r="B1346"/>
      <x:c r="C1346"/>
      <x:c r="D1346"/>
      <x:c r="E1346"/>
      <x:c r="F1346"/>
      <x:c r="G1346"/>
      <x:c r="H1346"/>
      <x:c r="I1346"/>
      <x:c r="J1346"/>
      <x:c r="K1346"/>
      <x:c r="L1346"/>
      <x:c r="M1346"/>
      <x:c r="N1346"/>
      <x:c r="O1346"/>
      <x:c r="P1346"/>
      <x:c r="Q1346"/>
      <x:c r="R1346"/>
      <x:c r="S1346"/>
      <x:c r="T1346"/>
      <x:c r="U1346"/>
      <x:c r="V1346"/>
      <x:c r="W1346"/>
    </x:row>
    <x:row r="1347">
      <x:c r="A1347"/>
      <x:c r="B1347"/>
      <x:c r="C1347"/>
      <x:c r="D1347"/>
      <x:c r="E1347"/>
      <x:c r="F1347"/>
      <x:c r="G1347"/>
      <x:c r="H1347"/>
      <x:c r="I1347"/>
      <x:c r="J1347"/>
      <x:c r="K1347"/>
      <x:c r="L1347"/>
      <x:c r="M1347"/>
      <x:c r="N1347"/>
      <x:c r="O1347"/>
      <x:c r="P1347"/>
      <x:c r="Q1347"/>
      <x:c r="R1347"/>
      <x:c r="S1347"/>
      <x:c r="T1347"/>
      <x:c r="U1347"/>
      <x:c r="V1347"/>
      <x:c r="W1347"/>
    </x:row>
    <x:row r="1348">
      <x:c r="A1348"/>
      <x:c r="B1348"/>
      <x:c r="C1348"/>
      <x:c r="D1348"/>
      <x:c r="E1348"/>
      <x:c r="F1348"/>
      <x:c r="G1348"/>
      <x:c r="H1348"/>
      <x:c r="I1348"/>
      <x:c r="J1348"/>
      <x:c r="K1348"/>
      <x:c r="L1348"/>
      <x:c r="M1348"/>
      <x:c r="N1348"/>
      <x:c r="O1348"/>
      <x:c r="P1348"/>
      <x:c r="Q1348"/>
      <x:c r="R1348"/>
      <x:c r="S1348"/>
      <x:c r="T1348"/>
      <x:c r="U1348"/>
      <x:c r="V1348"/>
      <x:c r="W1348"/>
    </x:row>
    <x:row r="1349">
      <x:c r="A1349"/>
      <x:c r="B1349"/>
      <x:c r="C1349"/>
      <x:c r="D1349"/>
      <x:c r="E1349"/>
      <x:c r="F1349"/>
      <x:c r="G1349"/>
      <x:c r="H1349"/>
      <x:c r="I1349"/>
      <x:c r="J1349"/>
      <x:c r="K1349"/>
      <x:c r="L1349"/>
      <x:c r="M1349"/>
      <x:c r="N1349"/>
      <x:c r="O1349"/>
      <x:c r="P1349"/>
      <x:c r="Q1349"/>
      <x:c r="R1349"/>
      <x:c r="S1349"/>
      <x:c r="T1349"/>
      <x:c r="U1349"/>
      <x:c r="V1349"/>
      <x:c r="W1349"/>
    </x:row>
    <x:row r="1350">
      <x:c r="A1350"/>
      <x:c r="B1350"/>
      <x:c r="C1350"/>
      <x:c r="D1350"/>
      <x:c r="E1350"/>
      <x:c r="F1350"/>
      <x:c r="G1350"/>
      <x:c r="H1350"/>
      <x:c r="I1350"/>
      <x:c r="J1350"/>
      <x:c r="K1350"/>
      <x:c r="L1350"/>
      <x:c r="M1350"/>
      <x:c r="N1350"/>
      <x:c r="O1350"/>
      <x:c r="P1350"/>
      <x:c r="Q1350"/>
      <x:c r="R1350"/>
      <x:c r="S1350"/>
      <x:c r="T1350"/>
      <x:c r="U1350"/>
      <x:c r="V1350"/>
      <x:c r="W1350"/>
    </x:row>
    <x:row r="1351">
      <x:c r="A1351"/>
      <x:c r="B1351"/>
      <x:c r="C1351"/>
      <x:c r="D1351"/>
      <x:c r="E1351"/>
      <x:c r="F1351"/>
      <x:c r="G1351"/>
      <x:c r="H1351"/>
      <x:c r="I1351"/>
      <x:c r="J1351"/>
      <x:c r="K1351"/>
      <x:c r="L1351"/>
      <x:c r="M1351"/>
      <x:c r="N1351"/>
      <x:c r="O1351"/>
      <x:c r="P1351"/>
      <x:c r="Q1351"/>
      <x:c r="R1351"/>
      <x:c r="S1351"/>
      <x:c r="T1351"/>
      <x:c r="U1351"/>
      <x:c r="V1351"/>
      <x:c r="W1351"/>
    </x:row>
    <x:row r="1352">
      <x:c r="A1352"/>
      <x:c r="B1352"/>
      <x:c r="C1352"/>
      <x:c r="D1352"/>
      <x:c r="E1352"/>
      <x:c r="F1352"/>
      <x:c r="G1352"/>
      <x:c r="H1352"/>
      <x:c r="I1352"/>
      <x:c r="J1352"/>
      <x:c r="K1352"/>
      <x:c r="L1352"/>
      <x:c r="M1352"/>
      <x:c r="N1352"/>
      <x:c r="O1352"/>
      <x:c r="P1352"/>
      <x:c r="Q1352"/>
      <x:c r="R1352"/>
      <x:c r="S1352"/>
      <x:c r="T1352"/>
      <x:c r="U1352"/>
      <x:c r="V1352"/>
      <x:c r="W1352"/>
    </x:row>
    <x:row r="1353">
      <x:c r="A1353"/>
      <x:c r="B1353"/>
      <x:c r="C1353"/>
      <x:c r="D1353"/>
      <x:c r="E1353"/>
      <x:c r="F1353"/>
      <x:c r="G1353"/>
      <x:c r="H1353"/>
      <x:c r="I1353"/>
      <x:c r="J1353"/>
      <x:c r="K1353"/>
      <x:c r="L1353"/>
      <x:c r="M1353"/>
      <x:c r="N1353"/>
      <x:c r="O1353"/>
      <x:c r="P1353"/>
      <x:c r="Q1353"/>
      <x:c r="R1353"/>
      <x:c r="S1353"/>
      <x:c r="T1353"/>
      <x:c r="U1353"/>
      <x:c r="V1353"/>
      <x:c r="W1353"/>
    </x:row>
    <x:row r="1354">
      <x:c r="A1354"/>
      <x:c r="B1354"/>
      <x:c r="C1354"/>
      <x:c r="D1354"/>
      <x:c r="E1354"/>
      <x:c r="F1354"/>
      <x:c r="G1354"/>
      <x:c r="H1354"/>
      <x:c r="I1354"/>
      <x:c r="J1354"/>
      <x:c r="K1354"/>
      <x:c r="L1354"/>
      <x:c r="M1354"/>
      <x:c r="N1354"/>
      <x:c r="O1354"/>
      <x:c r="P1354"/>
      <x:c r="Q1354"/>
      <x:c r="R1354"/>
      <x:c r="S1354"/>
      <x:c r="T1354"/>
      <x:c r="U1354"/>
      <x:c r="V1354"/>
      <x:c r="W1354"/>
    </x:row>
    <x:row r="1355">
      <x:c r="A1355"/>
      <x:c r="B1355"/>
      <x:c r="C1355"/>
      <x:c r="D1355"/>
      <x:c r="E1355"/>
      <x:c r="F1355"/>
      <x:c r="G1355"/>
      <x:c r="H1355"/>
      <x:c r="I1355"/>
      <x:c r="J1355"/>
      <x:c r="K1355"/>
      <x:c r="L1355"/>
      <x:c r="M1355"/>
      <x:c r="N1355"/>
      <x:c r="O1355"/>
      <x:c r="P1355"/>
      <x:c r="Q1355"/>
      <x:c r="R1355"/>
      <x:c r="S1355"/>
      <x:c r="T1355"/>
      <x:c r="U1355"/>
      <x:c r="V1355"/>
      <x:c r="W1355"/>
    </x:row>
    <x:row r="1356">
      <x:c r="A1356"/>
      <x:c r="B1356"/>
      <x:c r="C1356"/>
      <x:c r="D1356"/>
      <x:c r="E1356"/>
      <x:c r="F1356"/>
      <x:c r="G1356"/>
      <x:c r="H1356"/>
      <x:c r="I1356"/>
      <x:c r="J1356"/>
      <x:c r="K1356"/>
      <x:c r="L1356"/>
      <x:c r="M1356"/>
      <x:c r="N1356"/>
      <x:c r="O1356"/>
      <x:c r="P1356"/>
      <x:c r="Q1356"/>
      <x:c r="R1356"/>
      <x:c r="S1356"/>
      <x:c r="T1356"/>
      <x:c r="U1356"/>
      <x:c r="V1356"/>
      <x:c r="W1356"/>
    </x:row>
    <x:row r="1357">
      <x:c r="A1357"/>
      <x:c r="B1357"/>
      <x:c r="C1357"/>
      <x:c r="D1357"/>
      <x:c r="E1357"/>
      <x:c r="F1357"/>
      <x:c r="G1357"/>
      <x:c r="H1357"/>
      <x:c r="I1357"/>
      <x:c r="J1357"/>
      <x:c r="K1357"/>
      <x:c r="L1357"/>
      <x:c r="M1357"/>
      <x:c r="N1357"/>
      <x:c r="O1357"/>
      <x:c r="P1357"/>
      <x:c r="Q1357"/>
      <x:c r="R1357"/>
      <x:c r="S1357"/>
      <x:c r="T1357"/>
      <x:c r="U1357"/>
      <x:c r="V1357"/>
      <x:c r="W1357"/>
    </x:row>
    <x:row r="1358">
      <x:c r="A1358"/>
      <x:c r="B1358"/>
      <x:c r="C1358"/>
      <x:c r="D1358"/>
      <x:c r="E1358"/>
      <x:c r="F1358"/>
      <x:c r="G1358"/>
      <x:c r="H1358"/>
      <x:c r="I1358"/>
      <x:c r="J1358"/>
      <x:c r="K1358"/>
      <x:c r="L1358"/>
      <x:c r="M1358"/>
      <x:c r="N1358"/>
      <x:c r="O1358"/>
      <x:c r="P1358"/>
      <x:c r="Q1358"/>
      <x:c r="R1358"/>
      <x:c r="S1358"/>
      <x:c r="T1358"/>
      <x:c r="U1358"/>
      <x:c r="V1358"/>
      <x:c r="W1358"/>
    </x:row>
    <x:row r="1359">
      <x:c r="A1359"/>
      <x:c r="B1359"/>
      <x:c r="C1359"/>
      <x:c r="D1359"/>
      <x:c r="E1359"/>
      <x:c r="F1359"/>
      <x:c r="G1359"/>
      <x:c r="H1359"/>
      <x:c r="I1359"/>
      <x:c r="J1359"/>
      <x:c r="K1359"/>
      <x:c r="L1359"/>
      <x:c r="M1359"/>
      <x:c r="N1359"/>
      <x:c r="O1359"/>
      <x:c r="P1359"/>
      <x:c r="Q1359"/>
      <x:c r="R1359"/>
      <x:c r="S1359"/>
      <x:c r="T1359"/>
      <x:c r="U1359"/>
      <x:c r="V1359"/>
      <x:c r="W1359"/>
    </x:row>
    <x:row r="1360">
      <x:c r="A1360"/>
      <x:c r="B1360"/>
      <x:c r="C1360"/>
      <x:c r="D1360"/>
      <x:c r="E1360"/>
      <x:c r="F1360"/>
      <x:c r="G1360"/>
      <x:c r="H1360"/>
      <x:c r="I1360"/>
      <x:c r="J1360"/>
      <x:c r="K1360"/>
      <x:c r="L1360"/>
      <x:c r="M1360"/>
      <x:c r="N1360"/>
      <x:c r="O1360"/>
      <x:c r="P1360"/>
      <x:c r="Q1360"/>
      <x:c r="R1360"/>
      <x:c r="S1360"/>
      <x:c r="T1360"/>
      <x:c r="U1360"/>
      <x:c r="V1360"/>
      <x:c r="W1360"/>
    </x:row>
    <x:row r="1361">
      <x:c r="A1361"/>
      <x:c r="B1361"/>
      <x:c r="C1361"/>
      <x:c r="D1361"/>
      <x:c r="E1361"/>
      <x:c r="F1361"/>
      <x:c r="G1361"/>
      <x:c r="H1361"/>
      <x:c r="I1361"/>
      <x:c r="J1361"/>
      <x:c r="K1361"/>
      <x:c r="L1361"/>
      <x:c r="M1361"/>
      <x:c r="N1361"/>
      <x:c r="O1361"/>
      <x:c r="P1361"/>
      <x:c r="Q1361"/>
      <x:c r="R1361"/>
      <x:c r="S1361"/>
      <x:c r="T1361"/>
      <x:c r="U1361"/>
      <x:c r="V1361"/>
      <x:c r="W1361"/>
    </x:row>
    <x:row r="1362">
      <x:c r="A1362"/>
      <x:c r="B1362"/>
      <x:c r="C1362"/>
      <x:c r="D1362"/>
      <x:c r="E1362"/>
      <x:c r="F1362"/>
      <x:c r="G1362"/>
      <x:c r="H1362"/>
      <x:c r="I1362"/>
      <x:c r="J1362"/>
      <x:c r="K1362"/>
      <x:c r="L1362"/>
      <x:c r="M1362"/>
      <x:c r="N1362"/>
      <x:c r="O1362"/>
      <x:c r="P1362"/>
      <x:c r="Q1362"/>
      <x:c r="R1362"/>
      <x:c r="S1362"/>
      <x:c r="T1362"/>
      <x:c r="U1362"/>
      <x:c r="V1362"/>
      <x:c r="W1362"/>
    </x:row>
    <x:row r="1363">
      <x:c r="A1363"/>
      <x:c r="B1363"/>
      <x:c r="C1363"/>
      <x:c r="D1363"/>
      <x:c r="E1363"/>
      <x:c r="F1363"/>
      <x:c r="G1363"/>
      <x:c r="H1363"/>
      <x:c r="I1363"/>
      <x:c r="J1363"/>
      <x:c r="K1363"/>
      <x:c r="L1363"/>
      <x:c r="M1363"/>
      <x:c r="N1363"/>
      <x:c r="O1363"/>
      <x:c r="P1363"/>
      <x:c r="Q1363"/>
      <x:c r="R1363"/>
      <x:c r="S1363"/>
      <x:c r="T1363"/>
      <x:c r="U1363"/>
      <x:c r="V1363"/>
      <x:c r="W1363"/>
    </x:row>
    <x:row r="1364">
      <x:c r="A1364"/>
      <x:c r="B1364"/>
      <x:c r="C1364"/>
      <x:c r="D1364"/>
      <x:c r="E1364"/>
      <x:c r="F1364"/>
      <x:c r="G1364"/>
      <x:c r="H1364"/>
      <x:c r="I1364"/>
      <x:c r="J1364"/>
      <x:c r="K1364"/>
      <x:c r="L1364"/>
      <x:c r="M1364"/>
      <x:c r="N1364"/>
      <x:c r="O1364"/>
      <x:c r="P1364"/>
      <x:c r="Q1364"/>
      <x:c r="R1364"/>
      <x:c r="S1364"/>
      <x:c r="T1364"/>
      <x:c r="U1364"/>
      <x:c r="V1364"/>
      <x:c r="W1364"/>
    </x:row>
    <x:row r="1365">
      <x:c r="A1365"/>
      <x:c r="B1365"/>
      <x:c r="C1365"/>
      <x:c r="D1365"/>
      <x:c r="E1365"/>
      <x:c r="F1365"/>
      <x:c r="G1365"/>
      <x:c r="H1365"/>
      <x:c r="I1365"/>
      <x:c r="J1365"/>
      <x:c r="K1365"/>
      <x:c r="L1365"/>
      <x:c r="M1365"/>
      <x:c r="N1365"/>
      <x:c r="O1365"/>
      <x:c r="P1365"/>
      <x:c r="Q1365"/>
      <x:c r="R1365"/>
      <x:c r="S1365"/>
      <x:c r="T1365"/>
      <x:c r="U1365"/>
      <x:c r="V1365"/>
      <x:c r="W1365"/>
    </x:row>
    <x:row r="1366">
      <x:c r="A1366"/>
      <x:c r="B1366"/>
      <x:c r="C1366"/>
      <x:c r="D1366"/>
      <x:c r="E1366"/>
      <x:c r="F1366"/>
      <x:c r="G1366"/>
      <x:c r="H1366"/>
      <x:c r="I1366"/>
      <x:c r="J1366"/>
      <x:c r="K1366"/>
      <x:c r="L1366"/>
      <x:c r="M1366"/>
      <x:c r="N1366"/>
      <x:c r="O1366"/>
      <x:c r="P1366"/>
      <x:c r="Q1366"/>
      <x:c r="R1366"/>
      <x:c r="S1366"/>
      <x:c r="T1366"/>
      <x:c r="U1366"/>
      <x:c r="V1366"/>
      <x:c r="W1366"/>
    </x:row>
    <x:row r="1367">
      <x:c r="A1367"/>
      <x:c r="B1367"/>
      <x:c r="C1367"/>
      <x:c r="D1367"/>
      <x:c r="E1367"/>
      <x:c r="F1367"/>
      <x:c r="G1367"/>
      <x:c r="H1367"/>
      <x:c r="I1367"/>
      <x:c r="J1367"/>
      <x:c r="K1367"/>
      <x:c r="L1367"/>
      <x:c r="M1367"/>
      <x:c r="N1367"/>
      <x:c r="O1367"/>
      <x:c r="P1367"/>
      <x:c r="Q1367"/>
      <x:c r="R1367"/>
      <x:c r="S1367"/>
      <x:c r="T1367"/>
      <x:c r="U1367"/>
      <x:c r="V1367"/>
      <x:c r="W1367"/>
    </x:row>
    <x:row r="1368">
      <x:c r="A1368"/>
      <x:c r="B1368"/>
      <x:c r="C1368"/>
      <x:c r="D1368"/>
      <x:c r="E1368"/>
      <x:c r="F1368"/>
      <x:c r="G1368"/>
      <x:c r="H1368"/>
      <x:c r="I1368"/>
      <x:c r="J1368"/>
      <x:c r="K1368"/>
      <x:c r="L1368"/>
      <x:c r="M1368"/>
      <x:c r="N1368"/>
      <x:c r="O1368"/>
      <x:c r="P1368"/>
      <x:c r="Q1368"/>
      <x:c r="R1368"/>
      <x:c r="S1368"/>
      <x:c r="T1368"/>
      <x:c r="U1368"/>
      <x:c r="V1368"/>
      <x:c r="W1368"/>
    </x:row>
    <x:row r="1369">
      <x:c r="A1369"/>
      <x:c r="B1369"/>
      <x:c r="C1369"/>
      <x:c r="D1369"/>
      <x:c r="E1369"/>
      <x:c r="F1369"/>
      <x:c r="G1369"/>
      <x:c r="H1369"/>
      <x:c r="I1369"/>
      <x:c r="J1369"/>
      <x:c r="K1369"/>
      <x:c r="L1369"/>
      <x:c r="M1369"/>
      <x:c r="N1369"/>
      <x:c r="O1369"/>
      <x:c r="P1369"/>
      <x:c r="Q1369"/>
      <x:c r="R1369"/>
      <x:c r="S1369"/>
      <x:c r="T1369"/>
      <x:c r="U1369"/>
      <x:c r="V1369"/>
      <x:c r="W1369"/>
    </x:row>
    <x:row r="1370">
      <x:c r="A1370"/>
      <x:c r="B1370"/>
      <x:c r="C1370"/>
      <x:c r="D1370"/>
      <x:c r="E1370"/>
      <x:c r="F1370"/>
      <x:c r="G1370"/>
      <x:c r="H1370"/>
      <x:c r="I1370"/>
      <x:c r="J1370"/>
      <x:c r="K1370"/>
      <x:c r="L1370"/>
      <x:c r="M1370"/>
      <x:c r="N1370"/>
      <x:c r="O1370"/>
      <x:c r="P1370"/>
      <x:c r="Q1370"/>
      <x:c r="R1370"/>
      <x:c r="S1370"/>
      <x:c r="T1370"/>
      <x:c r="U1370"/>
      <x:c r="V1370"/>
      <x:c r="W1370"/>
    </x:row>
    <x:row r="1371">
      <x:c r="A1371"/>
      <x:c r="B1371"/>
      <x:c r="C1371"/>
      <x:c r="D1371"/>
      <x:c r="E1371"/>
      <x:c r="F1371"/>
      <x:c r="G1371"/>
      <x:c r="H1371"/>
      <x:c r="I1371"/>
      <x:c r="J1371"/>
      <x:c r="K1371"/>
      <x:c r="L1371"/>
      <x:c r="M1371"/>
      <x:c r="N1371"/>
      <x:c r="O1371"/>
      <x:c r="P1371"/>
      <x:c r="Q1371"/>
      <x:c r="R1371"/>
      <x:c r="S1371"/>
      <x:c r="T1371"/>
      <x:c r="U1371"/>
      <x:c r="V1371"/>
      <x:c r="W1371"/>
    </x:row>
    <x:row r="1372">
      <x:c r="A1372"/>
      <x:c r="B1372"/>
      <x:c r="C1372"/>
      <x:c r="D1372"/>
      <x:c r="E1372"/>
      <x:c r="F1372"/>
      <x:c r="G1372"/>
      <x:c r="H1372"/>
      <x:c r="I1372"/>
      <x:c r="J1372"/>
      <x:c r="K1372"/>
      <x:c r="L1372"/>
      <x:c r="M1372"/>
      <x:c r="N1372"/>
      <x:c r="O1372"/>
      <x:c r="P1372"/>
      <x:c r="Q1372"/>
      <x:c r="R1372"/>
      <x:c r="S1372"/>
      <x:c r="T1372"/>
      <x:c r="U1372"/>
      <x:c r="V1372"/>
      <x:c r="W1372"/>
    </x:row>
    <x:row r="1373">
      <x:c r="A1373"/>
      <x:c r="B1373"/>
      <x:c r="C1373"/>
      <x:c r="D1373"/>
      <x:c r="E1373"/>
      <x:c r="F1373"/>
      <x:c r="G1373"/>
      <x:c r="H1373"/>
      <x:c r="I1373"/>
      <x:c r="J1373"/>
      <x:c r="K1373"/>
      <x:c r="L1373"/>
      <x:c r="M1373"/>
      <x:c r="N1373"/>
      <x:c r="O1373"/>
      <x:c r="P1373"/>
      <x:c r="Q1373"/>
      <x:c r="R1373"/>
      <x:c r="S1373"/>
      <x:c r="T1373"/>
      <x:c r="U1373"/>
      <x:c r="V1373"/>
      <x:c r="W1373"/>
    </x:row>
    <x:row r="1374">
      <x:c r="A1374"/>
      <x:c r="B1374"/>
      <x:c r="C1374"/>
      <x:c r="D1374"/>
      <x:c r="E1374"/>
      <x:c r="F1374"/>
      <x:c r="G1374"/>
      <x:c r="H1374"/>
      <x:c r="I1374"/>
      <x:c r="J1374"/>
      <x:c r="K1374"/>
      <x:c r="L1374"/>
      <x:c r="M1374"/>
      <x:c r="N1374"/>
      <x:c r="O1374"/>
      <x:c r="P1374"/>
      <x:c r="Q1374"/>
      <x:c r="R1374"/>
      <x:c r="S1374"/>
      <x:c r="T1374"/>
      <x:c r="U1374"/>
      <x:c r="V1374"/>
      <x:c r="W1374"/>
    </x:row>
    <x:row r="1375">
      <x:c r="A1375"/>
      <x:c r="B1375"/>
      <x:c r="C1375"/>
      <x:c r="D1375"/>
      <x:c r="E1375"/>
      <x:c r="F1375"/>
      <x:c r="G1375"/>
      <x:c r="H1375"/>
      <x:c r="I1375"/>
      <x:c r="J1375"/>
      <x:c r="K1375"/>
      <x:c r="L1375"/>
      <x:c r="M1375"/>
      <x:c r="N1375"/>
      <x:c r="O1375"/>
      <x:c r="P1375"/>
      <x:c r="Q1375"/>
      <x:c r="R1375"/>
      <x:c r="S1375"/>
      <x:c r="T1375"/>
      <x:c r="U1375"/>
      <x:c r="V1375"/>
      <x:c r="W1375"/>
    </x:row>
    <x:row r="1376">
      <x:c r="A1376"/>
      <x:c r="B1376"/>
      <x:c r="C1376"/>
      <x:c r="D1376"/>
      <x:c r="E1376"/>
      <x:c r="F1376"/>
      <x:c r="G1376"/>
      <x:c r="H1376"/>
      <x:c r="I1376"/>
      <x:c r="J1376"/>
      <x:c r="K1376"/>
      <x:c r="L1376"/>
      <x:c r="M1376"/>
      <x:c r="N1376"/>
      <x:c r="O1376"/>
      <x:c r="P1376"/>
      <x:c r="Q1376"/>
      <x:c r="R1376"/>
      <x:c r="S1376"/>
      <x:c r="T1376"/>
      <x:c r="U1376"/>
      <x:c r="V1376"/>
      <x:c r="W1376"/>
    </x:row>
    <x:row r="1377">
      <x:c r="A1377"/>
      <x:c r="B1377"/>
      <x:c r="C1377"/>
      <x:c r="D1377"/>
      <x:c r="E1377"/>
      <x:c r="F1377"/>
      <x:c r="G1377"/>
      <x:c r="H1377"/>
      <x:c r="I1377"/>
      <x:c r="J1377"/>
      <x:c r="K1377"/>
      <x:c r="L1377"/>
      <x:c r="M1377"/>
      <x:c r="N1377"/>
      <x:c r="O1377"/>
      <x:c r="P1377"/>
      <x:c r="Q1377"/>
      <x:c r="R1377"/>
      <x:c r="S1377"/>
      <x:c r="T1377"/>
      <x:c r="U1377"/>
      <x:c r="V1377"/>
      <x:c r="W1377"/>
    </x:row>
    <x:row r="1378">
      <x:c r="A1378"/>
      <x:c r="B1378"/>
      <x:c r="C1378"/>
      <x:c r="D1378"/>
      <x:c r="E1378"/>
      <x:c r="F1378"/>
      <x:c r="G1378"/>
      <x:c r="H1378"/>
      <x:c r="I1378"/>
      <x:c r="J1378"/>
      <x:c r="K1378"/>
      <x:c r="L1378"/>
      <x:c r="M1378"/>
      <x:c r="N1378"/>
      <x:c r="O1378"/>
      <x:c r="P1378"/>
      <x:c r="Q1378"/>
      <x:c r="R1378"/>
      <x:c r="S1378"/>
      <x:c r="T1378"/>
      <x:c r="U1378"/>
      <x:c r="V1378"/>
      <x:c r="W1378"/>
    </x:row>
    <x:row r="1379">
      <x:c r="A1379"/>
      <x:c r="B1379"/>
      <x:c r="C1379"/>
      <x:c r="D1379"/>
      <x:c r="E1379"/>
      <x:c r="F1379"/>
      <x:c r="G1379"/>
      <x:c r="H1379"/>
      <x:c r="I1379"/>
      <x:c r="J1379"/>
      <x:c r="K1379"/>
      <x:c r="L1379"/>
      <x:c r="M1379"/>
      <x:c r="N1379"/>
      <x:c r="O1379"/>
      <x:c r="P1379"/>
      <x:c r="Q1379"/>
      <x:c r="R1379"/>
      <x:c r="S1379"/>
      <x:c r="T1379"/>
      <x:c r="U1379"/>
      <x:c r="V1379"/>
      <x:c r="W1379"/>
    </x:row>
    <x:row r="1380">
      <x:c r="A1380"/>
      <x:c r="B1380"/>
      <x:c r="C1380"/>
      <x:c r="D1380"/>
      <x:c r="E1380"/>
      <x:c r="F1380"/>
      <x:c r="G1380"/>
      <x:c r="H1380"/>
      <x:c r="I1380"/>
      <x:c r="J1380"/>
      <x:c r="K1380"/>
      <x:c r="L1380"/>
      <x:c r="M1380"/>
      <x:c r="N1380"/>
      <x:c r="O1380"/>
      <x:c r="P1380"/>
      <x:c r="Q1380"/>
      <x:c r="R1380"/>
      <x:c r="S1380"/>
      <x:c r="T1380"/>
      <x:c r="U1380"/>
      <x:c r="V1380"/>
      <x:c r="W1380"/>
    </x:row>
    <x:row r="1381">
      <x:c r="A1381"/>
      <x:c r="B1381"/>
      <x:c r="C1381"/>
      <x:c r="D1381"/>
      <x:c r="E1381"/>
      <x:c r="F1381"/>
      <x:c r="G1381"/>
      <x:c r="H1381"/>
      <x:c r="I1381"/>
      <x:c r="J1381"/>
      <x:c r="K1381"/>
      <x:c r="L1381"/>
      <x:c r="M1381"/>
      <x:c r="N1381"/>
      <x:c r="O1381"/>
      <x:c r="P1381"/>
      <x:c r="Q1381"/>
      <x:c r="R1381"/>
      <x:c r="S1381"/>
      <x:c r="T1381"/>
      <x:c r="U1381"/>
      <x:c r="V1381"/>
      <x:c r="W1381"/>
    </x:row>
    <x:row r="1382">
      <x:c r="A1382"/>
      <x:c r="B1382"/>
      <x:c r="C1382"/>
      <x:c r="D1382"/>
      <x:c r="E1382"/>
      <x:c r="F1382"/>
      <x:c r="G1382"/>
      <x:c r="H1382"/>
      <x:c r="I1382"/>
      <x:c r="J1382"/>
      <x:c r="K1382"/>
      <x:c r="L1382"/>
      <x:c r="M1382"/>
      <x:c r="N1382"/>
      <x:c r="O1382"/>
      <x:c r="P1382"/>
      <x:c r="Q1382"/>
      <x:c r="R1382"/>
      <x:c r="S1382"/>
      <x:c r="T1382"/>
      <x:c r="U1382"/>
      <x:c r="V1382"/>
      <x:c r="W1382"/>
    </x:row>
    <x:row r="1383">
      <x:c r="A1383"/>
      <x:c r="B1383"/>
      <x:c r="C1383"/>
      <x:c r="D1383"/>
      <x:c r="E1383"/>
      <x:c r="F1383"/>
      <x:c r="G1383"/>
      <x:c r="H1383"/>
      <x:c r="I1383"/>
      <x:c r="J1383"/>
      <x:c r="K1383"/>
      <x:c r="L1383"/>
      <x:c r="M1383"/>
      <x:c r="N1383"/>
      <x:c r="O1383"/>
      <x:c r="P1383"/>
      <x:c r="Q1383"/>
      <x:c r="R1383"/>
      <x:c r="S1383"/>
      <x:c r="T1383"/>
      <x:c r="U1383"/>
      <x:c r="V1383"/>
      <x:c r="W1383"/>
    </x:row>
    <x:row r="1384">
      <x:c r="A1384"/>
      <x:c r="B1384"/>
      <x:c r="C1384"/>
      <x:c r="D1384"/>
      <x:c r="E1384"/>
      <x:c r="F1384"/>
      <x:c r="G1384"/>
      <x:c r="H1384"/>
      <x:c r="I1384"/>
      <x:c r="J1384"/>
      <x:c r="K1384"/>
      <x:c r="L1384"/>
      <x:c r="M1384"/>
      <x:c r="N1384"/>
      <x:c r="O1384"/>
      <x:c r="P1384"/>
      <x:c r="Q1384"/>
      <x:c r="R1384"/>
      <x:c r="S1384"/>
      <x:c r="T1384"/>
      <x:c r="U1384"/>
      <x:c r="V1384"/>
      <x:c r="W1384"/>
    </x:row>
    <x:row r="1385">
      <x:c r="A1385"/>
      <x:c r="B1385"/>
      <x:c r="C1385"/>
      <x:c r="D1385"/>
      <x:c r="E1385"/>
      <x:c r="F1385"/>
      <x:c r="G1385"/>
      <x:c r="H1385"/>
      <x:c r="I1385"/>
      <x:c r="J1385"/>
      <x:c r="K1385"/>
      <x:c r="L1385"/>
      <x:c r="M1385"/>
      <x:c r="N1385"/>
      <x:c r="O1385"/>
      <x:c r="P1385"/>
      <x:c r="Q1385"/>
      <x:c r="R1385"/>
      <x:c r="S1385"/>
      <x:c r="T1385"/>
      <x:c r="U1385"/>
      <x:c r="V1385"/>
      <x:c r="W1385"/>
    </x:row>
    <x:row r="1386">
      <x:c r="A1386"/>
      <x:c r="B1386"/>
      <x:c r="C1386"/>
      <x:c r="D1386"/>
      <x:c r="E1386"/>
      <x:c r="F1386"/>
      <x:c r="G1386"/>
      <x:c r="H1386"/>
      <x:c r="I1386"/>
      <x:c r="J1386"/>
      <x:c r="K1386"/>
      <x:c r="L1386"/>
      <x:c r="M1386"/>
      <x:c r="N1386"/>
      <x:c r="O1386"/>
      <x:c r="P1386"/>
      <x:c r="Q1386"/>
      <x:c r="R1386"/>
      <x:c r="S1386"/>
      <x:c r="T1386"/>
      <x:c r="U1386"/>
      <x:c r="V1386"/>
      <x:c r="W1386"/>
    </x:row>
    <x:row r="1387">
      <x:c r="A1387"/>
      <x:c r="B1387"/>
      <x:c r="C1387"/>
      <x:c r="D1387"/>
      <x:c r="E1387"/>
      <x:c r="F1387"/>
      <x:c r="G1387"/>
      <x:c r="H1387"/>
      <x:c r="I1387"/>
      <x:c r="J1387"/>
      <x:c r="K1387"/>
      <x:c r="L1387"/>
      <x:c r="M1387"/>
      <x:c r="N1387"/>
      <x:c r="O1387"/>
      <x:c r="P1387"/>
      <x:c r="Q1387"/>
      <x:c r="R1387"/>
      <x:c r="S1387"/>
      <x:c r="T1387"/>
      <x:c r="U1387"/>
      <x:c r="V1387"/>
      <x:c r="W1387"/>
    </x:row>
    <x:row r="1388">
      <x:c r="A1388"/>
      <x:c r="B1388"/>
      <x:c r="C1388"/>
      <x:c r="D1388"/>
      <x:c r="E1388"/>
      <x:c r="F1388"/>
      <x:c r="G1388"/>
      <x:c r="H1388"/>
      <x:c r="I1388"/>
      <x:c r="J1388"/>
      <x:c r="K1388"/>
      <x:c r="L1388"/>
      <x:c r="M1388"/>
      <x:c r="N1388"/>
      <x:c r="O1388"/>
      <x:c r="P1388"/>
      <x:c r="Q1388"/>
      <x:c r="R1388"/>
      <x:c r="S1388"/>
      <x:c r="T1388"/>
      <x:c r="U1388"/>
      <x:c r="V1388"/>
      <x:c r="W1388"/>
    </x:row>
    <x:row r="1389">
      <x:c r="A1389"/>
      <x:c r="B1389"/>
      <x:c r="C1389"/>
      <x:c r="D1389"/>
      <x:c r="E1389"/>
      <x:c r="F1389"/>
      <x:c r="G1389"/>
      <x:c r="H1389"/>
      <x:c r="I1389"/>
      <x:c r="J1389"/>
      <x:c r="K1389"/>
      <x:c r="L1389"/>
      <x:c r="M1389"/>
      <x:c r="N1389"/>
      <x:c r="O1389"/>
      <x:c r="P1389"/>
      <x:c r="Q1389"/>
      <x:c r="R1389"/>
      <x:c r="S1389"/>
      <x:c r="T1389"/>
      <x:c r="U1389"/>
      <x:c r="V1389"/>
      <x:c r="W1389"/>
    </x:row>
    <x:row r="1390">
      <x:c r="A1390"/>
      <x:c r="B1390"/>
      <x:c r="C1390"/>
      <x:c r="D1390"/>
      <x:c r="E1390"/>
      <x:c r="F1390"/>
      <x:c r="G1390"/>
      <x:c r="H1390"/>
      <x:c r="I1390"/>
      <x:c r="J1390"/>
      <x:c r="K1390"/>
      <x:c r="L1390"/>
      <x:c r="M1390"/>
      <x:c r="N1390"/>
      <x:c r="O1390"/>
      <x:c r="P1390"/>
      <x:c r="Q1390"/>
      <x:c r="R1390"/>
      <x:c r="S1390"/>
      <x:c r="T1390"/>
      <x:c r="U1390"/>
      <x:c r="V1390"/>
      <x:c r="W1390"/>
    </x:row>
    <x:row r="1391">
      <x:c r="A1391"/>
      <x:c r="B1391"/>
      <x:c r="C1391"/>
      <x:c r="D1391"/>
      <x:c r="E1391"/>
      <x:c r="F1391"/>
      <x:c r="G1391"/>
      <x:c r="H1391"/>
      <x:c r="I1391"/>
      <x:c r="J1391"/>
      <x:c r="K1391"/>
      <x:c r="L1391"/>
      <x:c r="M1391"/>
      <x:c r="N1391"/>
      <x:c r="O1391"/>
      <x:c r="P1391"/>
      <x:c r="Q1391"/>
      <x:c r="R1391"/>
      <x:c r="S1391"/>
      <x:c r="T1391"/>
      <x:c r="U1391"/>
      <x:c r="V1391"/>
      <x:c r="W1391"/>
    </x:row>
    <x:row r="1392">
      <x:c r="A1392"/>
      <x:c r="B1392"/>
      <x:c r="C1392"/>
      <x:c r="D1392"/>
      <x:c r="E1392"/>
      <x:c r="F1392"/>
      <x:c r="G1392"/>
      <x:c r="H1392"/>
      <x:c r="I1392"/>
      <x:c r="J1392"/>
      <x:c r="K1392"/>
      <x:c r="L1392"/>
      <x:c r="M1392"/>
      <x:c r="N1392"/>
      <x:c r="O1392"/>
      <x:c r="P1392"/>
      <x:c r="Q1392"/>
      <x:c r="R1392"/>
      <x:c r="S1392"/>
      <x:c r="T1392"/>
      <x:c r="U1392"/>
      <x:c r="V1392"/>
      <x:c r="W1392"/>
    </x:row>
    <x:row r="1393">
      <x:c r="A1393"/>
      <x:c r="B1393"/>
      <x:c r="C1393"/>
      <x:c r="D1393"/>
      <x:c r="E1393"/>
      <x:c r="F1393"/>
      <x:c r="G1393"/>
      <x:c r="H1393"/>
      <x:c r="I1393"/>
      <x:c r="J1393"/>
      <x:c r="K1393"/>
      <x:c r="L1393"/>
      <x:c r="M1393"/>
      <x:c r="N1393"/>
      <x:c r="O1393"/>
      <x:c r="P1393"/>
      <x:c r="Q1393"/>
      <x:c r="R1393"/>
      <x:c r="S1393"/>
      <x:c r="T1393"/>
      <x:c r="U1393"/>
      <x:c r="V1393"/>
      <x:c r="W1393"/>
    </x:row>
    <x:row r="1394">
      <x:c r="A1394"/>
      <x:c r="B1394"/>
      <x:c r="C1394"/>
      <x:c r="D1394"/>
      <x:c r="E1394"/>
      <x:c r="F1394"/>
      <x:c r="G1394"/>
      <x:c r="H1394"/>
      <x:c r="I1394"/>
      <x:c r="J1394"/>
      <x:c r="K1394"/>
      <x:c r="L1394"/>
      <x:c r="M1394"/>
      <x:c r="N1394"/>
      <x:c r="O1394"/>
      <x:c r="P1394"/>
      <x:c r="Q1394"/>
      <x:c r="R1394"/>
      <x:c r="S1394"/>
      <x:c r="T1394"/>
      <x:c r="U1394"/>
      <x:c r="V1394"/>
      <x:c r="W1394"/>
    </x:row>
    <x:row r="1395">
      <x:c r="A1395"/>
      <x:c r="B1395"/>
      <x:c r="C1395"/>
      <x:c r="D1395"/>
      <x:c r="E1395"/>
      <x:c r="F1395"/>
      <x:c r="G1395"/>
      <x:c r="H1395"/>
      <x:c r="I1395"/>
      <x:c r="J1395"/>
      <x:c r="K1395"/>
      <x:c r="L1395"/>
      <x:c r="M1395"/>
      <x:c r="N1395"/>
      <x:c r="O1395"/>
      <x:c r="P1395"/>
      <x:c r="Q1395"/>
      <x:c r="R1395"/>
      <x:c r="S1395"/>
      <x:c r="T1395"/>
      <x:c r="U1395"/>
      <x:c r="V1395"/>
      <x:c r="W1395"/>
    </x:row>
    <x:row r="1396">
      <x:c r="A1396"/>
      <x:c r="B1396"/>
      <x:c r="C1396"/>
      <x:c r="D1396"/>
      <x:c r="E1396"/>
      <x:c r="F1396"/>
      <x:c r="G1396"/>
      <x:c r="H1396"/>
      <x:c r="I1396"/>
      <x:c r="J1396"/>
      <x:c r="K1396"/>
      <x:c r="L1396"/>
      <x:c r="M1396"/>
      <x:c r="N1396"/>
      <x:c r="O1396"/>
      <x:c r="P1396"/>
      <x:c r="Q1396"/>
      <x:c r="R1396"/>
      <x:c r="S1396"/>
      <x:c r="T1396"/>
      <x:c r="U1396"/>
      <x:c r="V1396"/>
      <x:c r="W1396"/>
    </x:row>
    <x:row r="1397">
      <x:c r="A1397"/>
      <x:c r="B1397"/>
      <x:c r="C1397"/>
      <x:c r="D1397"/>
      <x:c r="E1397"/>
      <x:c r="F1397"/>
      <x:c r="G1397"/>
      <x:c r="H1397"/>
      <x:c r="I1397"/>
      <x:c r="J1397"/>
      <x:c r="K1397"/>
      <x:c r="L1397"/>
      <x:c r="M1397"/>
      <x:c r="N1397"/>
      <x:c r="O1397"/>
      <x:c r="P1397"/>
      <x:c r="Q1397"/>
      <x:c r="R1397"/>
      <x:c r="S1397"/>
      <x:c r="T1397"/>
      <x:c r="U1397"/>
      <x:c r="V1397"/>
      <x:c r="W1397"/>
    </x:row>
    <x:row r="1398">
      <x:c r="A1398"/>
      <x:c r="B1398"/>
      <x:c r="C1398"/>
      <x:c r="D1398"/>
      <x:c r="E1398"/>
      <x:c r="F1398"/>
      <x:c r="G1398"/>
      <x:c r="H1398"/>
      <x:c r="I1398"/>
      <x:c r="J1398"/>
      <x:c r="K1398"/>
      <x:c r="L1398"/>
      <x:c r="M1398"/>
      <x:c r="N1398"/>
      <x:c r="O1398"/>
      <x:c r="P1398"/>
      <x:c r="Q1398"/>
      <x:c r="R1398"/>
      <x:c r="S1398"/>
      <x:c r="T1398"/>
      <x:c r="U1398"/>
      <x:c r="V1398"/>
      <x:c r="W1398"/>
    </x:row>
    <x:row r="1399">
      <x:c r="A1399"/>
      <x:c r="B1399"/>
      <x:c r="C1399"/>
      <x:c r="D1399"/>
      <x:c r="E1399"/>
      <x:c r="F1399"/>
      <x:c r="G1399"/>
      <x:c r="H1399"/>
      <x:c r="I1399"/>
      <x:c r="J1399"/>
      <x:c r="K1399"/>
      <x:c r="L1399"/>
      <x:c r="M1399"/>
      <x:c r="N1399"/>
      <x:c r="O1399"/>
      <x:c r="P1399"/>
      <x:c r="Q1399"/>
      <x:c r="R1399"/>
      <x:c r="S1399"/>
      <x:c r="T1399"/>
      <x:c r="U1399"/>
      <x:c r="V1399"/>
      <x:c r="W1399"/>
    </x:row>
    <x:row r="1400">
      <x:c r="A1400"/>
      <x:c r="B1400"/>
      <x:c r="C1400"/>
      <x:c r="D1400"/>
      <x:c r="E1400"/>
      <x:c r="F1400"/>
      <x:c r="G1400"/>
      <x:c r="H1400"/>
      <x:c r="I1400"/>
      <x:c r="J1400"/>
      <x:c r="K1400"/>
      <x:c r="L1400"/>
      <x:c r="M1400"/>
      <x:c r="N1400"/>
      <x:c r="O1400"/>
      <x:c r="P1400"/>
      <x:c r="Q1400"/>
      <x:c r="R1400"/>
      <x:c r="S1400"/>
      <x:c r="T1400"/>
      <x:c r="U1400"/>
      <x:c r="V1400"/>
      <x:c r="W1400"/>
    </x:row>
    <x:row r="1401">
      <x:c r="A1401"/>
      <x:c r="B1401"/>
      <x:c r="C1401"/>
      <x:c r="D1401"/>
      <x:c r="E1401"/>
      <x:c r="F1401"/>
      <x:c r="G1401"/>
      <x:c r="H1401"/>
      <x:c r="I1401"/>
      <x:c r="J1401"/>
      <x:c r="K1401"/>
      <x:c r="L1401"/>
      <x:c r="M1401"/>
      <x:c r="N1401"/>
      <x:c r="O1401"/>
      <x:c r="P1401"/>
      <x:c r="Q1401"/>
      <x:c r="R1401"/>
      <x:c r="S1401"/>
      <x:c r="T1401"/>
      <x:c r="U1401"/>
      <x:c r="V1401"/>
      <x:c r="W1401"/>
    </x:row>
    <x:row r="1402">
      <x:c r="A1402"/>
      <x:c r="B1402"/>
      <x:c r="C1402"/>
      <x:c r="D1402"/>
      <x:c r="E1402"/>
      <x:c r="F1402"/>
      <x:c r="G1402"/>
      <x:c r="H1402"/>
      <x:c r="I1402"/>
      <x:c r="J1402"/>
      <x:c r="K1402"/>
      <x:c r="L1402"/>
      <x:c r="M1402"/>
      <x:c r="N1402"/>
      <x:c r="O1402"/>
      <x:c r="P1402"/>
      <x:c r="Q1402"/>
      <x:c r="R1402"/>
      <x:c r="S1402"/>
      <x:c r="T1402"/>
      <x:c r="U1402"/>
      <x:c r="V1402"/>
      <x:c r="W1402"/>
    </x:row>
    <x:row r="1403">
      <x:c r="A1403"/>
      <x:c r="B1403"/>
      <x:c r="C1403"/>
      <x:c r="D1403"/>
      <x:c r="E1403"/>
      <x:c r="F1403"/>
      <x:c r="G1403"/>
      <x:c r="H1403"/>
      <x:c r="I1403"/>
      <x:c r="J1403"/>
      <x:c r="K1403"/>
      <x:c r="L1403"/>
      <x:c r="M1403"/>
      <x:c r="N1403"/>
      <x:c r="O1403"/>
      <x:c r="P1403"/>
      <x:c r="Q1403"/>
      <x:c r="R1403"/>
      <x:c r="S1403"/>
      <x:c r="T1403"/>
      <x:c r="U1403"/>
      <x:c r="V1403"/>
      <x:c r="W1403"/>
    </x:row>
    <x:row r="1404">
      <x:c r="A1404"/>
      <x:c r="B1404"/>
      <x:c r="C1404"/>
      <x:c r="D1404"/>
      <x:c r="E1404"/>
      <x:c r="F1404"/>
      <x:c r="G1404"/>
      <x:c r="H1404"/>
      <x:c r="I1404"/>
      <x:c r="J1404"/>
      <x:c r="K1404"/>
      <x:c r="L1404"/>
      <x:c r="M1404"/>
      <x:c r="N1404"/>
      <x:c r="O1404"/>
      <x:c r="P1404"/>
      <x:c r="Q1404"/>
      <x:c r="R1404"/>
      <x:c r="S1404"/>
      <x:c r="T1404"/>
      <x:c r="U1404"/>
      <x:c r="V1404"/>
      <x:c r="W1404"/>
    </x:row>
    <x:row r="1405">
      <x:c r="A1405"/>
      <x:c r="B1405"/>
      <x:c r="C1405"/>
      <x:c r="D1405"/>
      <x:c r="E1405"/>
      <x:c r="F1405"/>
      <x:c r="G1405"/>
      <x:c r="H1405"/>
      <x:c r="I1405"/>
      <x:c r="J1405"/>
      <x:c r="K1405"/>
      <x:c r="L1405"/>
      <x:c r="M1405"/>
      <x:c r="N1405"/>
      <x:c r="O1405"/>
      <x:c r="P1405"/>
      <x:c r="Q1405"/>
      <x:c r="R1405"/>
      <x:c r="S1405"/>
      <x:c r="T1405"/>
      <x:c r="U1405"/>
      <x:c r="V1405"/>
      <x:c r="W1405"/>
    </x:row>
    <x:row r="1406">
      <x:c r="A1406"/>
      <x:c r="B1406"/>
      <x:c r="C1406"/>
      <x:c r="D1406"/>
      <x:c r="E1406"/>
      <x:c r="F1406"/>
      <x:c r="G1406"/>
      <x:c r="H1406"/>
      <x:c r="I1406"/>
      <x:c r="J1406"/>
      <x:c r="K1406"/>
      <x:c r="L1406"/>
      <x:c r="M1406"/>
      <x:c r="N1406"/>
      <x:c r="O1406"/>
      <x:c r="P1406"/>
      <x:c r="Q1406"/>
      <x:c r="R1406"/>
      <x:c r="S1406"/>
      <x:c r="T1406"/>
      <x:c r="U1406"/>
      <x:c r="V1406"/>
      <x:c r="W1406"/>
    </x:row>
    <x:row r="1407">
      <x:c r="A1407"/>
      <x:c r="B1407"/>
      <x:c r="C1407"/>
      <x:c r="D1407"/>
      <x:c r="E1407"/>
      <x:c r="F1407"/>
      <x:c r="G1407"/>
      <x:c r="H1407"/>
      <x:c r="I1407"/>
      <x:c r="J1407"/>
      <x:c r="K1407"/>
      <x:c r="L1407"/>
      <x:c r="M1407"/>
      <x:c r="N1407"/>
      <x:c r="O1407"/>
      <x:c r="P1407"/>
      <x:c r="Q1407"/>
      <x:c r="R1407"/>
      <x:c r="S1407"/>
      <x:c r="T1407"/>
      <x:c r="U1407"/>
      <x:c r="V1407"/>
      <x:c r="W1407"/>
    </x:row>
    <x:row r="1408">
      <x:c r="A1408"/>
      <x:c r="B1408"/>
      <x:c r="C1408"/>
      <x:c r="D1408"/>
      <x:c r="E1408"/>
      <x:c r="F1408"/>
      <x:c r="G1408"/>
      <x:c r="H1408"/>
      <x:c r="I1408"/>
      <x:c r="J1408"/>
      <x:c r="K1408"/>
      <x:c r="L1408"/>
      <x:c r="M1408"/>
      <x:c r="N1408"/>
      <x:c r="O1408"/>
      <x:c r="P1408"/>
      <x:c r="Q1408"/>
      <x:c r="R1408"/>
      <x:c r="S1408"/>
      <x:c r="T1408"/>
      <x:c r="U1408"/>
      <x:c r="V1408"/>
      <x:c r="W1408"/>
    </x:row>
    <x:row r="1409">
      <x:c r="A1409"/>
      <x:c r="B1409"/>
      <x:c r="C1409"/>
      <x:c r="D1409"/>
      <x:c r="E1409"/>
      <x:c r="F1409"/>
      <x:c r="G1409"/>
      <x:c r="H1409"/>
      <x:c r="I1409"/>
      <x:c r="J1409"/>
      <x:c r="K1409"/>
      <x:c r="L1409"/>
      <x:c r="M1409"/>
      <x:c r="N1409"/>
      <x:c r="O1409"/>
      <x:c r="P1409"/>
      <x:c r="Q1409"/>
      <x:c r="R1409"/>
      <x:c r="S1409"/>
      <x:c r="T1409"/>
      <x:c r="U1409"/>
      <x:c r="V1409"/>
      <x:c r="W1409"/>
    </x:row>
    <x:row r="1410">
      <x:c r="A1410"/>
      <x:c r="B1410"/>
      <x:c r="C1410"/>
      <x:c r="D1410"/>
      <x:c r="E1410"/>
      <x:c r="F1410"/>
      <x:c r="G1410"/>
      <x:c r="H1410"/>
      <x:c r="I1410"/>
      <x:c r="J1410"/>
      <x:c r="K1410"/>
      <x:c r="L1410"/>
      <x:c r="M1410"/>
      <x:c r="N1410"/>
      <x:c r="O1410"/>
      <x:c r="P1410"/>
      <x:c r="Q1410"/>
      <x:c r="R1410"/>
      <x:c r="S1410"/>
      <x:c r="T1410"/>
      <x:c r="U1410"/>
      <x:c r="V1410"/>
      <x:c r="W1410"/>
    </x:row>
    <x:row r="1411">
      <x:c r="A1411"/>
      <x:c r="B1411"/>
      <x:c r="C1411"/>
      <x:c r="D1411"/>
      <x:c r="E1411"/>
      <x:c r="F1411"/>
      <x:c r="G1411"/>
      <x:c r="H1411"/>
      <x:c r="I1411"/>
      <x:c r="J1411"/>
      <x:c r="K1411"/>
      <x:c r="L1411"/>
      <x:c r="M1411"/>
      <x:c r="N1411"/>
      <x:c r="O1411"/>
      <x:c r="P1411"/>
      <x:c r="Q1411"/>
      <x:c r="R1411"/>
      <x:c r="S1411"/>
      <x:c r="T1411"/>
      <x:c r="U1411"/>
      <x:c r="V1411"/>
      <x:c r="W1411"/>
    </x:row>
    <x:row r="1412">
      <x:c r="A1412"/>
      <x:c r="B1412"/>
      <x:c r="C1412"/>
      <x:c r="D1412"/>
      <x:c r="E1412"/>
      <x:c r="F1412"/>
      <x:c r="G1412"/>
      <x:c r="H1412"/>
      <x:c r="I1412"/>
      <x:c r="J1412"/>
      <x:c r="K1412"/>
      <x:c r="L1412"/>
      <x:c r="M1412"/>
      <x:c r="N1412"/>
      <x:c r="O1412"/>
      <x:c r="P1412"/>
      <x:c r="Q1412"/>
      <x:c r="R1412"/>
      <x:c r="S1412"/>
      <x:c r="T1412"/>
      <x:c r="U1412"/>
      <x:c r="V1412"/>
      <x:c r="W1412"/>
    </x:row>
    <x:row r="1413">
      <x:c r="A1413"/>
      <x:c r="B1413"/>
      <x:c r="C1413"/>
      <x:c r="D1413"/>
      <x:c r="E1413"/>
      <x:c r="F1413"/>
      <x:c r="G1413"/>
      <x:c r="H1413"/>
      <x:c r="I1413"/>
      <x:c r="J1413"/>
      <x:c r="K1413"/>
      <x:c r="L1413"/>
      <x:c r="M1413"/>
      <x:c r="N1413"/>
      <x:c r="O1413"/>
      <x:c r="P1413"/>
      <x:c r="Q1413"/>
      <x:c r="R1413"/>
      <x:c r="S1413"/>
      <x:c r="T1413"/>
      <x:c r="U1413"/>
      <x:c r="V1413"/>
      <x:c r="W1413"/>
    </x:row>
    <x:row r="1414">
      <x:c r="A1414"/>
      <x:c r="B1414"/>
      <x:c r="C1414"/>
      <x:c r="D1414"/>
      <x:c r="E1414"/>
      <x:c r="F1414"/>
      <x:c r="G1414"/>
      <x:c r="H1414"/>
      <x:c r="I1414"/>
      <x:c r="J1414"/>
      <x:c r="K1414"/>
      <x:c r="L1414"/>
      <x:c r="M1414"/>
      <x:c r="N1414"/>
      <x:c r="O1414"/>
      <x:c r="P1414"/>
      <x:c r="Q1414"/>
      <x:c r="R1414"/>
      <x:c r="S1414"/>
      <x:c r="T1414"/>
      <x:c r="U1414"/>
      <x:c r="V1414"/>
      <x:c r="W1414"/>
    </x:row>
    <x:row r="1415">
      <x:c r="A1415"/>
      <x:c r="B1415"/>
      <x:c r="C1415"/>
      <x:c r="D1415"/>
      <x:c r="E1415"/>
      <x:c r="F1415"/>
      <x:c r="G1415"/>
      <x:c r="H1415"/>
      <x:c r="I1415"/>
      <x:c r="J1415"/>
      <x:c r="K1415"/>
      <x:c r="L1415"/>
      <x:c r="M1415"/>
      <x:c r="N1415"/>
      <x:c r="O1415"/>
      <x:c r="P1415"/>
      <x:c r="Q1415"/>
      <x:c r="R1415"/>
      <x:c r="S1415"/>
      <x:c r="T1415"/>
      <x:c r="U1415"/>
      <x:c r="V1415"/>
      <x:c r="W1415"/>
    </x:row>
    <x:row r="1416">
      <x:c r="A1416"/>
      <x:c r="B1416"/>
      <x:c r="C1416"/>
      <x:c r="D1416"/>
      <x:c r="E1416"/>
      <x:c r="F1416"/>
      <x:c r="G1416"/>
      <x:c r="H1416"/>
      <x:c r="I1416"/>
      <x:c r="J1416"/>
      <x:c r="K1416"/>
      <x:c r="L1416"/>
      <x:c r="M1416"/>
      <x:c r="N1416"/>
      <x:c r="O1416"/>
      <x:c r="P1416"/>
      <x:c r="Q1416"/>
      <x:c r="R1416"/>
      <x:c r="S1416"/>
      <x:c r="T1416"/>
      <x:c r="U1416"/>
      <x:c r="V1416"/>
      <x:c r="W1416"/>
    </x:row>
    <x:row r="1417">
      <x:c r="A1417"/>
      <x:c r="B1417"/>
      <x:c r="C1417"/>
      <x:c r="D1417"/>
      <x:c r="E1417"/>
      <x:c r="F1417"/>
      <x:c r="G1417"/>
      <x:c r="H1417"/>
      <x:c r="I1417"/>
      <x:c r="J1417"/>
      <x:c r="K1417"/>
      <x:c r="L1417"/>
      <x:c r="M1417"/>
      <x:c r="N1417"/>
      <x:c r="O1417"/>
      <x:c r="P1417"/>
      <x:c r="Q1417"/>
      <x:c r="R1417"/>
      <x:c r="S1417"/>
      <x:c r="T1417"/>
      <x:c r="U1417"/>
      <x:c r="V1417"/>
      <x:c r="W1417"/>
    </x:row>
    <x:row r="1418">
      <x:c r="A1418"/>
      <x:c r="B1418"/>
      <x:c r="C1418"/>
      <x:c r="D1418"/>
      <x:c r="E1418"/>
      <x:c r="F1418"/>
      <x:c r="G1418"/>
      <x:c r="H1418"/>
      <x:c r="I1418"/>
      <x:c r="J1418"/>
      <x:c r="K1418"/>
      <x:c r="L1418"/>
      <x:c r="M1418"/>
      <x:c r="N1418"/>
      <x:c r="O1418"/>
      <x:c r="P1418"/>
      <x:c r="Q1418"/>
      <x:c r="R1418"/>
      <x:c r="S1418"/>
      <x:c r="T1418"/>
      <x:c r="U1418"/>
      <x:c r="V1418"/>
      <x:c r="W1418"/>
    </x:row>
    <x:row r="1419">
      <x:c r="A1419"/>
      <x:c r="B1419"/>
      <x:c r="C1419"/>
      <x:c r="D1419"/>
      <x:c r="E1419"/>
      <x:c r="F1419"/>
      <x:c r="G1419"/>
      <x:c r="H1419"/>
      <x:c r="I1419"/>
      <x:c r="J1419"/>
      <x:c r="K1419"/>
      <x:c r="L1419"/>
      <x:c r="M1419"/>
      <x:c r="N1419"/>
      <x:c r="O1419"/>
      <x:c r="P1419"/>
      <x:c r="Q1419"/>
      <x:c r="R1419"/>
      <x:c r="S1419"/>
      <x:c r="T1419"/>
      <x:c r="U1419"/>
      <x:c r="V1419"/>
      <x:c r="W1419"/>
    </x:row>
    <x:row r="1420">
      <x:c r="A1420"/>
      <x:c r="B1420"/>
      <x:c r="C1420"/>
      <x:c r="D1420"/>
      <x:c r="E1420"/>
      <x:c r="F1420"/>
      <x:c r="G1420"/>
      <x:c r="H1420"/>
      <x:c r="I1420"/>
      <x:c r="J1420"/>
      <x:c r="K1420"/>
      <x:c r="L1420"/>
      <x:c r="M1420"/>
      <x:c r="N1420"/>
      <x:c r="O1420"/>
      <x:c r="P1420"/>
      <x:c r="Q1420"/>
      <x:c r="R1420"/>
      <x:c r="S1420"/>
      <x:c r="T1420"/>
      <x:c r="U1420"/>
      <x:c r="V1420"/>
      <x:c r="W1420"/>
    </x:row>
    <x:row r="1421">
      <x:c r="A1421"/>
      <x:c r="B1421"/>
      <x:c r="C1421"/>
      <x:c r="D1421"/>
      <x:c r="E1421"/>
      <x:c r="F1421"/>
      <x:c r="G1421"/>
      <x:c r="H1421"/>
      <x:c r="I1421"/>
      <x:c r="J1421"/>
      <x:c r="K1421"/>
      <x:c r="L1421"/>
      <x:c r="M1421"/>
      <x:c r="N1421"/>
      <x:c r="O1421"/>
      <x:c r="P1421"/>
      <x:c r="Q1421"/>
      <x:c r="R1421"/>
      <x:c r="S1421"/>
      <x:c r="T1421"/>
      <x:c r="U1421"/>
      <x:c r="V1421"/>
      <x:c r="W1421"/>
    </x:row>
    <x:row r="1422">
      <x:c r="A1422"/>
      <x:c r="B1422"/>
      <x:c r="C1422"/>
      <x:c r="D1422"/>
      <x:c r="E1422"/>
      <x:c r="F1422"/>
      <x:c r="G1422"/>
      <x:c r="H1422"/>
      <x:c r="I1422"/>
      <x:c r="J1422"/>
      <x:c r="K1422"/>
      <x:c r="L1422"/>
      <x:c r="M1422"/>
      <x:c r="N1422"/>
      <x:c r="O1422"/>
      <x:c r="P1422"/>
      <x:c r="Q1422"/>
      <x:c r="R1422"/>
      <x:c r="S1422"/>
      <x:c r="T1422"/>
      <x:c r="U1422"/>
      <x:c r="V1422"/>
      <x:c r="W1422"/>
    </x:row>
    <x:row r="1423">
      <x:c r="A1423"/>
      <x:c r="B1423"/>
      <x:c r="C1423"/>
      <x:c r="D1423"/>
      <x:c r="E1423"/>
      <x:c r="F1423"/>
      <x:c r="G1423"/>
      <x:c r="H1423"/>
      <x:c r="I1423"/>
      <x:c r="J1423"/>
      <x:c r="K1423"/>
      <x:c r="L1423"/>
      <x:c r="M1423"/>
      <x:c r="N1423"/>
      <x:c r="O1423"/>
      <x:c r="P1423"/>
      <x:c r="Q1423"/>
      <x:c r="R1423"/>
      <x:c r="S1423"/>
      <x:c r="T1423"/>
      <x:c r="U1423"/>
      <x:c r="V1423"/>
      <x:c r="W1423"/>
    </x:row>
    <x:row r="1424">
      <x:c r="A1424"/>
      <x:c r="B1424"/>
      <x:c r="C1424"/>
      <x:c r="D1424"/>
      <x:c r="E1424"/>
      <x:c r="F1424"/>
      <x:c r="G1424"/>
      <x:c r="H1424"/>
      <x:c r="I1424"/>
      <x:c r="J1424"/>
      <x:c r="K1424"/>
      <x:c r="L1424"/>
      <x:c r="M1424"/>
      <x:c r="N1424"/>
      <x:c r="O1424"/>
      <x:c r="P1424"/>
      <x:c r="Q1424"/>
      <x:c r="R1424"/>
      <x:c r="S1424"/>
      <x:c r="T1424"/>
      <x:c r="U1424"/>
      <x:c r="V1424"/>
      <x:c r="W1424"/>
    </x:row>
    <x:row r="1425">
      <x:c r="A1425"/>
      <x:c r="B1425"/>
      <x:c r="C1425"/>
      <x:c r="D1425"/>
      <x:c r="E1425"/>
      <x:c r="F1425"/>
      <x:c r="G1425"/>
      <x:c r="H1425"/>
      <x:c r="I1425"/>
      <x:c r="J1425"/>
      <x:c r="K1425"/>
      <x:c r="L1425"/>
      <x:c r="M1425"/>
      <x:c r="N1425"/>
      <x:c r="O1425"/>
      <x:c r="P1425"/>
      <x:c r="Q1425"/>
      <x:c r="R1425"/>
      <x:c r="S1425"/>
      <x:c r="T1425"/>
      <x:c r="U1425"/>
      <x:c r="V1425"/>
      <x:c r="W1425"/>
    </x:row>
    <x:row r="1426">
      <x:c r="A1426"/>
      <x:c r="B1426"/>
      <x:c r="C1426"/>
      <x:c r="D1426"/>
      <x:c r="E1426"/>
      <x:c r="F1426"/>
      <x:c r="G1426"/>
      <x:c r="H1426"/>
      <x:c r="I1426"/>
      <x:c r="J1426"/>
      <x:c r="K1426"/>
      <x:c r="L1426"/>
      <x:c r="M1426"/>
      <x:c r="N1426"/>
      <x:c r="O1426"/>
      <x:c r="P1426"/>
      <x:c r="Q1426"/>
      <x:c r="R1426"/>
      <x:c r="S1426"/>
      <x:c r="T1426"/>
      <x:c r="U1426"/>
      <x:c r="V1426"/>
      <x:c r="W1426"/>
    </x:row>
    <x:row r="1427">
      <x:c r="A1427"/>
      <x:c r="B1427"/>
      <x:c r="C1427"/>
      <x:c r="D1427"/>
      <x:c r="E1427"/>
      <x:c r="F1427"/>
      <x:c r="G1427"/>
      <x:c r="H1427"/>
      <x:c r="I1427"/>
      <x:c r="J1427"/>
      <x:c r="K1427"/>
      <x:c r="L1427"/>
      <x:c r="M1427"/>
      <x:c r="N1427"/>
      <x:c r="O1427"/>
      <x:c r="P1427"/>
      <x:c r="Q1427"/>
      <x:c r="R1427"/>
      <x:c r="S1427"/>
      <x:c r="T1427"/>
      <x:c r="U1427"/>
      <x:c r="V1427"/>
      <x:c r="W1427"/>
    </x:row>
    <x:row r="1428">
      <x:c r="A1428"/>
      <x:c r="B1428"/>
      <x:c r="C1428"/>
      <x:c r="D1428"/>
      <x:c r="E1428"/>
      <x:c r="F1428"/>
      <x:c r="G1428"/>
      <x:c r="H1428"/>
      <x:c r="I1428"/>
      <x:c r="J1428"/>
      <x:c r="K1428"/>
      <x:c r="L1428"/>
      <x:c r="M1428"/>
      <x:c r="N1428"/>
      <x:c r="O1428"/>
      <x:c r="P1428"/>
      <x:c r="Q1428"/>
      <x:c r="R1428"/>
      <x:c r="S1428"/>
      <x:c r="T1428"/>
      <x:c r="U1428"/>
      <x:c r="V1428"/>
      <x:c r="W1428"/>
    </x:row>
    <x:row r="1429">
      <x:c r="A1429"/>
      <x:c r="B1429"/>
      <x:c r="C1429"/>
      <x:c r="D1429"/>
      <x:c r="E1429"/>
      <x:c r="F1429"/>
      <x:c r="G1429"/>
      <x:c r="H1429"/>
      <x:c r="I1429"/>
      <x:c r="J1429"/>
      <x:c r="K1429"/>
      <x:c r="L1429"/>
      <x:c r="M1429"/>
      <x:c r="N1429"/>
      <x:c r="O1429"/>
      <x:c r="P1429"/>
      <x:c r="Q1429"/>
      <x:c r="R1429"/>
      <x:c r="S1429"/>
      <x:c r="T1429"/>
      <x:c r="U1429"/>
      <x:c r="V1429"/>
      <x:c r="W1429"/>
    </x:row>
    <x:row r="1430">
      <x:c r="A1430"/>
      <x:c r="B1430"/>
      <x:c r="C1430"/>
      <x:c r="D1430"/>
      <x:c r="E1430"/>
      <x:c r="F1430"/>
      <x:c r="G1430"/>
      <x:c r="H1430"/>
      <x:c r="I1430"/>
      <x:c r="J1430"/>
      <x:c r="K1430"/>
      <x:c r="L1430"/>
      <x:c r="M1430"/>
      <x:c r="N1430"/>
      <x:c r="O1430"/>
      <x:c r="P1430"/>
      <x:c r="Q1430"/>
      <x:c r="R1430"/>
      <x:c r="S1430"/>
      <x:c r="T1430"/>
      <x:c r="U1430"/>
      <x:c r="V1430"/>
      <x:c r="W1430"/>
    </x:row>
    <x:row r="1431">
      <x:c r="A1431"/>
      <x:c r="B1431"/>
      <x:c r="C1431"/>
      <x:c r="D1431"/>
      <x:c r="E1431"/>
      <x:c r="F1431"/>
      <x:c r="G1431"/>
      <x:c r="H1431"/>
      <x:c r="I1431"/>
      <x:c r="J1431"/>
      <x:c r="K1431"/>
      <x:c r="L1431"/>
      <x:c r="M1431"/>
      <x:c r="N1431"/>
      <x:c r="O1431"/>
      <x:c r="P1431"/>
      <x:c r="Q1431"/>
      <x:c r="R1431"/>
      <x:c r="S1431"/>
      <x:c r="T1431"/>
      <x:c r="U1431"/>
      <x:c r="V1431"/>
      <x:c r="W1431"/>
    </x:row>
    <x:row r="1432">
      <x:c r="A1432"/>
      <x:c r="B1432"/>
      <x:c r="C1432"/>
      <x:c r="D1432"/>
      <x:c r="E1432"/>
      <x:c r="F1432"/>
      <x:c r="G1432"/>
      <x:c r="H1432"/>
      <x:c r="I1432"/>
      <x:c r="J1432"/>
      <x:c r="K1432"/>
      <x:c r="L1432"/>
      <x:c r="M1432"/>
      <x:c r="N1432"/>
      <x:c r="O1432"/>
      <x:c r="P1432"/>
      <x:c r="Q1432"/>
      <x:c r="R1432"/>
      <x:c r="S1432"/>
      <x:c r="T1432"/>
      <x:c r="U1432"/>
      <x:c r="V1432"/>
      <x:c r="W1432"/>
    </x:row>
    <x:row r="1433">
      <x:c r="A1433"/>
      <x:c r="B1433"/>
      <x:c r="C1433"/>
      <x:c r="D1433"/>
      <x:c r="E1433"/>
      <x:c r="F1433"/>
      <x:c r="G1433"/>
      <x:c r="H1433"/>
      <x:c r="I1433"/>
      <x:c r="J1433"/>
      <x:c r="K1433"/>
      <x:c r="L1433"/>
      <x:c r="M1433"/>
      <x:c r="N1433"/>
      <x:c r="O1433"/>
      <x:c r="P1433"/>
      <x:c r="Q1433"/>
      <x:c r="R1433"/>
      <x:c r="S1433"/>
      <x:c r="T1433"/>
      <x:c r="U1433"/>
      <x:c r="V1433"/>
      <x:c r="W1433"/>
    </x:row>
    <x:row r="1434">
      <x:c r="A1434"/>
      <x:c r="B1434"/>
      <x:c r="C1434"/>
      <x:c r="D1434"/>
      <x:c r="E1434"/>
      <x:c r="F1434"/>
      <x:c r="G1434"/>
      <x:c r="H1434"/>
      <x:c r="I1434"/>
      <x:c r="J1434"/>
      <x:c r="K1434"/>
      <x:c r="L1434"/>
      <x:c r="M1434"/>
      <x:c r="N1434"/>
      <x:c r="O1434"/>
      <x:c r="P1434"/>
      <x:c r="Q1434"/>
      <x:c r="R1434"/>
      <x:c r="S1434"/>
      <x:c r="T1434"/>
      <x:c r="U1434"/>
      <x:c r="V1434"/>
      <x:c r="W1434"/>
    </x:row>
    <x:row r="1435">
      <x:c r="A1435"/>
      <x:c r="B1435"/>
      <x:c r="C1435"/>
      <x:c r="D1435"/>
      <x:c r="E1435"/>
      <x:c r="F1435"/>
      <x:c r="G1435"/>
      <x:c r="H1435"/>
      <x:c r="I1435"/>
      <x:c r="J1435"/>
      <x:c r="K1435"/>
      <x:c r="L1435"/>
      <x:c r="M1435"/>
      <x:c r="N1435"/>
      <x:c r="O1435"/>
      <x:c r="P1435"/>
      <x:c r="Q1435"/>
      <x:c r="R1435"/>
      <x:c r="S1435"/>
      <x:c r="T1435"/>
      <x:c r="U1435"/>
      <x:c r="V1435"/>
      <x:c r="W1435"/>
    </x:row>
    <x:row r="1436">
      <x:c r="A1436"/>
      <x:c r="B1436"/>
      <x:c r="C1436"/>
      <x:c r="D1436"/>
      <x:c r="E1436"/>
      <x:c r="F1436"/>
      <x:c r="G1436"/>
      <x:c r="H1436"/>
      <x:c r="I1436"/>
      <x:c r="J1436"/>
      <x:c r="K1436"/>
      <x:c r="L1436"/>
      <x:c r="M1436"/>
      <x:c r="N1436"/>
      <x:c r="O1436"/>
      <x:c r="P1436"/>
      <x:c r="Q1436"/>
      <x:c r="R1436"/>
      <x:c r="S1436"/>
      <x:c r="T1436"/>
      <x:c r="U1436"/>
      <x:c r="V1436"/>
      <x:c r="W1436"/>
    </x:row>
    <x:row r="1437">
      <x:c r="A1437"/>
      <x:c r="B1437"/>
      <x:c r="C1437"/>
      <x:c r="D1437"/>
      <x:c r="E1437"/>
      <x:c r="F1437"/>
      <x:c r="G1437"/>
      <x:c r="H1437"/>
      <x:c r="I1437"/>
      <x:c r="J1437"/>
      <x:c r="K1437"/>
      <x:c r="L1437"/>
      <x:c r="M1437"/>
      <x:c r="N1437"/>
      <x:c r="O1437"/>
      <x:c r="P1437"/>
      <x:c r="Q1437"/>
      <x:c r="R1437"/>
      <x:c r="S1437"/>
      <x:c r="T1437"/>
      <x:c r="U1437"/>
      <x:c r="V1437"/>
      <x:c r="W1437"/>
    </x:row>
    <x:row r="1438">
      <x:c r="A1438"/>
      <x:c r="B1438"/>
      <x:c r="C1438"/>
      <x:c r="D1438"/>
      <x:c r="E1438"/>
      <x:c r="F1438"/>
      <x:c r="G1438"/>
      <x:c r="H1438"/>
      <x:c r="I1438"/>
      <x:c r="J1438"/>
      <x:c r="K1438"/>
      <x:c r="L1438"/>
      <x:c r="M1438"/>
      <x:c r="N1438"/>
      <x:c r="O1438"/>
      <x:c r="P1438"/>
      <x:c r="Q1438"/>
      <x:c r="R1438"/>
      <x:c r="S1438"/>
      <x:c r="T1438"/>
      <x:c r="U1438"/>
      <x:c r="V1438"/>
      <x:c r="W1438"/>
    </x:row>
    <x:row r="1439">
      <x:c r="A1439"/>
      <x:c r="B1439"/>
      <x:c r="C1439"/>
      <x:c r="D1439"/>
      <x:c r="E1439"/>
      <x:c r="F1439"/>
      <x:c r="G1439"/>
      <x:c r="H1439"/>
      <x:c r="I1439"/>
      <x:c r="J1439"/>
      <x:c r="K1439"/>
      <x:c r="L1439"/>
      <x:c r="M1439"/>
      <x:c r="N1439"/>
      <x:c r="O1439"/>
      <x:c r="P1439"/>
      <x:c r="Q1439"/>
      <x:c r="R1439"/>
      <x:c r="S1439"/>
      <x:c r="T1439"/>
      <x:c r="U1439"/>
      <x:c r="V1439"/>
      <x:c r="W1439"/>
    </x:row>
    <x:row r="1440">
      <x:c r="A1440"/>
      <x:c r="B1440"/>
      <x:c r="C1440"/>
      <x:c r="D1440"/>
      <x:c r="E1440"/>
      <x:c r="F1440"/>
      <x:c r="G1440"/>
      <x:c r="H1440"/>
      <x:c r="I1440"/>
      <x:c r="J1440"/>
      <x:c r="K1440"/>
      <x:c r="L1440"/>
      <x:c r="M1440"/>
      <x:c r="N1440"/>
      <x:c r="O1440"/>
      <x:c r="P1440"/>
      <x:c r="Q1440"/>
      <x:c r="R1440"/>
      <x:c r="S1440"/>
      <x:c r="T1440"/>
      <x:c r="U1440"/>
      <x:c r="V1440"/>
      <x:c r="W1440"/>
    </x:row>
    <x:row r="1441">
      <x:c r="A1441"/>
      <x:c r="B1441"/>
      <x:c r="C1441"/>
      <x:c r="D1441"/>
      <x:c r="E1441"/>
      <x:c r="F1441"/>
      <x:c r="G1441"/>
      <x:c r="H1441"/>
      <x:c r="I1441"/>
      <x:c r="J1441"/>
      <x:c r="K1441"/>
      <x:c r="L1441"/>
      <x:c r="M1441"/>
      <x:c r="N1441"/>
      <x:c r="O1441"/>
      <x:c r="P1441"/>
      <x:c r="Q1441"/>
      <x:c r="R1441"/>
      <x:c r="S1441"/>
      <x:c r="T1441"/>
      <x:c r="U1441"/>
      <x:c r="V1441"/>
      <x:c r="W1441"/>
    </x:row>
    <x:row r="1442">
      <x:c r="A1442"/>
      <x:c r="B1442"/>
      <x:c r="C1442"/>
      <x:c r="D1442"/>
      <x:c r="E1442"/>
      <x:c r="F1442"/>
      <x:c r="G1442"/>
      <x:c r="H1442"/>
      <x:c r="I1442"/>
      <x:c r="J1442"/>
      <x:c r="K1442"/>
      <x:c r="L1442"/>
      <x:c r="M1442"/>
      <x:c r="N1442"/>
      <x:c r="O1442"/>
      <x:c r="P1442"/>
      <x:c r="Q1442"/>
      <x:c r="R1442"/>
      <x:c r="S1442"/>
      <x:c r="T1442"/>
      <x:c r="U1442"/>
      <x:c r="V1442"/>
      <x:c r="W1442"/>
    </x:row>
    <x:row r="1443">
      <x:c r="A1443"/>
      <x:c r="B1443"/>
      <x:c r="C1443"/>
      <x:c r="D1443"/>
      <x:c r="E1443"/>
      <x:c r="F1443"/>
      <x:c r="G1443"/>
      <x:c r="H1443"/>
      <x:c r="I1443"/>
      <x:c r="J1443"/>
      <x:c r="K1443"/>
      <x:c r="L1443"/>
      <x:c r="M1443"/>
      <x:c r="N1443"/>
      <x:c r="O1443"/>
      <x:c r="P1443"/>
      <x:c r="Q1443"/>
      <x:c r="R1443"/>
      <x:c r="S1443"/>
      <x:c r="T1443"/>
      <x:c r="U1443"/>
      <x:c r="V1443"/>
      <x:c r="W1443"/>
    </x:row>
    <x:row r="1444">
      <x:c r="A1444"/>
      <x:c r="B1444"/>
      <x:c r="C1444"/>
      <x:c r="D1444"/>
      <x:c r="E1444"/>
      <x:c r="F1444"/>
      <x:c r="G1444"/>
      <x:c r="H1444"/>
      <x:c r="I1444"/>
      <x:c r="J1444"/>
      <x:c r="K1444"/>
      <x:c r="L1444"/>
      <x:c r="M1444"/>
      <x:c r="N1444"/>
      <x:c r="O1444"/>
      <x:c r="P1444"/>
      <x:c r="Q1444"/>
      <x:c r="R1444"/>
      <x:c r="S1444"/>
      <x:c r="T1444"/>
      <x:c r="U1444"/>
      <x:c r="V1444"/>
      <x:c r="W1444"/>
    </x:row>
    <x:row r="1445">
      <x:c r="A1445"/>
      <x:c r="B1445"/>
      <x:c r="C1445"/>
      <x:c r="D1445"/>
      <x:c r="E1445"/>
      <x:c r="F1445"/>
      <x:c r="G1445"/>
      <x:c r="H1445"/>
      <x:c r="I1445"/>
      <x:c r="J1445"/>
      <x:c r="K1445"/>
      <x:c r="L1445"/>
      <x:c r="M1445"/>
      <x:c r="N1445"/>
      <x:c r="O1445"/>
      <x:c r="P1445"/>
      <x:c r="Q1445"/>
      <x:c r="R1445"/>
      <x:c r="S1445"/>
      <x:c r="T1445"/>
      <x:c r="U1445"/>
      <x:c r="V1445"/>
      <x:c r="W1445"/>
    </x:row>
    <x:row r="1446">
      <x:c r="A1446"/>
      <x:c r="B1446"/>
      <x:c r="C1446"/>
      <x:c r="D1446"/>
      <x:c r="E1446"/>
      <x:c r="F1446"/>
      <x:c r="G1446"/>
      <x:c r="H1446"/>
      <x:c r="I1446"/>
      <x:c r="J1446"/>
      <x:c r="K1446"/>
      <x:c r="L1446"/>
      <x:c r="M1446"/>
      <x:c r="N1446"/>
      <x:c r="O1446"/>
      <x:c r="P1446"/>
      <x:c r="Q1446"/>
      <x:c r="R1446"/>
      <x:c r="S1446"/>
      <x:c r="T1446"/>
      <x:c r="U1446"/>
      <x:c r="V1446"/>
      <x:c r="W1446"/>
    </x:row>
    <x:row r="1447">
      <x:c r="A1447"/>
      <x:c r="B1447"/>
      <x:c r="C1447"/>
      <x:c r="D1447"/>
      <x:c r="E1447"/>
      <x:c r="F1447"/>
      <x:c r="G1447"/>
      <x:c r="H1447"/>
      <x:c r="I1447"/>
      <x:c r="J1447"/>
      <x:c r="K1447"/>
      <x:c r="L1447"/>
      <x:c r="M1447"/>
      <x:c r="N1447"/>
      <x:c r="O1447"/>
      <x:c r="P1447"/>
      <x:c r="Q1447"/>
      <x:c r="R1447"/>
      <x:c r="S1447"/>
      <x:c r="T1447"/>
      <x:c r="U1447"/>
      <x:c r="V1447"/>
      <x:c r="W1447"/>
    </x:row>
    <x:row r="1448">
      <x:c r="A1448"/>
      <x:c r="B1448"/>
      <x:c r="C1448"/>
      <x:c r="D1448"/>
      <x:c r="E1448"/>
      <x:c r="F1448"/>
      <x:c r="G1448"/>
      <x:c r="H1448"/>
      <x:c r="I1448"/>
      <x:c r="J1448"/>
      <x:c r="K1448"/>
      <x:c r="L1448"/>
      <x:c r="M1448"/>
      <x:c r="N1448"/>
      <x:c r="O1448"/>
      <x:c r="P1448"/>
      <x:c r="Q1448"/>
      <x:c r="R1448"/>
      <x:c r="S1448"/>
      <x:c r="T1448"/>
      <x:c r="U1448"/>
      <x:c r="V1448"/>
      <x:c r="W1448"/>
    </x:row>
    <x:row r="1449">
      <x:c r="A1449"/>
      <x:c r="B1449"/>
      <x:c r="C1449"/>
      <x:c r="D1449"/>
      <x:c r="E1449"/>
      <x:c r="F1449"/>
      <x:c r="G1449"/>
      <x:c r="H1449"/>
      <x:c r="I1449"/>
      <x:c r="J1449"/>
      <x:c r="K1449"/>
      <x:c r="L1449"/>
      <x:c r="M1449"/>
      <x:c r="N1449"/>
      <x:c r="O1449"/>
      <x:c r="P1449"/>
      <x:c r="Q1449"/>
      <x:c r="R1449"/>
      <x:c r="S1449"/>
      <x:c r="T1449"/>
      <x:c r="U1449"/>
      <x:c r="V1449"/>
      <x:c r="W1449"/>
    </x:row>
    <x:row r="1450">
      <x:c r="A1450"/>
      <x:c r="B1450"/>
      <x:c r="C1450"/>
      <x:c r="D1450"/>
      <x:c r="E1450"/>
      <x:c r="F1450"/>
      <x:c r="G1450"/>
      <x:c r="H1450"/>
      <x:c r="I1450"/>
      <x:c r="J1450"/>
      <x:c r="K1450"/>
      <x:c r="L1450"/>
      <x:c r="M1450"/>
      <x:c r="N1450"/>
      <x:c r="O1450"/>
      <x:c r="P1450"/>
      <x:c r="Q1450"/>
      <x:c r="R1450"/>
      <x:c r="S1450"/>
      <x:c r="T1450"/>
      <x:c r="U1450"/>
      <x:c r="V1450"/>
      <x:c r="W1450"/>
    </x:row>
    <x:row r="1451">
      <x:c r="A1451"/>
      <x:c r="B1451"/>
      <x:c r="C1451"/>
      <x:c r="D1451"/>
      <x:c r="E1451"/>
      <x:c r="F1451"/>
      <x:c r="G1451"/>
      <x:c r="H1451"/>
      <x:c r="I1451"/>
      <x:c r="J1451"/>
      <x:c r="K1451"/>
      <x:c r="L1451"/>
      <x:c r="M1451"/>
      <x:c r="N1451"/>
      <x:c r="O1451"/>
      <x:c r="P1451"/>
      <x:c r="Q1451"/>
      <x:c r="R1451"/>
      <x:c r="S1451"/>
      <x:c r="T1451"/>
      <x:c r="U1451"/>
      <x:c r="V1451"/>
      <x:c r="W1451"/>
    </x:row>
    <x:row r="1452">
      <x:c r="A1452"/>
      <x:c r="B1452"/>
      <x:c r="C1452"/>
      <x:c r="D1452"/>
      <x:c r="E1452"/>
      <x:c r="F1452"/>
      <x:c r="G1452"/>
      <x:c r="H1452"/>
      <x:c r="I1452"/>
      <x:c r="J1452"/>
      <x:c r="K1452"/>
      <x:c r="L1452"/>
      <x:c r="M1452"/>
      <x:c r="N1452"/>
      <x:c r="O1452"/>
      <x:c r="P1452"/>
      <x:c r="Q1452"/>
      <x:c r="R1452"/>
      <x:c r="S1452"/>
      <x:c r="T1452"/>
      <x:c r="U1452"/>
      <x:c r="V1452"/>
      <x:c r="W1452"/>
    </x:row>
    <x:row r="1453">
      <x:c r="A1453"/>
      <x:c r="B1453"/>
      <x:c r="C1453"/>
      <x:c r="D1453"/>
      <x:c r="E1453"/>
      <x:c r="F1453"/>
      <x:c r="G1453"/>
      <x:c r="H1453"/>
      <x:c r="I1453"/>
      <x:c r="J1453"/>
      <x:c r="K1453"/>
      <x:c r="L1453"/>
      <x:c r="M1453"/>
      <x:c r="N1453"/>
      <x:c r="O1453"/>
      <x:c r="P1453"/>
      <x:c r="Q1453"/>
      <x:c r="R1453"/>
      <x:c r="S1453"/>
      <x:c r="T1453"/>
      <x:c r="U1453"/>
      <x:c r="V1453"/>
      <x:c r="W1453"/>
    </x:row>
    <x:row r="1454">
      <x:c r="A1454"/>
      <x:c r="B1454"/>
      <x:c r="C1454"/>
      <x:c r="D1454"/>
      <x:c r="E1454"/>
      <x:c r="F1454"/>
      <x:c r="G1454"/>
      <x:c r="H1454"/>
      <x:c r="I1454"/>
      <x:c r="J1454"/>
      <x:c r="K1454"/>
      <x:c r="L1454"/>
      <x:c r="M1454"/>
      <x:c r="N1454"/>
      <x:c r="O1454"/>
      <x:c r="P1454"/>
      <x:c r="Q1454"/>
      <x:c r="R1454"/>
      <x:c r="S1454"/>
      <x:c r="T1454"/>
      <x:c r="U1454"/>
      <x:c r="V1454"/>
      <x:c r="W1454"/>
    </x:row>
    <x:row r="1455">
      <x:c r="A1455"/>
      <x:c r="B1455"/>
      <x:c r="C1455"/>
      <x:c r="D1455"/>
      <x:c r="E1455"/>
      <x:c r="F1455"/>
      <x:c r="G1455"/>
      <x:c r="H1455"/>
      <x:c r="I1455"/>
      <x:c r="J1455"/>
      <x:c r="K1455"/>
      <x:c r="L1455"/>
      <x:c r="M1455"/>
      <x:c r="N1455"/>
      <x:c r="O1455"/>
      <x:c r="P1455"/>
      <x:c r="Q1455"/>
      <x:c r="R1455"/>
      <x:c r="S1455"/>
      <x:c r="T1455"/>
      <x:c r="U1455"/>
      <x:c r="V1455"/>
      <x:c r="W1455"/>
    </x:row>
    <x:row r="1456">
      <x:c r="A1456"/>
      <x:c r="B1456"/>
      <x:c r="C1456"/>
      <x:c r="D1456"/>
      <x:c r="E1456"/>
      <x:c r="F1456"/>
      <x:c r="G1456"/>
      <x:c r="H1456"/>
      <x:c r="I1456"/>
      <x:c r="J1456"/>
      <x:c r="K1456"/>
      <x:c r="L1456"/>
      <x:c r="M1456"/>
      <x:c r="N1456"/>
      <x:c r="O1456"/>
      <x:c r="P1456"/>
      <x:c r="Q1456"/>
      <x:c r="R1456"/>
      <x:c r="S1456"/>
      <x:c r="T1456"/>
      <x:c r="U1456"/>
      <x:c r="V1456"/>
      <x:c r="W1456"/>
    </x:row>
    <x:row r="1457">
      <x:c r="A1457"/>
      <x:c r="B1457"/>
      <x:c r="C1457"/>
      <x:c r="D1457"/>
      <x:c r="E1457"/>
      <x:c r="F1457"/>
      <x:c r="G1457"/>
      <x:c r="H1457"/>
      <x:c r="I1457"/>
      <x:c r="J1457"/>
      <x:c r="K1457"/>
      <x:c r="L1457"/>
      <x:c r="M1457"/>
      <x:c r="N1457"/>
      <x:c r="O1457"/>
      <x:c r="P1457"/>
      <x:c r="Q1457"/>
      <x:c r="R1457"/>
      <x:c r="S1457"/>
      <x:c r="T1457"/>
      <x:c r="U1457"/>
      <x:c r="V1457"/>
      <x:c r="W1457"/>
    </x:row>
    <x:row r="1458">
      <x:c r="A1458"/>
      <x:c r="B1458"/>
      <x:c r="C1458"/>
      <x:c r="D1458"/>
      <x:c r="E1458"/>
      <x:c r="F1458"/>
      <x:c r="G1458"/>
      <x:c r="H1458"/>
      <x:c r="I1458"/>
      <x:c r="J1458"/>
      <x:c r="K1458"/>
      <x:c r="L1458"/>
      <x:c r="M1458"/>
      <x:c r="N1458"/>
      <x:c r="O1458"/>
      <x:c r="P1458"/>
      <x:c r="Q1458"/>
      <x:c r="R1458"/>
      <x:c r="S1458"/>
      <x:c r="T1458"/>
      <x:c r="U1458"/>
      <x:c r="V1458"/>
      <x:c r="W1458"/>
    </x:row>
    <x:row r="1459">
      <x:c r="A1459"/>
      <x:c r="B1459"/>
      <x:c r="C1459"/>
      <x:c r="D1459"/>
      <x:c r="E1459"/>
      <x:c r="F1459"/>
      <x:c r="G1459"/>
      <x:c r="H1459"/>
      <x:c r="I1459"/>
      <x:c r="J1459"/>
      <x:c r="K1459"/>
      <x:c r="L1459"/>
      <x:c r="M1459"/>
      <x:c r="N1459"/>
      <x:c r="O1459"/>
      <x:c r="P1459"/>
      <x:c r="Q1459"/>
      <x:c r="R1459"/>
      <x:c r="S1459"/>
      <x:c r="T1459"/>
      <x:c r="U1459"/>
      <x:c r="V1459"/>
      <x:c r="W1459"/>
    </x:row>
    <x:row r="1460">
      <x:c r="A1460"/>
      <x:c r="B1460"/>
      <x:c r="C1460"/>
      <x:c r="D1460"/>
      <x:c r="E1460"/>
      <x:c r="F1460"/>
      <x:c r="G1460"/>
      <x:c r="H1460"/>
      <x:c r="I1460"/>
      <x:c r="J1460"/>
      <x:c r="K1460"/>
      <x:c r="L1460"/>
      <x:c r="M1460"/>
      <x:c r="N1460"/>
      <x:c r="O1460"/>
      <x:c r="P1460"/>
      <x:c r="Q1460"/>
      <x:c r="R1460"/>
      <x:c r="S1460"/>
      <x:c r="T1460"/>
      <x:c r="U1460"/>
      <x:c r="V1460"/>
      <x:c r="W1460"/>
    </x:row>
    <x:row r="1461">
      <x:c r="A1461"/>
      <x:c r="B1461"/>
      <x:c r="C1461"/>
      <x:c r="D1461"/>
      <x:c r="E1461"/>
      <x:c r="F1461"/>
      <x:c r="G1461"/>
      <x:c r="H1461"/>
      <x:c r="I1461"/>
      <x:c r="J1461"/>
      <x:c r="K1461"/>
      <x:c r="L1461"/>
      <x:c r="M1461"/>
      <x:c r="N1461"/>
      <x:c r="O1461"/>
      <x:c r="P1461"/>
      <x:c r="Q1461"/>
      <x:c r="R1461"/>
      <x:c r="S1461"/>
      <x:c r="T1461"/>
      <x:c r="U1461"/>
      <x:c r="V1461"/>
      <x:c r="W1461"/>
    </x:row>
    <x:row r="1462">
      <x:c r="A1462"/>
      <x:c r="B1462"/>
      <x:c r="C1462"/>
      <x:c r="D1462"/>
      <x:c r="E1462"/>
      <x:c r="F1462"/>
      <x:c r="G1462"/>
      <x:c r="H1462"/>
      <x:c r="I1462"/>
      <x:c r="J1462"/>
      <x:c r="K1462"/>
      <x:c r="L1462"/>
      <x:c r="M1462"/>
      <x:c r="N1462"/>
      <x:c r="O1462"/>
      <x:c r="P1462"/>
      <x:c r="Q1462"/>
      <x:c r="R1462"/>
      <x:c r="S1462"/>
      <x:c r="T1462"/>
      <x:c r="U1462"/>
      <x:c r="V1462"/>
      <x:c r="W1462"/>
    </x:row>
    <x:row r="1463">
      <x:c r="A1463"/>
      <x:c r="B1463"/>
      <x:c r="C1463"/>
      <x:c r="D1463"/>
      <x:c r="E1463"/>
      <x:c r="F1463"/>
      <x:c r="G1463"/>
      <x:c r="H1463"/>
      <x:c r="I1463"/>
      <x:c r="J1463"/>
      <x:c r="K1463"/>
      <x:c r="L1463"/>
      <x:c r="M1463"/>
      <x:c r="N1463"/>
      <x:c r="O1463"/>
      <x:c r="P1463"/>
      <x:c r="Q1463"/>
      <x:c r="R1463"/>
      <x:c r="S1463"/>
      <x:c r="T1463"/>
      <x:c r="U1463"/>
      <x:c r="V1463"/>
      <x:c r="W1463"/>
    </x:row>
    <x:row r="1464">
      <x:c r="A1464"/>
      <x:c r="B1464"/>
      <x:c r="C1464"/>
      <x:c r="D1464"/>
      <x:c r="E1464"/>
      <x:c r="F1464"/>
      <x:c r="G1464"/>
      <x:c r="H1464"/>
      <x:c r="I1464"/>
      <x:c r="J1464"/>
      <x:c r="K1464"/>
      <x:c r="L1464"/>
      <x:c r="M1464"/>
      <x:c r="N1464"/>
      <x:c r="O1464"/>
      <x:c r="P1464"/>
      <x:c r="Q1464"/>
      <x:c r="R1464"/>
      <x:c r="S1464"/>
      <x:c r="T1464"/>
      <x:c r="U1464"/>
      <x:c r="V1464"/>
      <x:c r="W1464"/>
    </x:row>
    <x:row r="1465">
      <x:c r="A1465"/>
      <x:c r="B1465"/>
      <x:c r="C1465"/>
      <x:c r="D1465"/>
      <x:c r="E1465"/>
      <x:c r="F1465"/>
      <x:c r="G1465"/>
      <x:c r="H1465"/>
      <x:c r="I1465"/>
      <x:c r="J1465"/>
      <x:c r="K1465"/>
      <x:c r="L1465"/>
      <x:c r="M1465"/>
      <x:c r="N1465"/>
      <x:c r="O1465"/>
      <x:c r="P1465"/>
      <x:c r="Q1465"/>
      <x:c r="R1465"/>
      <x:c r="S1465"/>
      <x:c r="T1465"/>
      <x:c r="U1465"/>
      <x:c r="V1465"/>
      <x:c r="W1465"/>
    </x:row>
    <x:row r="1466">
      <x:c r="A1466"/>
      <x:c r="B1466"/>
      <x:c r="C1466"/>
      <x:c r="D1466"/>
      <x:c r="E1466"/>
      <x:c r="F1466"/>
      <x:c r="G1466"/>
      <x:c r="H1466"/>
      <x:c r="I1466"/>
      <x:c r="J1466"/>
      <x:c r="K1466"/>
      <x:c r="L1466"/>
      <x:c r="M1466"/>
      <x:c r="N1466"/>
      <x:c r="O1466"/>
      <x:c r="P1466"/>
      <x:c r="Q1466"/>
      <x:c r="R1466"/>
      <x:c r="S1466"/>
      <x:c r="T1466"/>
      <x:c r="U1466"/>
      <x:c r="V1466"/>
      <x:c r="W1466"/>
    </x:row>
    <x:row r="1467">
      <x:c r="A1467"/>
      <x:c r="B1467"/>
      <x:c r="C1467"/>
      <x:c r="D1467"/>
      <x:c r="E1467"/>
      <x:c r="F1467"/>
      <x:c r="G1467"/>
      <x:c r="H1467"/>
      <x:c r="I1467"/>
      <x:c r="J1467"/>
      <x:c r="K1467"/>
      <x:c r="L1467"/>
      <x:c r="M1467"/>
      <x:c r="N1467"/>
      <x:c r="O1467"/>
      <x:c r="P1467"/>
      <x:c r="Q1467"/>
      <x:c r="R1467"/>
      <x:c r="S1467"/>
      <x:c r="T1467"/>
      <x:c r="U1467"/>
      <x:c r="V1467"/>
      <x:c r="W1467"/>
    </x:row>
    <x:row r="1468">
      <x:c r="A1468"/>
      <x:c r="B1468"/>
      <x:c r="C1468"/>
      <x:c r="D1468"/>
      <x:c r="E1468"/>
      <x:c r="F1468"/>
      <x:c r="G1468"/>
      <x:c r="H1468"/>
      <x:c r="I1468"/>
      <x:c r="J1468"/>
      <x:c r="K1468"/>
      <x:c r="L1468"/>
      <x:c r="M1468"/>
      <x:c r="N1468"/>
      <x:c r="O1468"/>
      <x:c r="P1468"/>
      <x:c r="Q1468"/>
      <x:c r="R1468"/>
      <x:c r="S1468"/>
      <x:c r="T1468"/>
      <x:c r="U1468"/>
      <x:c r="V1468"/>
      <x:c r="W1468"/>
    </x:row>
    <x:row r="1469">
      <x:c r="A1469"/>
      <x:c r="B1469"/>
      <x:c r="C1469"/>
      <x:c r="D1469"/>
      <x:c r="E1469"/>
      <x:c r="F1469"/>
      <x:c r="G1469"/>
      <x:c r="H1469"/>
      <x:c r="I1469"/>
      <x:c r="J1469"/>
      <x:c r="K1469"/>
      <x:c r="L1469"/>
      <x:c r="M1469"/>
      <x:c r="N1469"/>
      <x:c r="O1469"/>
      <x:c r="P1469"/>
      <x:c r="Q1469"/>
      <x:c r="R1469"/>
      <x:c r="S1469"/>
      <x:c r="T1469"/>
      <x:c r="U1469"/>
      <x:c r="V1469"/>
      <x:c r="W1469"/>
    </x:row>
    <x:row r="1470">
      <x:c r="A1470"/>
      <x:c r="B1470"/>
      <x:c r="C1470"/>
      <x:c r="D1470"/>
      <x:c r="E1470"/>
      <x:c r="F1470"/>
      <x:c r="G1470"/>
      <x:c r="H1470"/>
      <x:c r="I1470"/>
      <x:c r="J1470"/>
      <x:c r="K1470"/>
      <x:c r="L1470"/>
      <x:c r="M1470"/>
      <x:c r="N1470"/>
      <x:c r="O1470"/>
      <x:c r="P1470"/>
      <x:c r="Q1470"/>
      <x:c r="R1470"/>
      <x:c r="S1470"/>
      <x:c r="T1470"/>
      <x:c r="U1470"/>
      <x:c r="V1470"/>
      <x:c r="W1470"/>
    </x:row>
    <x:row r="1471">
      <x:c r="A1471"/>
      <x:c r="B1471"/>
      <x:c r="C1471"/>
      <x:c r="D1471"/>
      <x:c r="E1471"/>
      <x:c r="F1471"/>
      <x:c r="G1471"/>
      <x:c r="H1471"/>
      <x:c r="I1471"/>
      <x:c r="J1471"/>
      <x:c r="K1471"/>
      <x:c r="L1471"/>
      <x:c r="M1471"/>
      <x:c r="N1471"/>
      <x:c r="O1471"/>
      <x:c r="P1471"/>
      <x:c r="Q1471"/>
      <x:c r="R1471"/>
      <x:c r="S1471"/>
      <x:c r="T1471"/>
      <x:c r="U1471"/>
      <x:c r="V1471"/>
      <x:c r="W1471"/>
    </x:row>
    <x:row r="1472">
      <x:c r="A1472"/>
      <x:c r="B1472"/>
      <x:c r="C1472"/>
      <x:c r="D1472"/>
      <x:c r="E1472"/>
      <x:c r="F1472"/>
      <x:c r="G1472"/>
      <x:c r="H1472"/>
      <x:c r="I1472"/>
      <x:c r="J1472"/>
      <x:c r="K1472"/>
      <x:c r="L1472"/>
      <x:c r="M1472"/>
      <x:c r="N1472"/>
      <x:c r="O1472"/>
      <x:c r="P1472"/>
      <x:c r="Q1472"/>
      <x:c r="R1472"/>
      <x:c r="S1472"/>
      <x:c r="T1472"/>
      <x:c r="U1472"/>
      <x:c r="V1472"/>
      <x:c r="W1472"/>
    </x:row>
    <x:row r="1473">
      <x:c r="A1473"/>
      <x:c r="B1473"/>
      <x:c r="C1473"/>
      <x:c r="D1473"/>
      <x:c r="E1473"/>
      <x:c r="F1473"/>
      <x:c r="G1473"/>
      <x:c r="H1473"/>
      <x:c r="I1473"/>
      <x:c r="J1473"/>
      <x:c r="K1473"/>
      <x:c r="L1473"/>
      <x:c r="M1473"/>
      <x:c r="N1473"/>
      <x:c r="O1473"/>
      <x:c r="P1473"/>
      <x:c r="Q1473"/>
      <x:c r="R1473"/>
      <x:c r="S1473"/>
      <x:c r="T1473"/>
      <x:c r="U1473"/>
      <x:c r="V1473"/>
      <x:c r="W1473"/>
    </x:row>
    <x:row r="1474">
      <x:c r="A1474"/>
      <x:c r="B1474"/>
      <x:c r="C1474"/>
      <x:c r="D1474"/>
      <x:c r="E1474"/>
      <x:c r="F1474"/>
      <x:c r="G1474"/>
      <x:c r="H1474"/>
      <x:c r="I1474"/>
      <x:c r="J1474"/>
      <x:c r="K1474"/>
      <x:c r="L1474"/>
      <x:c r="M1474"/>
      <x:c r="N1474"/>
      <x:c r="O1474"/>
      <x:c r="P1474"/>
      <x:c r="Q1474"/>
      <x:c r="R1474"/>
      <x:c r="S1474"/>
      <x:c r="T1474"/>
      <x:c r="U1474"/>
      <x:c r="V1474"/>
      <x:c r="W1474"/>
    </x:row>
    <x:row r="1475">
      <x:c r="A1475"/>
      <x:c r="B1475"/>
      <x:c r="C1475"/>
      <x:c r="D1475"/>
      <x:c r="E1475"/>
      <x:c r="F1475"/>
      <x:c r="G1475"/>
      <x:c r="H1475"/>
      <x:c r="I1475"/>
      <x:c r="J1475"/>
      <x:c r="K1475"/>
      <x:c r="L1475"/>
      <x:c r="M1475"/>
      <x:c r="N1475"/>
      <x:c r="O1475"/>
      <x:c r="P1475"/>
      <x:c r="Q1475"/>
      <x:c r="R1475"/>
      <x:c r="S1475"/>
      <x:c r="T1475"/>
      <x:c r="U1475"/>
      <x:c r="V1475"/>
      <x:c r="W1475"/>
    </x:row>
    <x:row r="1476">
      <x:c r="A1476"/>
      <x:c r="B1476"/>
      <x:c r="C1476"/>
      <x:c r="D1476"/>
      <x:c r="E1476"/>
      <x:c r="F1476"/>
      <x:c r="G1476"/>
      <x:c r="H1476"/>
      <x:c r="I1476"/>
      <x:c r="J1476"/>
      <x:c r="K1476"/>
      <x:c r="L1476"/>
      <x:c r="M1476"/>
      <x:c r="N1476"/>
      <x:c r="O1476"/>
      <x:c r="P1476"/>
      <x:c r="Q1476"/>
      <x:c r="R1476"/>
      <x:c r="S1476"/>
      <x:c r="T1476"/>
      <x:c r="U1476"/>
      <x:c r="V1476"/>
      <x:c r="W1476"/>
    </x:row>
    <x:row r="1477">
      <x:c r="A1477"/>
      <x:c r="B1477"/>
      <x:c r="C1477"/>
      <x:c r="D1477"/>
      <x:c r="E1477"/>
      <x:c r="F1477"/>
      <x:c r="G1477"/>
      <x:c r="H1477"/>
      <x:c r="I1477"/>
      <x:c r="J1477"/>
      <x:c r="K1477"/>
      <x:c r="L1477"/>
      <x:c r="M1477"/>
      <x:c r="N1477"/>
      <x:c r="O1477"/>
      <x:c r="P1477"/>
      <x:c r="Q1477"/>
      <x:c r="R1477"/>
      <x:c r="S1477"/>
      <x:c r="T1477"/>
      <x:c r="U1477"/>
      <x:c r="V1477"/>
      <x:c r="W1477"/>
    </x:row>
    <x:row r="1478">
      <x:c r="A1478"/>
      <x:c r="B1478"/>
      <x:c r="C1478"/>
      <x:c r="D1478"/>
      <x:c r="E1478"/>
      <x:c r="F1478"/>
      <x:c r="G1478"/>
      <x:c r="H1478"/>
      <x:c r="I1478"/>
      <x:c r="J1478"/>
      <x:c r="K1478"/>
      <x:c r="L1478"/>
      <x:c r="M1478"/>
      <x:c r="N1478"/>
      <x:c r="O1478"/>
      <x:c r="P1478"/>
      <x:c r="Q1478"/>
      <x:c r="R1478"/>
      <x:c r="S1478"/>
      <x:c r="T1478"/>
      <x:c r="U1478"/>
      <x:c r="V1478"/>
      <x:c r="W1478"/>
    </x:row>
    <x:row r="1479">
      <x:c r="A1479"/>
      <x:c r="B1479"/>
      <x:c r="C1479"/>
      <x:c r="D1479"/>
      <x:c r="E1479"/>
      <x:c r="F1479"/>
      <x:c r="G1479"/>
      <x:c r="H1479"/>
      <x:c r="I1479"/>
      <x:c r="J1479"/>
      <x:c r="K1479"/>
      <x:c r="L1479"/>
      <x:c r="M1479"/>
      <x:c r="N1479"/>
      <x:c r="O1479"/>
      <x:c r="P1479"/>
      <x:c r="Q1479"/>
      <x:c r="R1479"/>
      <x:c r="S1479"/>
      <x:c r="T1479"/>
      <x:c r="U1479"/>
      <x:c r="V1479"/>
      <x:c r="W1479"/>
    </x:row>
    <x:row r="1480">
      <x:c r="A1480"/>
      <x:c r="B1480"/>
      <x:c r="C1480"/>
      <x:c r="D1480"/>
      <x:c r="E1480"/>
      <x:c r="F1480"/>
      <x:c r="G1480"/>
      <x:c r="H1480"/>
      <x:c r="I1480"/>
      <x:c r="J1480"/>
      <x:c r="K1480"/>
      <x:c r="L1480"/>
      <x:c r="M1480"/>
      <x:c r="N1480"/>
      <x:c r="O1480"/>
      <x:c r="P1480"/>
      <x:c r="Q1480"/>
      <x:c r="R1480"/>
      <x:c r="S1480"/>
      <x:c r="T1480"/>
      <x:c r="U1480"/>
      <x:c r="V1480"/>
      <x:c r="W1480"/>
    </x:row>
    <x:row r="1481">
      <x:c r="A1481"/>
      <x:c r="B1481"/>
      <x:c r="C1481"/>
      <x:c r="D1481"/>
      <x:c r="E1481"/>
      <x:c r="F1481"/>
      <x:c r="G1481"/>
      <x:c r="H1481"/>
      <x:c r="I1481"/>
      <x:c r="J1481"/>
      <x:c r="K1481"/>
      <x:c r="L1481"/>
      <x:c r="M1481"/>
      <x:c r="N1481"/>
      <x:c r="O1481"/>
      <x:c r="P1481"/>
      <x:c r="Q1481"/>
      <x:c r="R1481"/>
      <x:c r="S1481"/>
      <x:c r="T1481"/>
      <x:c r="U1481"/>
      <x:c r="V1481"/>
      <x:c r="W1481"/>
    </x:row>
    <x:row r="1482">
      <x:c r="A1482"/>
      <x:c r="B1482"/>
      <x:c r="C1482"/>
      <x:c r="D1482"/>
      <x:c r="E1482"/>
      <x:c r="F1482"/>
      <x:c r="G1482"/>
      <x:c r="H1482"/>
      <x:c r="I1482"/>
      <x:c r="J1482"/>
      <x:c r="K1482"/>
      <x:c r="L1482"/>
      <x:c r="M1482"/>
      <x:c r="N1482"/>
      <x:c r="O1482"/>
      <x:c r="P1482"/>
      <x:c r="Q1482"/>
      <x:c r="R1482"/>
      <x:c r="S1482"/>
      <x:c r="T1482"/>
      <x:c r="U1482"/>
      <x:c r="V1482"/>
      <x:c r="W1482"/>
    </x:row>
    <x:row r="1483">
      <x:c r="A1483"/>
      <x:c r="B1483"/>
      <x:c r="C1483"/>
      <x:c r="D1483"/>
      <x:c r="E1483"/>
      <x:c r="F1483"/>
      <x:c r="G1483"/>
      <x:c r="H1483"/>
      <x:c r="I1483"/>
      <x:c r="J1483"/>
      <x:c r="K1483"/>
      <x:c r="L1483"/>
      <x:c r="M1483"/>
      <x:c r="N1483"/>
      <x:c r="O1483"/>
      <x:c r="P1483"/>
      <x:c r="Q1483"/>
      <x:c r="R1483"/>
      <x:c r="S1483"/>
      <x:c r="T1483"/>
      <x:c r="U1483"/>
      <x:c r="V1483"/>
      <x:c r="W1483"/>
    </x:row>
    <x:row r="1484">
      <x:c r="A1484"/>
      <x:c r="B1484"/>
      <x:c r="C1484"/>
      <x:c r="D1484"/>
      <x:c r="E1484"/>
      <x:c r="F1484"/>
      <x:c r="G1484"/>
      <x:c r="H1484"/>
      <x:c r="I1484"/>
      <x:c r="J1484"/>
      <x:c r="K1484"/>
      <x:c r="L1484"/>
      <x:c r="M1484"/>
      <x:c r="N1484"/>
      <x:c r="O1484"/>
      <x:c r="P1484"/>
      <x:c r="Q1484"/>
      <x:c r="R1484"/>
      <x:c r="S1484"/>
      <x:c r="T1484"/>
      <x:c r="U1484"/>
      <x:c r="V1484"/>
      <x:c r="W1484"/>
    </x:row>
    <x:row r="1485">
      <x:c r="A1485"/>
      <x:c r="B1485"/>
      <x:c r="C1485"/>
      <x:c r="D1485"/>
      <x:c r="E1485"/>
      <x:c r="F1485"/>
      <x:c r="G1485"/>
      <x:c r="H1485"/>
      <x:c r="I1485"/>
      <x:c r="J1485"/>
      <x:c r="K1485"/>
      <x:c r="L1485"/>
      <x:c r="M1485"/>
      <x:c r="N1485"/>
      <x:c r="O1485"/>
      <x:c r="P1485"/>
      <x:c r="Q1485"/>
      <x:c r="R1485"/>
      <x:c r="S1485"/>
      <x:c r="T1485"/>
      <x:c r="U1485"/>
      <x:c r="V1485"/>
      <x:c r="W1485"/>
    </x:row>
    <x:row r="1486">
      <x:c r="A1486"/>
      <x:c r="B1486"/>
      <x:c r="C1486"/>
      <x:c r="D1486"/>
      <x:c r="E1486"/>
      <x:c r="F1486"/>
      <x:c r="G1486"/>
      <x:c r="H1486"/>
      <x:c r="I1486"/>
      <x:c r="J1486"/>
      <x:c r="K1486"/>
      <x:c r="L1486"/>
      <x:c r="M1486"/>
      <x:c r="N1486"/>
      <x:c r="O1486"/>
      <x:c r="P1486"/>
      <x:c r="Q1486"/>
      <x:c r="R1486"/>
      <x:c r="S1486"/>
      <x:c r="T1486"/>
      <x:c r="U1486"/>
      <x:c r="V1486"/>
      <x:c r="W1486"/>
    </x:row>
    <x:row r="1487">
      <x:c r="A1487"/>
      <x:c r="B1487"/>
      <x:c r="C1487"/>
      <x:c r="D1487"/>
      <x:c r="E1487"/>
      <x:c r="F1487"/>
      <x:c r="G1487"/>
      <x:c r="H1487"/>
      <x:c r="I1487"/>
      <x:c r="J1487"/>
      <x:c r="K1487"/>
      <x:c r="L1487"/>
      <x:c r="M1487"/>
      <x:c r="N1487"/>
      <x:c r="O1487"/>
      <x:c r="P1487"/>
      <x:c r="Q1487"/>
      <x:c r="R1487"/>
      <x:c r="S1487"/>
      <x:c r="T1487"/>
      <x:c r="U1487"/>
      <x:c r="V1487"/>
      <x:c r="W1487"/>
    </x:row>
    <x:row r="1488">
      <x:c r="A1488"/>
      <x:c r="B1488"/>
      <x:c r="C1488"/>
      <x:c r="D1488"/>
      <x:c r="E1488"/>
      <x:c r="F1488"/>
      <x:c r="G1488"/>
      <x:c r="H1488"/>
      <x:c r="I1488"/>
      <x:c r="J1488"/>
      <x:c r="K1488"/>
      <x:c r="L1488"/>
      <x:c r="M1488"/>
      <x:c r="N1488"/>
      <x:c r="O1488"/>
      <x:c r="P1488"/>
      <x:c r="Q1488"/>
      <x:c r="R1488"/>
      <x:c r="S1488"/>
      <x:c r="T1488"/>
      <x:c r="U1488"/>
      <x:c r="V1488"/>
      <x:c r="W1488"/>
    </x:row>
    <x:row r="1489">
      <x:c r="A1489"/>
      <x:c r="B1489"/>
      <x:c r="C1489"/>
      <x:c r="D1489"/>
      <x:c r="E1489"/>
      <x:c r="F1489"/>
      <x:c r="G1489"/>
      <x:c r="H1489"/>
      <x:c r="I1489"/>
      <x:c r="J1489"/>
      <x:c r="K1489"/>
      <x:c r="L1489"/>
      <x:c r="M1489"/>
      <x:c r="N1489"/>
      <x:c r="O1489"/>
      <x:c r="P1489"/>
      <x:c r="Q1489"/>
      <x:c r="R1489"/>
      <x:c r="S1489"/>
      <x:c r="T1489"/>
      <x:c r="U1489"/>
      <x:c r="V1489"/>
      <x:c r="W1489"/>
    </x:row>
    <x:row r="1490">
      <x:c r="A1490"/>
      <x:c r="B1490"/>
      <x:c r="C1490"/>
      <x:c r="D1490"/>
      <x:c r="E1490"/>
      <x:c r="F1490"/>
      <x:c r="G1490"/>
      <x:c r="H1490"/>
      <x:c r="I1490"/>
      <x:c r="J1490"/>
      <x:c r="K1490"/>
      <x:c r="L1490"/>
      <x:c r="M1490"/>
      <x:c r="N1490"/>
      <x:c r="O1490"/>
      <x:c r="P1490"/>
      <x:c r="Q1490"/>
      <x:c r="R1490"/>
      <x:c r="S1490"/>
      <x:c r="T1490"/>
      <x:c r="U1490"/>
      <x:c r="V1490"/>
      <x:c r="W1490"/>
    </x:row>
    <x:row r="1491">
      <x:c r="A1491"/>
      <x:c r="B1491"/>
      <x:c r="C1491"/>
      <x:c r="D1491"/>
      <x:c r="E1491"/>
      <x:c r="F1491"/>
      <x:c r="G1491"/>
      <x:c r="H1491"/>
      <x:c r="I1491"/>
      <x:c r="J1491"/>
      <x:c r="K1491"/>
      <x:c r="L1491"/>
      <x:c r="M1491"/>
      <x:c r="N1491"/>
      <x:c r="O1491"/>
      <x:c r="P1491"/>
      <x:c r="Q1491"/>
      <x:c r="R1491"/>
      <x:c r="S1491"/>
      <x:c r="T1491"/>
      <x:c r="U1491"/>
      <x:c r="V1491"/>
      <x:c r="W1491"/>
    </x:row>
    <x:row r="1492">
      <x:c r="A1492"/>
      <x:c r="B1492"/>
      <x:c r="C1492"/>
      <x:c r="D1492"/>
      <x:c r="E1492"/>
      <x:c r="F1492"/>
      <x:c r="G1492"/>
      <x:c r="H1492"/>
      <x:c r="I1492"/>
      <x:c r="J1492"/>
      <x:c r="K1492"/>
      <x:c r="L1492"/>
      <x:c r="M1492"/>
      <x:c r="N1492"/>
      <x:c r="O1492"/>
      <x:c r="P1492"/>
      <x:c r="Q1492"/>
      <x:c r="R1492"/>
      <x:c r="S1492"/>
      <x:c r="T1492"/>
      <x:c r="U1492"/>
      <x:c r="V1492"/>
      <x:c r="W1492"/>
    </x:row>
    <x:row r="1493">
      <x:c r="A1493"/>
      <x:c r="B1493"/>
      <x:c r="C1493"/>
      <x:c r="D1493"/>
      <x:c r="E1493"/>
      <x:c r="F1493"/>
      <x:c r="G1493"/>
      <x:c r="H1493"/>
      <x:c r="I1493"/>
      <x:c r="J1493"/>
      <x:c r="K1493"/>
      <x:c r="L1493"/>
      <x:c r="M1493"/>
      <x:c r="N1493"/>
      <x:c r="O1493"/>
      <x:c r="P1493"/>
      <x:c r="Q1493"/>
      <x:c r="R1493"/>
      <x:c r="S1493"/>
      <x:c r="T1493"/>
      <x:c r="U1493"/>
      <x:c r="V1493"/>
      <x:c r="W1493"/>
    </x:row>
    <x:row r="1494">
      <x:c r="A1494"/>
      <x:c r="B1494"/>
      <x:c r="C1494"/>
      <x:c r="D1494"/>
      <x:c r="E1494"/>
      <x:c r="F1494"/>
      <x:c r="G1494"/>
      <x:c r="H1494"/>
      <x:c r="I1494"/>
      <x:c r="J1494"/>
      <x:c r="K1494"/>
      <x:c r="L1494"/>
      <x:c r="M1494"/>
      <x:c r="N1494"/>
      <x:c r="O1494"/>
      <x:c r="P1494"/>
      <x:c r="Q1494"/>
      <x:c r="R1494"/>
      <x:c r="S1494"/>
      <x:c r="T1494"/>
      <x:c r="U1494"/>
      <x:c r="V1494"/>
      <x:c r="W1494"/>
    </x:row>
    <x:row r="1495">
      <x:c r="A1495"/>
      <x:c r="B1495"/>
      <x:c r="C1495"/>
      <x:c r="D1495"/>
      <x:c r="E1495"/>
      <x:c r="F1495"/>
      <x:c r="G1495"/>
      <x:c r="H1495"/>
      <x:c r="I1495"/>
      <x:c r="J1495"/>
      <x:c r="K1495"/>
      <x:c r="L1495"/>
      <x:c r="M1495"/>
      <x:c r="N1495"/>
      <x:c r="O1495"/>
      <x:c r="P1495"/>
      <x:c r="Q1495"/>
      <x:c r="R1495"/>
      <x:c r="S1495"/>
      <x:c r="T1495"/>
      <x:c r="U1495"/>
      <x:c r="V1495"/>
      <x:c r="W1495"/>
    </x:row>
    <x:row r="1496">
      <x:c r="A1496"/>
      <x:c r="B1496"/>
      <x:c r="C1496"/>
      <x:c r="D1496"/>
      <x:c r="E1496"/>
      <x:c r="F1496"/>
      <x:c r="G1496"/>
      <x:c r="H1496"/>
      <x:c r="I1496"/>
      <x:c r="J1496"/>
      <x:c r="K1496"/>
      <x:c r="L1496"/>
      <x:c r="M1496"/>
      <x:c r="N1496"/>
      <x:c r="O1496"/>
      <x:c r="P1496"/>
      <x:c r="Q1496"/>
      <x:c r="R1496"/>
      <x:c r="S1496"/>
      <x:c r="T1496"/>
      <x:c r="U1496"/>
      <x:c r="V1496"/>
      <x:c r="W1496"/>
    </x:row>
    <x:row r="1497">
      <x:c r="A1497"/>
      <x:c r="B1497"/>
      <x:c r="C1497"/>
      <x:c r="D1497"/>
      <x:c r="E1497"/>
      <x:c r="F1497"/>
      <x:c r="G1497"/>
      <x:c r="H1497"/>
      <x:c r="I1497"/>
      <x:c r="J1497"/>
      <x:c r="K1497"/>
      <x:c r="L1497"/>
      <x:c r="M1497"/>
      <x:c r="N1497"/>
      <x:c r="O1497"/>
      <x:c r="P1497"/>
      <x:c r="Q1497"/>
      <x:c r="R1497"/>
      <x:c r="S1497"/>
      <x:c r="T1497"/>
      <x:c r="U1497"/>
      <x:c r="V1497"/>
      <x:c r="W1497"/>
    </x:row>
    <x:row r="1498">
      <x:c r="A1498"/>
      <x:c r="B1498"/>
      <x:c r="C1498"/>
      <x:c r="D1498"/>
      <x:c r="E1498"/>
      <x:c r="F1498"/>
      <x:c r="G1498"/>
      <x:c r="H1498"/>
      <x:c r="I1498"/>
      <x:c r="J1498"/>
      <x:c r="K1498"/>
      <x:c r="L1498"/>
      <x:c r="M1498"/>
      <x:c r="N1498"/>
      <x:c r="O1498"/>
      <x:c r="P1498"/>
      <x:c r="Q1498"/>
      <x:c r="R1498"/>
      <x:c r="S1498"/>
      <x:c r="T1498"/>
      <x:c r="U1498"/>
      <x:c r="V1498"/>
      <x:c r="W1498"/>
    </x:row>
    <x:row r="1499">
      <x:c r="A1499"/>
      <x:c r="B1499"/>
      <x:c r="C1499"/>
      <x:c r="D1499"/>
      <x:c r="E1499"/>
      <x:c r="F1499"/>
      <x:c r="G1499"/>
      <x:c r="H1499"/>
      <x:c r="I1499"/>
      <x:c r="J1499"/>
      <x:c r="K1499"/>
      <x:c r="L1499"/>
      <x:c r="M1499"/>
      <x:c r="N1499"/>
      <x:c r="O1499"/>
      <x:c r="P1499"/>
      <x:c r="Q1499"/>
      <x:c r="R1499"/>
      <x:c r="S1499"/>
      <x:c r="T1499"/>
      <x:c r="U1499"/>
      <x:c r="V1499"/>
      <x:c r="W1499"/>
    </x:row>
    <x:row r="1500">
      <x:c r="A1500"/>
      <x:c r="B1500"/>
      <x:c r="C1500"/>
      <x:c r="D1500"/>
      <x:c r="E1500"/>
      <x:c r="F1500"/>
      <x:c r="G1500"/>
      <x:c r="H1500"/>
      <x:c r="I1500"/>
      <x:c r="J1500"/>
      <x:c r="K1500"/>
      <x:c r="L1500"/>
      <x:c r="M1500"/>
      <x:c r="N1500"/>
      <x:c r="O1500"/>
      <x:c r="P1500"/>
      <x:c r="Q1500"/>
      <x:c r="R1500"/>
      <x:c r="S1500"/>
      <x:c r="T1500"/>
      <x:c r="U1500"/>
      <x:c r="V1500"/>
      <x:c r="W1500"/>
    </x:row>
    <x:row r="1501">
      <x:c r="A1501"/>
      <x:c r="B1501"/>
      <x:c r="C1501"/>
      <x:c r="D1501"/>
      <x:c r="E1501"/>
      <x:c r="F1501"/>
      <x:c r="G1501"/>
      <x:c r="H1501"/>
      <x:c r="I1501"/>
      <x:c r="J1501"/>
      <x:c r="K1501"/>
      <x:c r="L1501"/>
      <x:c r="M1501"/>
      <x:c r="N1501"/>
      <x:c r="O1501"/>
      <x:c r="P1501"/>
      <x:c r="Q1501"/>
      <x:c r="R1501"/>
      <x:c r="S1501"/>
      <x:c r="T1501"/>
      <x:c r="U1501"/>
      <x:c r="V1501"/>
      <x:c r="W1501"/>
    </x:row>
    <x:row r="1502">
      <x:c r="A1502"/>
      <x:c r="B1502"/>
      <x:c r="C1502"/>
      <x:c r="D1502"/>
      <x:c r="E1502"/>
      <x:c r="F1502"/>
      <x:c r="G1502"/>
      <x:c r="H1502"/>
      <x:c r="I1502"/>
      <x:c r="J1502"/>
      <x:c r="K1502"/>
      <x:c r="L1502"/>
      <x:c r="M1502"/>
      <x:c r="N1502"/>
      <x:c r="O1502"/>
      <x:c r="P1502"/>
      <x:c r="Q1502"/>
      <x:c r="R1502"/>
      <x:c r="S1502"/>
      <x:c r="T1502"/>
      <x:c r="U1502"/>
      <x:c r="V1502"/>
      <x:c r="W1502"/>
    </x:row>
    <x:row r="1503">
      <x:c r="A1503"/>
      <x:c r="B1503"/>
      <x:c r="C1503"/>
      <x:c r="D1503"/>
      <x:c r="E1503"/>
      <x:c r="F1503"/>
      <x:c r="G1503"/>
      <x:c r="H1503"/>
      <x:c r="I1503"/>
      <x:c r="J1503"/>
      <x:c r="K1503"/>
      <x:c r="L1503"/>
      <x:c r="M1503"/>
      <x:c r="N1503"/>
      <x:c r="O1503"/>
      <x:c r="P1503"/>
      <x:c r="Q1503"/>
      <x:c r="R1503"/>
      <x:c r="S1503"/>
      <x:c r="T1503"/>
      <x:c r="U1503"/>
      <x:c r="V1503"/>
      <x:c r="W1503"/>
    </x:row>
    <x:row r="1504">
      <x:c r="A1504"/>
      <x:c r="B1504"/>
      <x:c r="C1504"/>
      <x:c r="D1504"/>
      <x:c r="E1504"/>
      <x:c r="F1504"/>
      <x:c r="G1504"/>
      <x:c r="H1504"/>
      <x:c r="I1504"/>
      <x:c r="J1504"/>
      <x:c r="K1504"/>
      <x:c r="L1504"/>
      <x:c r="M1504"/>
      <x:c r="N1504"/>
      <x:c r="O1504"/>
      <x:c r="P1504"/>
      <x:c r="Q1504"/>
      <x:c r="R1504"/>
      <x:c r="S1504"/>
      <x:c r="T1504"/>
      <x:c r="U1504"/>
      <x:c r="V1504"/>
      <x:c r="W1504"/>
    </x:row>
    <x:row r="1505">
      <x:c r="A1505"/>
      <x:c r="B1505"/>
      <x:c r="C1505"/>
      <x:c r="D1505"/>
      <x:c r="E1505"/>
      <x:c r="F1505"/>
      <x:c r="G1505"/>
      <x:c r="H1505"/>
      <x:c r="I1505"/>
      <x:c r="J1505"/>
      <x:c r="K1505"/>
      <x:c r="L1505"/>
      <x:c r="M1505"/>
      <x:c r="N1505"/>
      <x:c r="O1505"/>
      <x:c r="P1505"/>
      <x:c r="Q1505"/>
      <x:c r="R1505"/>
      <x:c r="S1505"/>
      <x:c r="T1505"/>
      <x:c r="U1505"/>
      <x:c r="V1505"/>
      <x:c r="W1505"/>
    </x:row>
    <x:row r="1506">
      <x:c r="A1506"/>
      <x:c r="B1506"/>
      <x:c r="C1506"/>
      <x:c r="D1506"/>
      <x:c r="E1506"/>
      <x:c r="F1506"/>
      <x:c r="G1506"/>
      <x:c r="H1506"/>
      <x:c r="I1506"/>
      <x:c r="J1506"/>
      <x:c r="K1506"/>
      <x:c r="L1506"/>
      <x:c r="M1506"/>
      <x:c r="N1506"/>
      <x:c r="O1506"/>
      <x:c r="P1506"/>
      <x:c r="Q1506"/>
      <x:c r="R1506"/>
      <x:c r="S1506"/>
      <x:c r="T1506"/>
      <x:c r="U1506"/>
      <x:c r="V1506"/>
      <x:c r="W1506"/>
    </x:row>
    <x:row r="1507">
      <x:c r="A1507"/>
      <x:c r="B1507"/>
      <x:c r="C1507"/>
      <x:c r="D1507"/>
      <x:c r="E1507"/>
      <x:c r="F1507"/>
      <x:c r="G1507"/>
      <x:c r="H1507"/>
      <x:c r="I1507"/>
      <x:c r="J1507"/>
      <x:c r="K1507"/>
      <x:c r="L1507"/>
      <x:c r="M1507"/>
      <x:c r="N1507"/>
      <x:c r="O1507"/>
      <x:c r="P1507"/>
      <x:c r="Q1507"/>
      <x:c r="R1507"/>
      <x:c r="S1507"/>
      <x:c r="T1507"/>
      <x:c r="U1507"/>
      <x:c r="V1507"/>
      <x:c r="W1507"/>
    </x:row>
    <x:row r="1508">
      <x:c r="A1508"/>
      <x:c r="B1508"/>
      <x:c r="C1508"/>
      <x:c r="D1508"/>
      <x:c r="E1508"/>
      <x:c r="F1508"/>
      <x:c r="G1508"/>
      <x:c r="H1508"/>
      <x:c r="I1508"/>
      <x:c r="J1508"/>
      <x:c r="K1508"/>
      <x:c r="L1508"/>
      <x:c r="M1508"/>
      <x:c r="N1508"/>
      <x:c r="O1508"/>
      <x:c r="P1508"/>
      <x:c r="Q1508"/>
      <x:c r="R1508"/>
      <x:c r="S1508"/>
      <x:c r="T1508"/>
      <x:c r="U1508"/>
      <x:c r="V1508"/>
      <x:c r="W1508"/>
    </x:row>
    <x:row r="1509">
      <x:c r="A1509"/>
      <x:c r="B1509"/>
      <x:c r="C1509"/>
      <x:c r="D1509"/>
      <x:c r="E1509"/>
      <x:c r="F1509"/>
      <x:c r="G1509"/>
      <x:c r="H1509"/>
      <x:c r="I1509"/>
      <x:c r="J1509"/>
      <x:c r="K1509"/>
      <x:c r="L1509"/>
      <x:c r="M1509"/>
      <x:c r="N1509"/>
      <x:c r="O1509"/>
      <x:c r="P1509"/>
      <x:c r="Q1509"/>
      <x:c r="R1509"/>
      <x:c r="S1509"/>
      <x:c r="T1509"/>
      <x:c r="U1509"/>
      <x:c r="V1509"/>
      <x:c r="W1509"/>
    </x:row>
    <x:row r="1510">
      <x:c r="A1510"/>
      <x:c r="B1510"/>
      <x:c r="C1510"/>
      <x:c r="D1510"/>
      <x:c r="E1510"/>
      <x:c r="F1510"/>
      <x:c r="G1510"/>
      <x:c r="H1510"/>
      <x:c r="I1510"/>
      <x:c r="J1510"/>
      <x:c r="K1510"/>
      <x:c r="L1510"/>
      <x:c r="M1510"/>
      <x:c r="N1510"/>
      <x:c r="O1510"/>
      <x:c r="P1510"/>
      <x:c r="Q1510"/>
      <x:c r="R1510"/>
      <x:c r="S1510"/>
      <x:c r="T1510"/>
      <x:c r="U1510"/>
      <x:c r="V1510"/>
      <x:c r="W1510"/>
    </x:row>
    <x:row r="1511">
      <x:c r="A1511"/>
      <x:c r="B1511"/>
      <x:c r="C1511"/>
      <x:c r="D1511"/>
      <x:c r="E1511"/>
      <x:c r="F1511"/>
      <x:c r="G1511"/>
      <x:c r="H1511"/>
      <x:c r="I1511"/>
      <x:c r="J1511"/>
      <x:c r="K1511"/>
      <x:c r="L1511"/>
      <x:c r="M1511"/>
      <x:c r="N1511"/>
      <x:c r="O1511"/>
      <x:c r="P1511"/>
      <x:c r="Q1511"/>
      <x:c r="R1511"/>
      <x:c r="S1511"/>
      <x:c r="T1511"/>
      <x:c r="U1511"/>
      <x:c r="V1511"/>
      <x:c r="W1511"/>
    </x:row>
    <x:row r="1512">
      <x:c r="A1512"/>
      <x:c r="B1512"/>
      <x:c r="C1512"/>
      <x:c r="D1512"/>
      <x:c r="E1512"/>
      <x:c r="F1512"/>
      <x:c r="G1512"/>
      <x:c r="H1512"/>
      <x:c r="I1512"/>
      <x:c r="J1512"/>
      <x:c r="K1512"/>
      <x:c r="L1512"/>
      <x:c r="M1512"/>
      <x:c r="N1512"/>
      <x:c r="O1512"/>
      <x:c r="P1512"/>
      <x:c r="Q1512"/>
      <x:c r="R1512"/>
      <x:c r="S1512"/>
      <x:c r="T1512"/>
      <x:c r="U1512"/>
      <x:c r="V1512"/>
      <x:c r="W1512"/>
    </x:row>
    <x:row r="1513">
      <x:c r="A1513"/>
      <x:c r="B1513"/>
      <x:c r="C1513"/>
      <x:c r="D1513"/>
      <x:c r="E1513"/>
      <x:c r="F1513"/>
      <x:c r="G1513"/>
      <x:c r="H1513"/>
      <x:c r="I1513"/>
      <x:c r="J1513"/>
      <x:c r="K1513"/>
      <x:c r="L1513"/>
      <x:c r="M1513"/>
      <x:c r="N1513"/>
      <x:c r="O1513"/>
      <x:c r="P1513"/>
      <x:c r="Q1513"/>
      <x:c r="R1513"/>
      <x:c r="S1513"/>
      <x:c r="T1513"/>
      <x:c r="U1513"/>
      <x:c r="V1513"/>
      <x:c r="W1513"/>
    </x:row>
    <x:row r="1514">
      <x:c r="A1514"/>
      <x:c r="B1514"/>
      <x:c r="C1514"/>
      <x:c r="D1514"/>
      <x:c r="E1514"/>
      <x:c r="F1514"/>
      <x:c r="G1514"/>
      <x:c r="H1514"/>
      <x:c r="I1514"/>
      <x:c r="J1514"/>
      <x:c r="K1514"/>
      <x:c r="L1514"/>
      <x:c r="M1514"/>
      <x:c r="N1514"/>
      <x:c r="O1514"/>
      <x:c r="P1514"/>
      <x:c r="Q1514"/>
      <x:c r="R1514"/>
      <x:c r="S1514"/>
      <x:c r="T1514"/>
      <x:c r="U1514"/>
      <x:c r="V1514"/>
      <x:c r="W1514"/>
    </x:row>
    <x:row r="1515">
      <x:c r="A1515"/>
      <x:c r="B1515"/>
      <x:c r="C1515"/>
      <x:c r="D1515"/>
      <x:c r="E1515"/>
      <x:c r="F1515"/>
      <x:c r="G1515"/>
      <x:c r="H1515"/>
      <x:c r="I1515"/>
      <x:c r="J1515"/>
      <x:c r="K1515"/>
      <x:c r="L1515"/>
      <x:c r="M1515"/>
      <x:c r="N1515"/>
      <x:c r="O1515"/>
      <x:c r="P1515"/>
      <x:c r="Q1515"/>
      <x:c r="R1515"/>
      <x:c r="S1515"/>
      <x:c r="T1515"/>
      <x:c r="U1515"/>
      <x:c r="V1515"/>
      <x:c r="W1515"/>
    </x:row>
    <x:row r="1516">
      <x:c r="A1516"/>
      <x:c r="B1516"/>
      <x:c r="C1516"/>
      <x:c r="D1516"/>
      <x:c r="E1516"/>
      <x:c r="F1516"/>
      <x:c r="G1516"/>
      <x:c r="H1516"/>
      <x:c r="I1516"/>
      <x:c r="J1516"/>
      <x:c r="K1516"/>
      <x:c r="L1516"/>
      <x:c r="M1516"/>
      <x:c r="N1516"/>
      <x:c r="O1516"/>
      <x:c r="P1516"/>
      <x:c r="Q1516"/>
      <x:c r="R1516"/>
      <x:c r="S1516"/>
      <x:c r="T1516"/>
      <x:c r="U1516"/>
      <x:c r="V1516"/>
      <x:c r="W1516"/>
    </x:row>
    <x:row r="1517">
      <x:c r="A1517"/>
      <x:c r="B1517"/>
      <x:c r="C1517"/>
      <x:c r="D1517"/>
      <x:c r="E1517"/>
      <x:c r="F1517"/>
      <x:c r="G1517"/>
      <x:c r="H1517"/>
      <x:c r="I1517"/>
      <x:c r="J1517"/>
      <x:c r="K1517"/>
      <x:c r="L1517"/>
      <x:c r="M1517"/>
      <x:c r="N1517"/>
      <x:c r="O1517"/>
      <x:c r="P1517"/>
      <x:c r="Q1517"/>
      <x:c r="R1517"/>
      <x:c r="S1517"/>
      <x:c r="T1517"/>
      <x:c r="U1517"/>
      <x:c r="V1517"/>
      <x:c r="W1517"/>
    </x:row>
    <x:row r="1518">
      <x:c r="A1518"/>
      <x:c r="B1518"/>
      <x:c r="C1518"/>
      <x:c r="D1518"/>
      <x:c r="E1518"/>
      <x:c r="F1518"/>
      <x:c r="G1518"/>
      <x:c r="H1518"/>
      <x:c r="I1518"/>
      <x:c r="J1518"/>
      <x:c r="K1518"/>
      <x:c r="L1518"/>
      <x:c r="M1518"/>
      <x:c r="N1518"/>
      <x:c r="O1518"/>
      <x:c r="P1518"/>
      <x:c r="Q1518"/>
      <x:c r="R1518"/>
      <x:c r="S1518"/>
      <x:c r="T1518"/>
      <x:c r="U1518"/>
      <x:c r="V1518"/>
      <x:c r="W1518"/>
    </x:row>
    <x:row r="1519">
      <x:c r="A1519"/>
      <x:c r="B1519"/>
      <x:c r="C1519"/>
      <x:c r="D1519"/>
      <x:c r="E1519"/>
      <x:c r="F1519"/>
      <x:c r="G1519"/>
      <x:c r="H1519"/>
      <x:c r="I1519"/>
      <x:c r="J1519"/>
      <x:c r="K1519"/>
      <x:c r="L1519"/>
      <x:c r="M1519"/>
      <x:c r="N1519"/>
      <x:c r="O1519"/>
      <x:c r="P1519"/>
      <x:c r="Q1519"/>
      <x:c r="R1519"/>
      <x:c r="S1519"/>
      <x:c r="T1519"/>
      <x:c r="U1519"/>
      <x:c r="V1519"/>
      <x:c r="W1519"/>
    </x:row>
    <x:row r="1520">
      <x:c r="A1520"/>
      <x:c r="B1520"/>
      <x:c r="C1520"/>
      <x:c r="D1520"/>
      <x:c r="E1520"/>
      <x:c r="F1520"/>
      <x:c r="G1520"/>
      <x:c r="H1520"/>
      <x:c r="I1520"/>
      <x:c r="J1520"/>
      <x:c r="K1520"/>
      <x:c r="L1520"/>
      <x:c r="M1520"/>
      <x:c r="N1520"/>
      <x:c r="O1520"/>
      <x:c r="P1520"/>
      <x:c r="Q1520"/>
      <x:c r="R1520"/>
      <x:c r="S1520"/>
      <x:c r="T1520"/>
      <x:c r="U1520"/>
      <x:c r="V1520"/>
      <x:c r="W1520"/>
    </x:row>
    <x:row r="1521">
      <x:c r="A1521"/>
      <x:c r="B1521"/>
      <x:c r="C1521"/>
      <x:c r="D1521"/>
      <x:c r="E1521"/>
      <x:c r="F1521"/>
      <x:c r="G1521"/>
      <x:c r="H1521"/>
      <x:c r="I1521"/>
      <x:c r="J1521"/>
      <x:c r="K1521"/>
      <x:c r="L1521"/>
      <x:c r="M1521"/>
      <x:c r="N1521"/>
      <x:c r="O1521"/>
      <x:c r="P1521"/>
      <x:c r="Q1521"/>
      <x:c r="R1521"/>
      <x:c r="S1521"/>
      <x:c r="T1521"/>
      <x:c r="U1521"/>
      <x:c r="V1521"/>
      <x:c r="W1521"/>
    </x:row>
    <x:row r="1522">
      <x:c r="A1522"/>
      <x:c r="B1522"/>
      <x:c r="C1522"/>
      <x:c r="D1522"/>
      <x:c r="E1522"/>
      <x:c r="F1522"/>
      <x:c r="G1522"/>
      <x:c r="H1522"/>
      <x:c r="I1522"/>
      <x:c r="J1522"/>
      <x:c r="K1522"/>
      <x:c r="L1522"/>
      <x:c r="M1522"/>
      <x:c r="N1522"/>
      <x:c r="O1522"/>
      <x:c r="P1522"/>
      <x:c r="Q1522"/>
      <x:c r="R1522"/>
      <x:c r="S1522"/>
      <x:c r="T1522"/>
      <x:c r="U1522"/>
      <x:c r="V1522"/>
      <x:c r="W1522"/>
    </x:row>
    <x:row r="1523">
      <x:c r="A1523"/>
      <x:c r="B1523"/>
      <x:c r="C1523"/>
      <x:c r="D1523"/>
      <x:c r="E1523"/>
      <x:c r="F1523"/>
      <x:c r="G1523"/>
      <x:c r="H1523"/>
      <x:c r="I1523"/>
      <x:c r="J1523"/>
      <x:c r="K1523"/>
      <x:c r="L1523"/>
      <x:c r="M1523"/>
      <x:c r="N1523"/>
      <x:c r="O1523"/>
      <x:c r="P1523"/>
      <x:c r="Q1523"/>
      <x:c r="R1523"/>
      <x:c r="S1523"/>
      <x:c r="T1523"/>
      <x:c r="U1523"/>
      <x:c r="V1523"/>
      <x:c r="W1523"/>
    </x:row>
    <x:row r="1524">
      <x:c r="A1524"/>
      <x:c r="B1524"/>
      <x:c r="C1524"/>
      <x:c r="D1524"/>
      <x:c r="E1524"/>
      <x:c r="F1524"/>
      <x:c r="G1524"/>
      <x:c r="H1524"/>
      <x:c r="I1524"/>
      <x:c r="J1524"/>
      <x:c r="K1524"/>
      <x:c r="L1524"/>
      <x:c r="M1524"/>
      <x:c r="N1524"/>
      <x:c r="O1524"/>
      <x:c r="P1524"/>
      <x:c r="Q1524"/>
      <x:c r="R1524"/>
      <x:c r="S1524"/>
      <x:c r="T1524"/>
      <x:c r="U1524"/>
      <x:c r="V1524"/>
      <x:c r="W1524"/>
    </x:row>
    <x:row r="1525">
      <x:c r="A1525"/>
      <x:c r="B1525"/>
      <x:c r="C1525"/>
      <x:c r="D1525"/>
      <x:c r="E1525"/>
      <x:c r="F1525"/>
      <x:c r="G1525"/>
      <x:c r="H1525"/>
      <x:c r="I1525"/>
      <x:c r="J1525"/>
      <x:c r="K1525"/>
      <x:c r="L1525"/>
      <x:c r="M1525"/>
      <x:c r="N1525"/>
      <x:c r="O1525"/>
      <x:c r="P1525"/>
      <x:c r="Q1525"/>
      <x:c r="R1525"/>
      <x:c r="S1525"/>
      <x:c r="T1525"/>
      <x:c r="U1525"/>
      <x:c r="V1525"/>
      <x:c r="W1525"/>
    </x:row>
    <x:row r="1526">
      <x:c r="A1526"/>
      <x:c r="B1526"/>
      <x:c r="C1526"/>
      <x:c r="D1526"/>
      <x:c r="E1526"/>
      <x:c r="F1526"/>
      <x:c r="G1526"/>
      <x:c r="H1526"/>
      <x:c r="I1526"/>
      <x:c r="J1526"/>
      <x:c r="K1526"/>
      <x:c r="L1526"/>
      <x:c r="M1526"/>
      <x:c r="N1526"/>
      <x:c r="O1526"/>
      <x:c r="P1526"/>
      <x:c r="Q1526"/>
      <x:c r="R1526"/>
      <x:c r="S1526"/>
      <x:c r="T1526"/>
      <x:c r="U1526"/>
      <x:c r="V1526"/>
      <x:c r="W1526"/>
    </x:row>
    <x:row r="1527">
      <x:c r="A1527"/>
      <x:c r="B1527"/>
      <x:c r="C1527"/>
      <x:c r="D1527"/>
      <x:c r="E1527"/>
      <x:c r="F1527"/>
      <x:c r="G1527"/>
      <x:c r="H1527"/>
      <x:c r="I1527"/>
      <x:c r="J1527"/>
      <x:c r="K1527"/>
      <x:c r="L1527"/>
      <x:c r="M1527"/>
      <x:c r="N1527"/>
      <x:c r="O1527"/>
      <x:c r="P1527"/>
      <x:c r="Q1527"/>
      <x:c r="R1527"/>
      <x:c r="S1527"/>
      <x:c r="T1527"/>
      <x:c r="U1527"/>
      <x:c r="V1527"/>
      <x:c r="W1527"/>
    </x:row>
    <x:row r="1528">
      <x:c r="A1528"/>
      <x:c r="B1528"/>
      <x:c r="C1528"/>
      <x:c r="D1528"/>
      <x:c r="E1528"/>
      <x:c r="F1528"/>
      <x:c r="G1528"/>
      <x:c r="H1528"/>
      <x:c r="I1528"/>
      <x:c r="J1528"/>
      <x:c r="K1528"/>
      <x:c r="L1528"/>
      <x:c r="M1528"/>
      <x:c r="N1528"/>
      <x:c r="O1528"/>
      <x:c r="P1528"/>
      <x:c r="Q1528"/>
      <x:c r="R1528"/>
      <x:c r="S1528"/>
      <x:c r="T1528"/>
      <x:c r="U1528"/>
      <x:c r="V1528"/>
      <x:c r="W1528"/>
    </x:row>
    <x:row r="1529">
      <x:c r="A1529"/>
      <x:c r="B1529"/>
      <x:c r="C1529"/>
      <x:c r="D1529"/>
      <x:c r="E1529"/>
      <x:c r="F1529"/>
      <x:c r="G1529"/>
      <x:c r="H1529"/>
      <x:c r="I1529"/>
      <x:c r="J1529"/>
      <x:c r="K1529"/>
      <x:c r="L1529"/>
      <x:c r="M1529"/>
      <x:c r="N1529"/>
      <x:c r="O1529"/>
      <x:c r="P1529"/>
      <x:c r="Q1529"/>
      <x:c r="R1529"/>
      <x:c r="S1529"/>
      <x:c r="T1529"/>
      <x:c r="U1529"/>
      <x:c r="V1529"/>
      <x:c r="W1529"/>
    </x:row>
    <x:row r="1530">
      <x:c r="A1530"/>
      <x:c r="B1530"/>
      <x:c r="C1530"/>
      <x:c r="D1530"/>
      <x:c r="E1530"/>
      <x:c r="F1530"/>
      <x:c r="G1530"/>
      <x:c r="H1530"/>
      <x:c r="I1530"/>
      <x:c r="J1530"/>
      <x:c r="K1530"/>
      <x:c r="L1530"/>
      <x:c r="M1530"/>
      <x:c r="N1530"/>
      <x:c r="O1530"/>
      <x:c r="P1530"/>
      <x:c r="Q1530"/>
      <x:c r="R1530"/>
      <x:c r="S1530"/>
      <x:c r="T1530"/>
      <x:c r="U1530"/>
      <x:c r="V1530"/>
      <x:c r="W1530"/>
    </x:row>
    <x:row r="1531">
      <x:c r="A1531"/>
      <x:c r="B1531"/>
      <x:c r="C1531"/>
      <x:c r="D1531"/>
      <x:c r="E1531"/>
      <x:c r="F1531"/>
      <x:c r="G1531"/>
      <x:c r="H1531"/>
      <x:c r="I1531"/>
      <x:c r="J1531"/>
      <x:c r="K1531"/>
      <x:c r="L1531"/>
      <x:c r="M1531"/>
      <x:c r="N1531"/>
      <x:c r="O1531"/>
      <x:c r="P1531"/>
      <x:c r="Q1531"/>
      <x:c r="R1531"/>
      <x:c r="S1531"/>
      <x:c r="T1531"/>
      <x:c r="U1531"/>
      <x:c r="V1531"/>
      <x:c r="W1531"/>
    </x:row>
    <x:row r="1532">
      <x:c r="A1532"/>
      <x:c r="B1532"/>
      <x:c r="C1532"/>
      <x:c r="D1532"/>
      <x:c r="E1532"/>
      <x:c r="F1532"/>
      <x:c r="G1532"/>
      <x:c r="H1532"/>
      <x:c r="I1532"/>
      <x:c r="J1532"/>
      <x:c r="K1532"/>
      <x:c r="L1532"/>
      <x:c r="M1532"/>
      <x:c r="N1532"/>
      <x:c r="O1532"/>
      <x:c r="P1532"/>
      <x:c r="Q1532"/>
      <x:c r="R1532"/>
      <x:c r="S1532"/>
      <x:c r="T1532"/>
      <x:c r="U1532"/>
      <x:c r="V1532"/>
      <x:c r="W1532"/>
    </x:row>
    <x:row r="1533">
      <x:c r="A1533"/>
      <x:c r="B1533"/>
      <x:c r="C1533"/>
      <x:c r="D1533"/>
      <x:c r="E1533"/>
      <x:c r="F1533"/>
      <x:c r="G1533"/>
      <x:c r="H1533"/>
      <x:c r="I1533"/>
      <x:c r="J1533"/>
      <x:c r="K1533"/>
      <x:c r="L1533"/>
      <x:c r="M1533"/>
      <x:c r="N1533"/>
      <x:c r="O1533"/>
      <x:c r="P1533"/>
      <x:c r="Q1533"/>
      <x:c r="R1533"/>
      <x:c r="S1533"/>
      <x:c r="T1533"/>
      <x:c r="U1533"/>
      <x:c r="V1533"/>
      <x:c r="W1533"/>
    </x:row>
    <x:row r="1534">
      <x:c r="A1534"/>
      <x:c r="B1534"/>
      <x:c r="C1534"/>
      <x:c r="D1534"/>
      <x:c r="E1534"/>
      <x:c r="F1534"/>
      <x:c r="G1534"/>
      <x:c r="H1534"/>
      <x:c r="I1534"/>
      <x:c r="J1534"/>
      <x:c r="K1534"/>
      <x:c r="L1534"/>
      <x:c r="M1534"/>
      <x:c r="N1534"/>
      <x:c r="O1534"/>
      <x:c r="P1534"/>
      <x:c r="Q1534"/>
      <x:c r="R1534"/>
      <x:c r="S1534"/>
      <x:c r="T1534"/>
      <x:c r="U1534"/>
      <x:c r="V1534"/>
      <x:c r="W1534"/>
    </x:row>
    <x:row r="1535">
      <x:c r="A1535"/>
      <x:c r="B1535"/>
      <x:c r="C1535"/>
      <x:c r="D1535"/>
      <x:c r="E1535"/>
      <x:c r="F1535"/>
      <x:c r="G1535"/>
      <x:c r="H1535"/>
      <x:c r="I1535"/>
      <x:c r="J1535"/>
      <x:c r="K1535"/>
      <x:c r="L1535"/>
      <x:c r="M1535"/>
      <x:c r="N1535"/>
      <x:c r="O1535"/>
      <x:c r="P1535"/>
      <x:c r="Q1535"/>
      <x:c r="R1535"/>
      <x:c r="S1535"/>
      <x:c r="T1535"/>
      <x:c r="U1535"/>
      <x:c r="V1535"/>
      <x:c r="W1535"/>
    </x:row>
    <x:row r="1536">
      <x:c r="A1536"/>
      <x:c r="B1536"/>
      <x:c r="C1536"/>
      <x:c r="D1536"/>
      <x:c r="E1536"/>
      <x:c r="F1536"/>
      <x:c r="G1536"/>
      <x:c r="H1536"/>
      <x:c r="I1536"/>
      <x:c r="J1536"/>
      <x:c r="K1536"/>
      <x:c r="L1536"/>
      <x:c r="M1536"/>
      <x:c r="N1536"/>
      <x:c r="O1536"/>
      <x:c r="P1536"/>
      <x:c r="Q1536"/>
      <x:c r="R1536"/>
      <x:c r="S1536"/>
      <x:c r="T1536"/>
      <x:c r="U1536"/>
      <x:c r="V1536"/>
      <x:c r="W1536"/>
    </x:row>
    <x:row r="1537">
      <x:c r="A1537"/>
      <x:c r="B1537"/>
      <x:c r="C1537"/>
      <x:c r="D1537"/>
      <x:c r="E1537"/>
      <x:c r="F1537"/>
      <x:c r="G1537"/>
      <x:c r="H1537"/>
      <x:c r="I1537"/>
      <x:c r="J1537"/>
      <x:c r="K1537"/>
      <x:c r="L1537"/>
      <x:c r="M1537"/>
      <x:c r="N1537"/>
      <x:c r="O1537"/>
      <x:c r="P1537"/>
      <x:c r="Q1537"/>
      <x:c r="R1537"/>
      <x:c r="S1537"/>
      <x:c r="T1537"/>
      <x:c r="U1537"/>
      <x:c r="V1537"/>
      <x:c r="W1537"/>
    </x:row>
    <x:row r="1538">
      <x:c r="A1538"/>
      <x:c r="B1538"/>
      <x:c r="C1538"/>
      <x:c r="D1538"/>
      <x:c r="E1538"/>
      <x:c r="F1538"/>
      <x:c r="G1538"/>
      <x:c r="H1538"/>
      <x:c r="I1538"/>
      <x:c r="J1538"/>
      <x:c r="K1538"/>
      <x:c r="L1538"/>
      <x:c r="M1538"/>
      <x:c r="N1538"/>
      <x:c r="O1538"/>
      <x:c r="P1538"/>
      <x:c r="Q1538"/>
      <x:c r="R1538"/>
      <x:c r="S1538"/>
      <x:c r="T1538"/>
      <x:c r="U1538"/>
      <x:c r="V1538"/>
      <x:c r="W1538"/>
    </x:row>
    <x:row r="1539">
      <x:c r="A1539"/>
      <x:c r="B1539"/>
      <x:c r="C1539"/>
      <x:c r="D1539"/>
      <x:c r="E1539"/>
      <x:c r="F1539"/>
      <x:c r="G1539"/>
      <x:c r="H1539"/>
      <x:c r="I1539"/>
      <x:c r="J1539"/>
      <x:c r="K1539"/>
      <x:c r="L1539"/>
      <x:c r="M1539"/>
      <x:c r="N1539"/>
      <x:c r="O1539"/>
      <x:c r="P1539"/>
      <x:c r="Q1539"/>
      <x:c r="R1539"/>
      <x:c r="S1539"/>
      <x:c r="T1539"/>
      <x:c r="U1539"/>
      <x:c r="V1539"/>
      <x:c r="W1539"/>
    </x:row>
    <x:row r="1540">
      <x:c r="A1540"/>
      <x:c r="B1540"/>
      <x:c r="C1540"/>
      <x:c r="D1540"/>
      <x:c r="E1540"/>
      <x:c r="F1540"/>
      <x:c r="G1540"/>
      <x:c r="H1540"/>
      <x:c r="I1540"/>
      <x:c r="J1540"/>
      <x:c r="K1540"/>
      <x:c r="L1540"/>
      <x:c r="M1540"/>
      <x:c r="N1540"/>
      <x:c r="O1540"/>
      <x:c r="P1540"/>
      <x:c r="Q1540"/>
      <x:c r="R1540"/>
      <x:c r="S1540"/>
      <x:c r="T1540"/>
      <x:c r="U1540"/>
      <x:c r="V1540"/>
      <x:c r="W1540"/>
    </x:row>
    <x:row r="1541">
      <x:c r="A1541"/>
      <x:c r="B1541"/>
      <x:c r="C1541"/>
      <x:c r="D1541"/>
      <x:c r="E1541"/>
      <x:c r="F1541"/>
      <x:c r="G1541"/>
      <x:c r="H1541"/>
      <x:c r="I1541"/>
      <x:c r="J1541"/>
      <x:c r="K1541"/>
      <x:c r="L1541"/>
      <x:c r="M1541"/>
      <x:c r="N1541"/>
      <x:c r="O1541"/>
      <x:c r="P1541"/>
      <x:c r="Q1541"/>
      <x:c r="R1541"/>
      <x:c r="S1541"/>
      <x:c r="T1541"/>
      <x:c r="U1541"/>
      <x:c r="V1541"/>
      <x:c r="W1541"/>
    </x:row>
    <x:row r="1542">
      <x:c r="A1542"/>
      <x:c r="B1542"/>
      <x:c r="C1542"/>
      <x:c r="D1542"/>
      <x:c r="E1542"/>
      <x:c r="F1542"/>
      <x:c r="G1542"/>
      <x:c r="H1542"/>
      <x:c r="I1542"/>
      <x:c r="J1542"/>
      <x:c r="K1542"/>
      <x:c r="L1542"/>
      <x:c r="M1542"/>
      <x:c r="N1542"/>
      <x:c r="O1542"/>
      <x:c r="P1542"/>
      <x:c r="Q1542"/>
      <x:c r="R1542"/>
      <x:c r="S1542"/>
      <x:c r="T1542"/>
      <x:c r="U1542"/>
      <x:c r="V1542"/>
      <x:c r="W1542"/>
    </x:row>
    <x:row r="1543">
      <x:c r="A1543"/>
      <x:c r="B1543"/>
      <x:c r="C1543"/>
      <x:c r="D1543"/>
      <x:c r="E1543"/>
      <x:c r="F1543"/>
      <x:c r="G1543"/>
      <x:c r="H1543"/>
      <x:c r="I1543"/>
      <x:c r="J1543"/>
      <x:c r="K1543"/>
      <x:c r="L1543"/>
      <x:c r="M1543"/>
      <x:c r="N1543"/>
      <x:c r="O1543"/>
      <x:c r="P1543"/>
      <x:c r="Q1543"/>
      <x:c r="R1543"/>
      <x:c r="S1543"/>
      <x:c r="T1543"/>
      <x:c r="U1543"/>
      <x:c r="V1543"/>
      <x:c r="W1543"/>
    </x:row>
    <x:row r="1544">
      <x:c r="A1544"/>
      <x:c r="B1544"/>
      <x:c r="C1544"/>
      <x:c r="D1544"/>
      <x:c r="E1544"/>
      <x:c r="F1544"/>
      <x:c r="G1544"/>
      <x:c r="H1544"/>
      <x:c r="I1544"/>
      <x:c r="J1544"/>
      <x:c r="K1544"/>
      <x:c r="L1544"/>
      <x:c r="M1544"/>
      <x:c r="N1544"/>
      <x:c r="O1544"/>
      <x:c r="P1544"/>
      <x:c r="Q1544"/>
      <x:c r="R1544"/>
      <x:c r="S1544"/>
      <x:c r="T1544"/>
      <x:c r="U1544"/>
      <x:c r="V1544"/>
      <x:c r="W1544"/>
    </x:row>
    <x:row r="1545">
      <x:c r="A1545"/>
      <x:c r="B1545"/>
      <x:c r="C1545"/>
      <x:c r="D1545"/>
      <x:c r="E1545"/>
      <x:c r="F1545"/>
      <x:c r="G1545"/>
      <x:c r="H1545"/>
      <x:c r="I1545"/>
      <x:c r="J1545"/>
      <x:c r="K1545"/>
      <x:c r="L1545"/>
      <x:c r="M1545"/>
      <x:c r="N1545"/>
      <x:c r="O1545"/>
      <x:c r="P1545"/>
      <x:c r="Q1545"/>
      <x:c r="R1545"/>
      <x:c r="S1545"/>
      <x:c r="T1545"/>
      <x:c r="U1545"/>
      <x:c r="V1545"/>
      <x:c r="W1545"/>
    </x:row>
    <x:row r="1546">
      <x:c r="A1546"/>
      <x:c r="B1546"/>
      <x:c r="C1546"/>
      <x:c r="D1546"/>
      <x:c r="E1546"/>
      <x:c r="F1546"/>
      <x:c r="G1546"/>
      <x:c r="H1546"/>
      <x:c r="I1546"/>
      <x:c r="J1546"/>
      <x:c r="K1546"/>
      <x:c r="L1546"/>
      <x:c r="M1546"/>
      <x:c r="N1546"/>
      <x:c r="O1546"/>
      <x:c r="P1546"/>
      <x:c r="Q1546"/>
      <x:c r="R1546"/>
      <x:c r="S1546"/>
      <x:c r="T1546"/>
      <x:c r="U1546"/>
      <x:c r="V1546"/>
      <x:c r="W1546"/>
    </x:row>
    <x:row r="1547">
      <x:c r="A1547"/>
      <x:c r="B1547"/>
      <x:c r="C1547"/>
      <x:c r="D1547"/>
      <x:c r="E1547"/>
      <x:c r="F1547"/>
      <x:c r="G1547"/>
      <x:c r="H1547"/>
      <x:c r="I1547"/>
      <x:c r="J1547"/>
      <x:c r="K1547"/>
      <x:c r="L1547"/>
      <x:c r="M1547"/>
      <x:c r="N1547"/>
      <x:c r="O1547"/>
      <x:c r="P1547"/>
      <x:c r="Q1547"/>
      <x:c r="R1547"/>
      <x:c r="S1547"/>
      <x:c r="T1547"/>
      <x:c r="U1547"/>
      <x:c r="V1547"/>
      <x:c r="W1547"/>
    </x:row>
    <x:row r="1548">
      <x:c r="A1548"/>
      <x:c r="B1548"/>
      <x:c r="C1548"/>
      <x:c r="D1548"/>
      <x:c r="E1548"/>
      <x:c r="F1548"/>
      <x:c r="G1548"/>
      <x:c r="H1548"/>
      <x:c r="I1548"/>
      <x:c r="J1548"/>
      <x:c r="K1548"/>
      <x:c r="L1548"/>
      <x:c r="M1548"/>
      <x:c r="N1548"/>
      <x:c r="O1548"/>
      <x:c r="P1548"/>
      <x:c r="Q1548"/>
      <x:c r="R1548"/>
      <x:c r="S1548"/>
      <x:c r="T1548"/>
      <x:c r="U1548"/>
      <x:c r="V1548"/>
      <x:c r="W1548"/>
    </x:row>
    <x:row r="1549">
      <x:c r="A1549"/>
      <x:c r="B1549"/>
      <x:c r="C1549"/>
      <x:c r="D1549"/>
      <x:c r="E1549"/>
      <x:c r="F1549"/>
      <x:c r="G1549"/>
      <x:c r="H1549"/>
      <x:c r="I1549"/>
      <x:c r="J1549"/>
      <x:c r="K1549"/>
      <x:c r="L1549"/>
      <x:c r="M1549"/>
      <x:c r="N1549"/>
      <x:c r="O1549"/>
      <x:c r="P1549"/>
      <x:c r="Q1549"/>
      <x:c r="R1549"/>
      <x:c r="S1549"/>
      <x:c r="T1549"/>
      <x:c r="U1549"/>
      <x:c r="V1549"/>
      <x:c r="W1549"/>
    </x:row>
    <x:row r="1550">
      <x:c r="A1550"/>
      <x:c r="B1550"/>
      <x:c r="C1550"/>
      <x:c r="D1550"/>
      <x:c r="E1550"/>
      <x:c r="F1550"/>
      <x:c r="G1550"/>
      <x:c r="H1550"/>
      <x:c r="I1550"/>
      <x:c r="J1550"/>
      <x:c r="K1550"/>
      <x:c r="L1550"/>
      <x:c r="M1550"/>
      <x:c r="N1550"/>
      <x:c r="O1550"/>
      <x:c r="P1550"/>
      <x:c r="Q1550"/>
      <x:c r="R1550"/>
      <x:c r="S1550"/>
      <x:c r="T1550"/>
      <x:c r="U1550"/>
      <x:c r="V1550"/>
      <x:c r="W1550"/>
    </x:row>
    <x:row r="1551">
      <x:c r="A1551"/>
      <x:c r="B1551"/>
      <x:c r="C1551"/>
      <x:c r="D1551"/>
      <x:c r="E1551"/>
      <x:c r="F1551"/>
      <x:c r="G1551"/>
      <x:c r="H1551"/>
      <x:c r="I1551"/>
      <x:c r="J1551"/>
      <x:c r="K1551"/>
      <x:c r="L1551"/>
      <x:c r="M1551"/>
      <x:c r="N1551"/>
      <x:c r="O1551"/>
      <x:c r="P1551"/>
      <x:c r="Q1551"/>
      <x:c r="R1551"/>
      <x:c r="S1551"/>
      <x:c r="T1551"/>
      <x:c r="U1551"/>
      <x:c r="V1551"/>
      <x:c r="W1551"/>
    </x:row>
    <x:row r="1552">
      <x:c r="A1552"/>
      <x:c r="B1552"/>
      <x:c r="C1552"/>
      <x:c r="D1552"/>
      <x:c r="E1552"/>
      <x:c r="F1552"/>
      <x:c r="G1552"/>
      <x:c r="H1552"/>
      <x:c r="I1552"/>
      <x:c r="J1552"/>
      <x:c r="K1552"/>
      <x:c r="L1552"/>
      <x:c r="M1552"/>
      <x:c r="N1552"/>
      <x:c r="O1552"/>
      <x:c r="P1552"/>
      <x:c r="Q1552"/>
      <x:c r="R1552"/>
      <x:c r="S1552"/>
      <x:c r="T1552"/>
      <x:c r="U1552"/>
      <x:c r="V1552"/>
      <x:c r="W1552"/>
    </x:row>
    <x:row r="1553">
      <x:c r="A1553"/>
      <x:c r="B1553"/>
      <x:c r="C1553"/>
      <x:c r="D1553"/>
      <x:c r="E1553"/>
      <x:c r="F1553"/>
      <x:c r="G1553"/>
      <x:c r="H1553"/>
      <x:c r="I1553"/>
      <x:c r="J1553"/>
      <x:c r="K1553"/>
      <x:c r="L1553"/>
      <x:c r="M1553"/>
      <x:c r="N1553"/>
      <x:c r="O1553"/>
      <x:c r="P1553"/>
      <x:c r="Q1553"/>
      <x:c r="R1553"/>
      <x:c r="S1553"/>
      <x:c r="T1553"/>
      <x:c r="U1553"/>
      <x:c r="V1553"/>
      <x:c r="W1553"/>
    </x:row>
    <x:row r="1554">
      <x:c r="A1554"/>
      <x:c r="B1554"/>
      <x:c r="C1554"/>
      <x:c r="D1554"/>
      <x:c r="E1554"/>
      <x:c r="F1554"/>
      <x:c r="G1554"/>
      <x:c r="H1554"/>
      <x:c r="I1554"/>
      <x:c r="J1554"/>
      <x:c r="K1554"/>
      <x:c r="L1554"/>
      <x:c r="M1554"/>
      <x:c r="N1554"/>
      <x:c r="O1554"/>
      <x:c r="P1554"/>
      <x:c r="Q1554"/>
      <x:c r="R1554"/>
      <x:c r="S1554"/>
      <x:c r="T1554"/>
      <x:c r="U1554"/>
      <x:c r="V1554"/>
      <x:c r="W1554"/>
    </x:row>
    <x:row r="1555">
      <x:c r="A1555"/>
      <x:c r="B1555"/>
      <x:c r="C1555"/>
      <x:c r="D1555"/>
      <x:c r="E1555"/>
      <x:c r="F1555"/>
      <x:c r="G1555"/>
      <x:c r="H1555"/>
      <x:c r="I1555"/>
      <x:c r="J1555"/>
      <x:c r="K1555"/>
      <x:c r="L1555"/>
      <x:c r="M1555"/>
      <x:c r="N1555"/>
      <x:c r="O1555"/>
      <x:c r="P1555"/>
      <x:c r="Q1555"/>
      <x:c r="R1555"/>
      <x:c r="S1555"/>
      <x:c r="T1555"/>
      <x:c r="U1555"/>
      <x:c r="V1555"/>
      <x:c r="W1555"/>
    </x:row>
    <x:row r="1556">
      <x:c r="A1556"/>
      <x:c r="B1556"/>
      <x:c r="C1556"/>
      <x:c r="D1556"/>
      <x:c r="E1556"/>
      <x:c r="F1556"/>
      <x:c r="G1556"/>
      <x:c r="H1556"/>
      <x:c r="I1556"/>
      <x:c r="J1556"/>
      <x:c r="K1556"/>
      <x:c r="L1556"/>
      <x:c r="M1556"/>
      <x:c r="N1556"/>
      <x:c r="O1556"/>
      <x:c r="P1556"/>
      <x:c r="Q1556"/>
      <x:c r="R1556"/>
      <x:c r="S1556"/>
      <x:c r="T1556"/>
      <x:c r="U1556"/>
      <x:c r="V1556"/>
      <x:c r="W1556"/>
    </x:row>
    <x:row r="1557">
      <x:c r="A1557"/>
      <x:c r="B1557"/>
      <x:c r="C1557"/>
      <x:c r="D1557"/>
      <x:c r="E1557"/>
      <x:c r="F1557"/>
      <x:c r="G1557"/>
      <x:c r="H1557"/>
      <x:c r="I1557"/>
      <x:c r="J1557"/>
      <x:c r="K1557"/>
      <x:c r="L1557"/>
      <x:c r="M1557"/>
      <x:c r="N1557"/>
      <x:c r="O1557"/>
      <x:c r="P1557"/>
      <x:c r="Q1557"/>
      <x:c r="R1557"/>
      <x:c r="S1557"/>
      <x:c r="T1557"/>
      <x:c r="U1557"/>
      <x:c r="V1557"/>
      <x:c r="W1557"/>
    </x:row>
    <x:row r="1558">
      <x:c r="A1558"/>
      <x:c r="B1558"/>
      <x:c r="C1558"/>
      <x:c r="D1558"/>
      <x:c r="E1558"/>
      <x:c r="F1558"/>
      <x:c r="G1558"/>
      <x:c r="H1558"/>
      <x:c r="I1558"/>
      <x:c r="J1558"/>
      <x:c r="K1558"/>
      <x:c r="L1558"/>
      <x:c r="M1558"/>
      <x:c r="N1558"/>
      <x:c r="O1558"/>
      <x:c r="P1558"/>
      <x:c r="Q1558"/>
      <x:c r="R1558"/>
      <x:c r="S1558"/>
      <x:c r="T1558"/>
      <x:c r="U1558"/>
      <x:c r="V1558"/>
      <x:c r="W1558"/>
    </x:row>
    <x:row r="1559">
      <x:c r="A1559"/>
      <x:c r="B1559"/>
      <x:c r="C1559"/>
      <x:c r="D1559"/>
      <x:c r="E1559"/>
      <x:c r="F1559"/>
      <x:c r="G1559"/>
      <x:c r="H1559"/>
      <x:c r="I1559"/>
      <x:c r="J1559"/>
      <x:c r="K1559"/>
      <x:c r="L1559"/>
      <x:c r="M1559"/>
      <x:c r="N1559"/>
      <x:c r="O1559"/>
      <x:c r="P1559"/>
      <x:c r="Q1559"/>
      <x:c r="R1559"/>
      <x:c r="S1559"/>
      <x:c r="T1559"/>
      <x:c r="U1559"/>
      <x:c r="V1559"/>
      <x:c r="W1559"/>
    </x:row>
    <x:row r="1560">
      <x:c r="A1560"/>
      <x:c r="B1560"/>
      <x:c r="C1560"/>
      <x:c r="D1560"/>
      <x:c r="E1560"/>
      <x:c r="F1560"/>
      <x:c r="G1560"/>
      <x:c r="H1560"/>
      <x:c r="I1560"/>
      <x:c r="J1560"/>
      <x:c r="K1560"/>
      <x:c r="L1560"/>
      <x:c r="M1560"/>
      <x:c r="N1560"/>
      <x:c r="O1560"/>
      <x:c r="P1560"/>
      <x:c r="Q1560"/>
      <x:c r="R1560"/>
      <x:c r="S1560"/>
      <x:c r="T1560"/>
      <x:c r="U1560"/>
      <x:c r="V1560"/>
      <x:c r="W1560"/>
    </x:row>
    <x:row r="1561">
      <x:c r="A1561"/>
      <x:c r="B1561"/>
      <x:c r="C1561"/>
      <x:c r="D1561"/>
      <x:c r="E1561"/>
      <x:c r="F1561"/>
      <x:c r="G1561"/>
      <x:c r="H1561"/>
      <x:c r="I1561"/>
      <x:c r="J1561"/>
      <x:c r="K1561"/>
      <x:c r="L1561"/>
      <x:c r="M1561"/>
      <x:c r="N1561"/>
      <x:c r="O1561"/>
      <x:c r="P1561"/>
      <x:c r="Q1561"/>
      <x:c r="R1561"/>
      <x:c r="S1561"/>
      <x:c r="T1561"/>
      <x:c r="U1561"/>
      <x:c r="V1561"/>
      <x:c r="W1561"/>
    </x:row>
    <x:row r="1562">
      <x:c r="A1562"/>
      <x:c r="B1562"/>
      <x:c r="C1562"/>
      <x:c r="D1562"/>
      <x:c r="E1562"/>
      <x:c r="F1562"/>
      <x:c r="G1562"/>
      <x:c r="H1562"/>
      <x:c r="I1562"/>
      <x:c r="J1562"/>
      <x:c r="K1562"/>
      <x:c r="L1562"/>
      <x:c r="M1562"/>
      <x:c r="N1562"/>
      <x:c r="O1562"/>
      <x:c r="P1562"/>
      <x:c r="Q1562"/>
      <x:c r="R1562"/>
      <x:c r="S1562"/>
      <x:c r="T1562"/>
      <x:c r="U1562"/>
      <x:c r="V1562"/>
      <x:c r="W1562"/>
    </x:row>
    <x:row r="1563">
      <x:c r="A1563"/>
      <x:c r="B1563"/>
      <x:c r="C1563"/>
      <x:c r="D1563"/>
      <x:c r="E1563"/>
      <x:c r="F1563"/>
      <x:c r="G1563"/>
      <x:c r="H1563"/>
      <x:c r="I1563"/>
      <x:c r="J1563"/>
      <x:c r="K1563"/>
      <x:c r="L1563"/>
      <x:c r="M1563"/>
      <x:c r="N1563"/>
      <x:c r="O1563"/>
      <x:c r="P1563"/>
      <x:c r="Q1563"/>
      <x:c r="R1563"/>
      <x:c r="S1563"/>
      <x:c r="T1563"/>
      <x:c r="U1563"/>
      <x:c r="V1563"/>
      <x:c r="W1563"/>
    </x:row>
    <x:row r="1564">
      <x:c r="A1564"/>
      <x:c r="B1564"/>
      <x:c r="C1564"/>
      <x:c r="D1564"/>
      <x:c r="E1564"/>
      <x:c r="F1564"/>
      <x:c r="G1564"/>
      <x:c r="H1564"/>
      <x:c r="I1564"/>
      <x:c r="J1564"/>
      <x:c r="K1564"/>
      <x:c r="L1564"/>
      <x:c r="M1564"/>
      <x:c r="N1564"/>
      <x:c r="O1564"/>
      <x:c r="P1564"/>
      <x:c r="Q1564"/>
      <x:c r="R1564"/>
      <x:c r="S1564"/>
      <x:c r="T1564"/>
      <x:c r="U1564"/>
      <x:c r="V1564"/>
      <x:c r="W1564"/>
    </x:row>
    <x:row r="1565">
      <x:c r="A1565"/>
      <x:c r="B1565"/>
      <x:c r="C1565"/>
      <x:c r="D1565"/>
      <x:c r="E1565"/>
      <x:c r="F1565"/>
      <x:c r="G1565"/>
      <x:c r="H1565"/>
      <x:c r="I1565"/>
      <x:c r="J1565"/>
      <x:c r="K1565"/>
      <x:c r="L1565"/>
      <x:c r="M1565"/>
      <x:c r="N1565"/>
      <x:c r="O1565"/>
      <x:c r="P1565"/>
      <x:c r="Q1565"/>
      <x:c r="R1565"/>
      <x:c r="S1565"/>
      <x:c r="T1565"/>
      <x:c r="U1565"/>
      <x:c r="V1565"/>
      <x:c r="W1565"/>
    </x:row>
    <x:row r="1566">
      <x:c r="A1566"/>
      <x:c r="B1566"/>
      <x:c r="C1566"/>
      <x:c r="D1566"/>
      <x:c r="E1566"/>
      <x:c r="F1566"/>
      <x:c r="G1566"/>
      <x:c r="H1566"/>
      <x:c r="I1566"/>
      <x:c r="J1566"/>
      <x:c r="K1566"/>
      <x:c r="L1566"/>
      <x:c r="M1566"/>
      <x:c r="N1566"/>
      <x:c r="O1566"/>
      <x:c r="P1566"/>
      <x:c r="Q1566"/>
      <x:c r="R1566"/>
      <x:c r="S1566"/>
      <x:c r="T1566"/>
      <x:c r="U1566"/>
      <x:c r="V1566"/>
      <x:c r="W1566"/>
    </x:row>
    <x:row r="1567">
      <x:c r="A1567"/>
      <x:c r="B1567"/>
      <x:c r="C1567"/>
      <x:c r="D1567"/>
      <x:c r="E1567"/>
      <x:c r="F1567"/>
      <x:c r="G1567"/>
      <x:c r="H1567"/>
      <x:c r="I1567"/>
      <x:c r="J1567"/>
      <x:c r="K1567"/>
      <x:c r="L1567"/>
      <x:c r="M1567"/>
      <x:c r="N1567"/>
      <x:c r="O1567"/>
      <x:c r="P1567"/>
      <x:c r="Q1567"/>
      <x:c r="R1567"/>
      <x:c r="S1567"/>
      <x:c r="T1567"/>
      <x:c r="U1567"/>
      <x:c r="V1567"/>
      <x:c r="W1567"/>
    </x:row>
    <x:row r="1568">
      <x:c r="A1568"/>
      <x:c r="B1568"/>
      <x:c r="C1568"/>
      <x:c r="D1568"/>
      <x:c r="E1568"/>
      <x:c r="F1568"/>
      <x:c r="G1568"/>
      <x:c r="H1568"/>
      <x:c r="I1568"/>
      <x:c r="J1568"/>
      <x:c r="K1568"/>
      <x:c r="L1568"/>
      <x:c r="M1568"/>
      <x:c r="N1568"/>
      <x:c r="O1568"/>
      <x:c r="P1568"/>
      <x:c r="Q1568"/>
      <x:c r="R1568"/>
      <x:c r="S1568"/>
      <x:c r="T1568"/>
      <x:c r="U1568"/>
      <x:c r="V1568"/>
      <x:c r="W1568"/>
    </x:row>
    <x:row r="1569">
      <x:c r="A1569"/>
      <x:c r="B1569"/>
      <x:c r="C1569"/>
      <x:c r="D1569"/>
      <x:c r="E1569"/>
      <x:c r="F1569"/>
      <x:c r="G1569"/>
      <x:c r="H1569"/>
      <x:c r="I1569"/>
      <x:c r="J1569"/>
      <x:c r="K1569"/>
      <x:c r="L1569"/>
      <x:c r="M1569"/>
      <x:c r="N1569"/>
      <x:c r="O1569"/>
      <x:c r="P1569"/>
      <x:c r="Q1569"/>
      <x:c r="R1569"/>
      <x:c r="S1569"/>
      <x:c r="T1569"/>
      <x:c r="U1569"/>
      <x:c r="V1569"/>
      <x:c r="W1569"/>
    </x:row>
    <x:row r="1570">
      <x:c r="A1570"/>
      <x:c r="B1570"/>
      <x:c r="C1570"/>
      <x:c r="D1570"/>
      <x:c r="E1570"/>
      <x:c r="F1570"/>
      <x:c r="G1570"/>
      <x:c r="H1570"/>
      <x:c r="I1570"/>
      <x:c r="J1570"/>
      <x:c r="K1570"/>
      <x:c r="L1570"/>
      <x:c r="M1570"/>
      <x:c r="N1570"/>
      <x:c r="O1570"/>
      <x:c r="P1570"/>
      <x:c r="Q1570"/>
      <x:c r="R1570"/>
      <x:c r="S1570"/>
      <x:c r="T1570"/>
      <x:c r="U1570"/>
      <x:c r="V1570"/>
      <x:c r="W1570"/>
    </x:row>
    <x:row r="1571">
      <x:c r="A1571"/>
      <x:c r="B1571"/>
      <x:c r="C1571"/>
      <x:c r="D1571"/>
      <x:c r="E1571"/>
      <x:c r="F1571"/>
      <x:c r="G1571"/>
      <x:c r="H1571"/>
      <x:c r="I1571"/>
      <x:c r="J1571"/>
      <x:c r="K1571"/>
      <x:c r="L1571"/>
      <x:c r="M1571"/>
      <x:c r="N1571"/>
      <x:c r="O1571"/>
      <x:c r="P1571"/>
      <x:c r="Q1571"/>
      <x:c r="R1571"/>
      <x:c r="S1571"/>
      <x:c r="T1571"/>
      <x:c r="U1571"/>
      <x:c r="V1571"/>
      <x:c r="W1571"/>
    </x:row>
    <x:row r="1572">
      <x:c r="A1572"/>
      <x:c r="B1572"/>
      <x:c r="C1572"/>
      <x:c r="D1572"/>
      <x:c r="E1572"/>
      <x:c r="F1572"/>
      <x:c r="G1572"/>
      <x:c r="H1572"/>
      <x:c r="I1572"/>
      <x:c r="J1572"/>
      <x:c r="K1572"/>
      <x:c r="L1572"/>
      <x:c r="M1572"/>
      <x:c r="N1572"/>
      <x:c r="O1572"/>
      <x:c r="P1572"/>
      <x:c r="Q1572"/>
      <x:c r="R1572"/>
      <x:c r="S1572"/>
      <x:c r="T1572"/>
      <x:c r="U1572"/>
      <x:c r="V1572"/>
      <x:c r="W1572"/>
    </x:row>
    <x:row r="1573">
      <x:c r="A1573"/>
      <x:c r="B1573"/>
      <x:c r="C1573"/>
      <x:c r="D1573"/>
      <x:c r="E1573"/>
      <x:c r="F1573"/>
      <x:c r="G1573"/>
      <x:c r="H1573"/>
      <x:c r="I1573"/>
      <x:c r="J1573"/>
      <x:c r="K1573"/>
      <x:c r="L1573"/>
      <x:c r="M1573"/>
      <x:c r="N1573"/>
      <x:c r="O1573"/>
      <x:c r="P1573"/>
      <x:c r="Q1573"/>
      <x:c r="R1573"/>
      <x:c r="S1573"/>
      <x:c r="T1573"/>
      <x:c r="U1573"/>
      <x:c r="V1573"/>
      <x:c r="W1573"/>
    </x:row>
    <x:row r="1574">
      <x:c r="A1574"/>
      <x:c r="B1574"/>
      <x:c r="C1574"/>
      <x:c r="D1574"/>
      <x:c r="E1574"/>
      <x:c r="F1574"/>
      <x:c r="G1574"/>
      <x:c r="H1574"/>
      <x:c r="I1574"/>
      <x:c r="J1574"/>
      <x:c r="K1574"/>
      <x:c r="L1574"/>
      <x:c r="M1574"/>
      <x:c r="N1574"/>
      <x:c r="O1574"/>
      <x:c r="P1574"/>
      <x:c r="Q1574"/>
      <x:c r="R1574"/>
      <x:c r="S1574"/>
      <x:c r="T1574"/>
      <x:c r="U1574"/>
      <x:c r="V1574"/>
      <x:c r="W1574"/>
    </x:row>
    <x:row r="1575">
      <x:c r="A1575"/>
      <x:c r="B1575"/>
      <x:c r="C1575"/>
      <x:c r="D1575"/>
      <x:c r="E1575"/>
      <x:c r="F1575"/>
      <x:c r="G1575"/>
      <x:c r="H1575"/>
      <x:c r="I1575"/>
      <x:c r="J1575"/>
      <x:c r="K1575"/>
      <x:c r="L1575"/>
      <x:c r="M1575"/>
      <x:c r="N1575"/>
      <x:c r="O1575"/>
      <x:c r="P1575"/>
      <x:c r="Q1575"/>
      <x:c r="R1575"/>
      <x:c r="S1575"/>
      <x:c r="T1575"/>
      <x:c r="U1575"/>
      <x:c r="V1575"/>
      <x:c r="W1575"/>
    </x:row>
    <x:row r="1576">
      <x:c r="A1576"/>
      <x:c r="B1576"/>
      <x:c r="C1576"/>
      <x:c r="D1576"/>
      <x:c r="E1576"/>
      <x:c r="F1576"/>
      <x:c r="G1576"/>
      <x:c r="H1576"/>
      <x:c r="I1576"/>
      <x:c r="J1576"/>
      <x:c r="K1576"/>
      <x:c r="L1576"/>
      <x:c r="M1576"/>
      <x:c r="N1576"/>
      <x:c r="O1576"/>
      <x:c r="P1576"/>
      <x:c r="Q1576"/>
      <x:c r="R1576"/>
      <x:c r="S1576"/>
      <x:c r="T1576"/>
      <x:c r="U1576"/>
      <x:c r="V1576"/>
      <x:c r="W1576"/>
    </x:row>
    <x:row r="1577">
      <x:c r="A1577"/>
      <x:c r="B1577"/>
      <x:c r="C1577"/>
      <x:c r="D1577"/>
      <x:c r="E1577"/>
      <x:c r="F1577"/>
      <x:c r="G1577"/>
      <x:c r="H1577"/>
      <x:c r="I1577"/>
      <x:c r="J1577"/>
      <x:c r="K1577"/>
      <x:c r="L1577"/>
      <x:c r="M1577"/>
      <x:c r="N1577"/>
      <x:c r="O1577"/>
      <x:c r="P1577"/>
      <x:c r="Q1577"/>
      <x:c r="R1577"/>
      <x:c r="S1577"/>
      <x:c r="T1577"/>
      <x:c r="U1577"/>
      <x:c r="V1577"/>
      <x:c r="W1577"/>
    </x:row>
    <x:row r="1578">
      <x:c r="A1578"/>
      <x:c r="B1578"/>
      <x:c r="C1578"/>
      <x:c r="D1578"/>
      <x:c r="E1578"/>
      <x:c r="F1578"/>
      <x:c r="G1578"/>
      <x:c r="H1578"/>
      <x:c r="I1578"/>
      <x:c r="J1578"/>
      <x:c r="K1578"/>
      <x:c r="L1578"/>
      <x:c r="M1578"/>
      <x:c r="N1578"/>
      <x:c r="O1578"/>
      <x:c r="P1578"/>
      <x:c r="Q1578"/>
      <x:c r="R1578"/>
      <x:c r="S1578"/>
      <x:c r="T1578"/>
      <x:c r="U1578"/>
      <x:c r="V1578"/>
      <x:c r="W1578"/>
    </x:row>
    <x:row r="1579">
      <x:c r="A1579"/>
      <x:c r="B1579"/>
      <x:c r="C1579"/>
      <x:c r="D1579"/>
      <x:c r="E1579"/>
      <x:c r="F1579"/>
      <x:c r="G1579"/>
      <x:c r="H1579"/>
      <x:c r="I1579"/>
      <x:c r="J1579"/>
      <x:c r="K1579"/>
      <x:c r="L1579"/>
      <x:c r="M1579"/>
      <x:c r="N1579"/>
      <x:c r="O1579"/>
      <x:c r="P1579"/>
      <x:c r="Q1579"/>
      <x:c r="R1579"/>
      <x:c r="S1579"/>
      <x:c r="T1579"/>
      <x:c r="U1579"/>
      <x:c r="V1579"/>
      <x:c r="W1579"/>
    </x:row>
    <x:row r="1580">
      <x:c r="A1580"/>
      <x:c r="B1580"/>
      <x:c r="C1580"/>
      <x:c r="D1580"/>
      <x:c r="E1580"/>
      <x:c r="F1580"/>
      <x:c r="G1580"/>
      <x:c r="H1580"/>
      <x:c r="I1580"/>
      <x:c r="J1580"/>
      <x:c r="K1580"/>
      <x:c r="L1580"/>
      <x:c r="M1580"/>
      <x:c r="N1580"/>
      <x:c r="O1580"/>
      <x:c r="P1580"/>
      <x:c r="Q1580"/>
      <x:c r="R1580"/>
      <x:c r="S1580"/>
      <x:c r="T1580"/>
      <x:c r="U1580"/>
      <x:c r="V1580"/>
      <x:c r="W1580"/>
    </x:row>
    <x:row r="1581">
      <x:c r="A1581"/>
      <x:c r="B1581"/>
      <x:c r="C1581"/>
      <x:c r="D1581"/>
      <x:c r="E1581"/>
      <x:c r="F1581"/>
      <x:c r="G1581"/>
      <x:c r="H1581"/>
      <x:c r="I1581"/>
      <x:c r="J1581"/>
      <x:c r="K1581"/>
      <x:c r="L1581"/>
      <x:c r="M1581"/>
      <x:c r="N1581"/>
      <x:c r="O1581"/>
      <x:c r="P1581"/>
      <x:c r="Q1581"/>
      <x:c r="R1581"/>
      <x:c r="S1581"/>
      <x:c r="T1581"/>
      <x:c r="U1581"/>
      <x:c r="V1581"/>
      <x:c r="W1581"/>
    </x:row>
    <x:row r="1582">
      <x:c r="A1582"/>
      <x:c r="B1582"/>
      <x:c r="C1582"/>
      <x:c r="D1582"/>
      <x:c r="E1582"/>
      <x:c r="F1582"/>
      <x:c r="G1582"/>
      <x:c r="H1582"/>
      <x:c r="I1582"/>
      <x:c r="J1582"/>
      <x:c r="K1582"/>
      <x:c r="L1582"/>
      <x:c r="M1582"/>
      <x:c r="N1582"/>
      <x:c r="O1582"/>
      <x:c r="P1582"/>
      <x:c r="Q1582"/>
      <x:c r="R1582"/>
      <x:c r="S1582"/>
      <x:c r="T1582"/>
      <x:c r="U1582"/>
      <x:c r="V1582"/>
      <x:c r="W1582"/>
    </x:row>
    <x:row r="1583">
      <x:c r="A1583"/>
      <x:c r="B1583"/>
      <x:c r="C1583"/>
      <x:c r="D1583"/>
      <x:c r="E1583"/>
      <x:c r="F1583"/>
      <x:c r="G1583"/>
      <x:c r="H1583"/>
      <x:c r="I1583"/>
      <x:c r="J1583"/>
      <x:c r="K1583"/>
      <x:c r="L1583"/>
      <x:c r="M1583"/>
      <x:c r="N1583"/>
      <x:c r="O1583"/>
      <x:c r="P1583"/>
      <x:c r="Q1583"/>
      <x:c r="R1583"/>
      <x:c r="S1583"/>
      <x:c r="T1583"/>
      <x:c r="U1583"/>
      <x:c r="V1583"/>
      <x:c r="W1583"/>
    </x:row>
    <x:row r="1584">
      <x:c r="A1584"/>
      <x:c r="B1584"/>
      <x:c r="C1584"/>
      <x:c r="D1584"/>
      <x:c r="E1584"/>
      <x:c r="F1584"/>
      <x:c r="G1584"/>
      <x:c r="H1584"/>
      <x:c r="I1584"/>
      <x:c r="J1584"/>
      <x:c r="K1584"/>
      <x:c r="L1584"/>
      <x:c r="M1584"/>
      <x:c r="N1584"/>
      <x:c r="O1584"/>
      <x:c r="P1584"/>
      <x:c r="Q1584"/>
      <x:c r="R1584"/>
      <x:c r="S1584"/>
      <x:c r="T1584"/>
      <x:c r="U1584"/>
      <x:c r="V1584"/>
      <x:c r="W1584"/>
    </x:row>
    <x:row r="1585">
      <x:c r="A1585"/>
      <x:c r="B1585"/>
      <x:c r="C1585"/>
      <x:c r="D1585"/>
      <x:c r="E1585"/>
      <x:c r="F1585"/>
      <x:c r="G1585"/>
      <x:c r="H1585"/>
      <x:c r="I1585"/>
      <x:c r="J1585"/>
      <x:c r="K1585"/>
      <x:c r="L1585"/>
      <x:c r="M1585"/>
      <x:c r="N1585"/>
      <x:c r="O1585"/>
      <x:c r="P1585"/>
      <x:c r="Q1585"/>
      <x:c r="R1585"/>
      <x:c r="S1585"/>
      <x:c r="T1585"/>
      <x:c r="U1585"/>
      <x:c r="V1585"/>
      <x:c r="W1585"/>
    </x:row>
    <x:row r="1586">
      <x:c r="A1586"/>
      <x:c r="B1586"/>
      <x:c r="C1586"/>
      <x:c r="D1586"/>
      <x:c r="E1586"/>
      <x:c r="F1586"/>
      <x:c r="G1586"/>
      <x:c r="H1586"/>
      <x:c r="I1586"/>
      <x:c r="J1586"/>
      <x:c r="K1586"/>
      <x:c r="L1586"/>
      <x:c r="M1586"/>
      <x:c r="N1586"/>
      <x:c r="O1586"/>
      <x:c r="P1586"/>
      <x:c r="Q1586"/>
      <x:c r="R1586"/>
      <x:c r="S1586"/>
      <x:c r="T1586"/>
      <x:c r="U1586"/>
      <x:c r="V1586"/>
      <x:c r="W1586"/>
    </x:row>
    <x:row r="1587">
      <x:c r="A1587"/>
      <x:c r="B1587"/>
      <x:c r="C1587"/>
      <x:c r="D1587"/>
      <x:c r="E1587"/>
      <x:c r="F1587"/>
      <x:c r="G1587"/>
      <x:c r="H1587"/>
      <x:c r="I1587"/>
      <x:c r="J1587"/>
      <x:c r="K1587"/>
      <x:c r="L1587"/>
      <x:c r="M1587"/>
      <x:c r="N1587"/>
      <x:c r="O1587"/>
      <x:c r="P1587"/>
      <x:c r="Q1587"/>
      <x:c r="R1587"/>
      <x:c r="S1587"/>
      <x:c r="T1587"/>
      <x:c r="U1587"/>
      <x:c r="V1587"/>
      <x:c r="W1587"/>
    </x:row>
    <x:row r="1588">
      <x:c r="A1588"/>
      <x:c r="B1588"/>
      <x:c r="C1588"/>
      <x:c r="D1588"/>
      <x:c r="E1588"/>
      <x:c r="F1588"/>
      <x:c r="G1588"/>
      <x:c r="H1588"/>
      <x:c r="I1588"/>
      <x:c r="J1588"/>
      <x:c r="K1588"/>
      <x:c r="L1588"/>
      <x:c r="M1588"/>
      <x:c r="N1588"/>
      <x:c r="O1588"/>
      <x:c r="P1588"/>
      <x:c r="Q1588"/>
      <x:c r="R1588"/>
      <x:c r="S1588"/>
      <x:c r="T1588"/>
      <x:c r="U1588"/>
      <x:c r="V1588"/>
      <x:c r="W1588"/>
    </x:row>
    <x:row r="1589">
      <x:c r="A1589"/>
      <x:c r="B1589"/>
      <x:c r="C1589"/>
      <x:c r="D1589"/>
      <x:c r="E1589"/>
      <x:c r="F1589"/>
      <x:c r="G1589"/>
      <x:c r="H1589"/>
      <x:c r="I1589"/>
      <x:c r="J1589"/>
      <x:c r="K1589"/>
      <x:c r="L1589"/>
      <x:c r="M1589"/>
      <x:c r="N1589"/>
      <x:c r="O1589"/>
      <x:c r="P1589"/>
      <x:c r="Q1589"/>
      <x:c r="R1589"/>
      <x:c r="S1589"/>
      <x:c r="T1589"/>
      <x:c r="U1589"/>
      <x:c r="V1589"/>
      <x:c r="W1589"/>
    </x:row>
    <x:row r="1590">
      <x:c r="A1590"/>
      <x:c r="B1590"/>
      <x:c r="C1590"/>
      <x:c r="D1590"/>
      <x:c r="E1590"/>
      <x:c r="F1590"/>
      <x:c r="G1590"/>
      <x:c r="H1590"/>
      <x:c r="I1590"/>
      <x:c r="J1590"/>
      <x:c r="K1590"/>
      <x:c r="L1590"/>
      <x:c r="M1590"/>
      <x:c r="N1590"/>
      <x:c r="O1590"/>
      <x:c r="P1590"/>
      <x:c r="Q1590"/>
      <x:c r="R1590"/>
      <x:c r="S1590"/>
      <x:c r="T1590"/>
      <x:c r="U1590"/>
      <x:c r="V1590"/>
      <x:c r="W1590"/>
    </x:row>
    <x:row r="1591">
      <x:c r="A1591"/>
      <x:c r="B1591"/>
      <x:c r="C1591"/>
      <x:c r="D1591"/>
      <x:c r="E1591"/>
      <x:c r="F1591"/>
      <x:c r="G1591"/>
      <x:c r="H1591"/>
      <x:c r="I1591"/>
      <x:c r="J1591"/>
      <x:c r="K1591"/>
      <x:c r="L1591"/>
      <x:c r="M1591"/>
      <x:c r="N1591"/>
      <x:c r="O1591"/>
      <x:c r="P1591"/>
      <x:c r="Q1591"/>
      <x:c r="R1591"/>
      <x:c r="S1591"/>
      <x:c r="T1591"/>
      <x:c r="U1591"/>
      <x:c r="V1591"/>
      <x:c r="W1591"/>
    </x:row>
    <x:row r="1592">
      <x:c r="A1592"/>
      <x:c r="B1592"/>
      <x:c r="C1592"/>
      <x:c r="D1592"/>
      <x:c r="E1592"/>
      <x:c r="F1592"/>
      <x:c r="G1592"/>
      <x:c r="H1592"/>
      <x:c r="I1592"/>
      <x:c r="J1592"/>
      <x:c r="K1592"/>
      <x:c r="L1592"/>
      <x:c r="M1592"/>
      <x:c r="N1592"/>
      <x:c r="O1592"/>
      <x:c r="P1592"/>
      <x:c r="Q1592"/>
      <x:c r="R1592"/>
      <x:c r="S1592"/>
      <x:c r="T1592"/>
      <x:c r="U1592"/>
      <x:c r="V1592"/>
      <x:c r="W1592"/>
    </x:row>
    <x:row r="1593">
      <x:c r="A1593"/>
      <x:c r="B1593"/>
      <x:c r="C1593"/>
      <x:c r="D1593"/>
      <x:c r="E1593"/>
      <x:c r="F1593"/>
      <x:c r="G1593"/>
      <x:c r="H1593"/>
      <x:c r="I1593"/>
      <x:c r="J1593"/>
      <x:c r="K1593"/>
      <x:c r="L1593"/>
      <x:c r="M1593"/>
      <x:c r="N1593"/>
      <x:c r="O1593"/>
      <x:c r="P1593"/>
      <x:c r="Q1593"/>
      <x:c r="R1593"/>
      <x:c r="S1593"/>
      <x:c r="T1593"/>
      <x:c r="U1593"/>
      <x:c r="V1593"/>
      <x:c r="W1593"/>
    </x:row>
    <x:row r="1594">
      <x:c r="A1594"/>
      <x:c r="B1594"/>
      <x:c r="C1594"/>
      <x:c r="D1594"/>
      <x:c r="E1594"/>
      <x:c r="F1594"/>
      <x:c r="G1594"/>
      <x:c r="H1594"/>
      <x:c r="I1594"/>
      <x:c r="J1594"/>
      <x:c r="K1594"/>
      <x:c r="L1594"/>
      <x:c r="M1594"/>
      <x:c r="N1594"/>
      <x:c r="O1594"/>
      <x:c r="P1594"/>
      <x:c r="Q1594"/>
      <x:c r="R1594"/>
      <x:c r="S1594"/>
      <x:c r="T1594"/>
      <x:c r="U1594"/>
      <x:c r="V1594"/>
      <x:c r="W1594"/>
    </x:row>
    <x:row r="1595">
      <x:c r="A1595"/>
      <x:c r="B1595"/>
      <x:c r="C1595"/>
      <x:c r="D1595"/>
      <x:c r="E1595"/>
      <x:c r="F1595"/>
      <x:c r="G1595"/>
      <x:c r="H1595"/>
      <x:c r="I1595"/>
      <x:c r="J1595"/>
      <x:c r="K1595"/>
      <x:c r="L1595"/>
      <x:c r="M1595"/>
      <x:c r="N1595"/>
      <x:c r="O1595"/>
      <x:c r="P1595"/>
      <x:c r="Q1595"/>
      <x:c r="R1595"/>
      <x:c r="S1595"/>
      <x:c r="T1595"/>
      <x:c r="U1595"/>
      <x:c r="V1595"/>
      <x:c r="W1595"/>
    </x:row>
    <x:row r="1596">
      <x:c r="A1596"/>
      <x:c r="B1596"/>
      <x:c r="C1596"/>
      <x:c r="D1596"/>
      <x:c r="E1596"/>
      <x:c r="F1596"/>
      <x:c r="G1596"/>
      <x:c r="H1596"/>
      <x:c r="I1596"/>
      <x:c r="J1596"/>
      <x:c r="K1596"/>
      <x:c r="L1596"/>
      <x:c r="M1596"/>
      <x:c r="N1596"/>
      <x:c r="O1596"/>
      <x:c r="P1596"/>
      <x:c r="Q1596"/>
      <x:c r="R1596"/>
      <x:c r="S1596"/>
      <x:c r="T1596"/>
      <x:c r="U1596"/>
      <x:c r="V1596"/>
      <x:c r="W1596"/>
    </x:row>
    <x:row r="1597">
      <x:c r="A1597"/>
      <x:c r="B1597"/>
      <x:c r="C1597"/>
      <x:c r="D1597"/>
      <x:c r="E1597"/>
      <x:c r="F1597"/>
      <x:c r="G1597"/>
      <x:c r="H1597"/>
      <x:c r="I1597"/>
      <x:c r="J1597"/>
      <x:c r="K1597"/>
      <x:c r="L1597"/>
      <x:c r="M1597"/>
      <x:c r="N1597"/>
      <x:c r="O1597"/>
      <x:c r="P1597"/>
      <x:c r="Q1597"/>
      <x:c r="R1597"/>
      <x:c r="S1597"/>
      <x:c r="T1597"/>
      <x:c r="U1597"/>
      <x:c r="V1597"/>
      <x:c r="W1597"/>
    </x:row>
    <x:row r="1598">
      <x:c r="A1598"/>
      <x:c r="B1598"/>
      <x:c r="C1598"/>
      <x:c r="D1598"/>
      <x:c r="E1598"/>
      <x:c r="F1598"/>
      <x:c r="G1598"/>
      <x:c r="H1598"/>
      <x:c r="I1598"/>
      <x:c r="J1598"/>
      <x:c r="K1598"/>
      <x:c r="L1598"/>
      <x:c r="M1598"/>
      <x:c r="N1598"/>
      <x:c r="O1598"/>
      <x:c r="P1598"/>
      <x:c r="Q1598"/>
      <x:c r="R1598"/>
      <x:c r="S1598"/>
      <x:c r="T1598"/>
      <x:c r="U1598"/>
      <x:c r="V1598"/>
      <x:c r="W1598"/>
    </x:row>
    <x:row r="1599">
      <x:c r="A1599"/>
      <x:c r="B1599"/>
      <x:c r="C1599"/>
      <x:c r="D1599"/>
      <x:c r="E1599"/>
      <x:c r="F1599"/>
      <x:c r="G1599"/>
      <x:c r="H1599"/>
      <x:c r="I1599"/>
      <x:c r="J1599"/>
      <x:c r="K1599"/>
      <x:c r="L1599"/>
      <x:c r="M1599"/>
      <x:c r="N1599"/>
      <x:c r="O1599"/>
      <x:c r="P1599"/>
      <x:c r="Q1599"/>
      <x:c r="R1599"/>
      <x:c r="S1599"/>
      <x:c r="T1599"/>
      <x:c r="U1599"/>
      <x:c r="V1599"/>
      <x:c r="W1599"/>
    </x:row>
    <x:row r="1600">
      <x:c r="A1600"/>
      <x:c r="B1600"/>
      <x:c r="C1600"/>
      <x:c r="D1600"/>
      <x:c r="E1600"/>
      <x:c r="F1600"/>
      <x:c r="G1600"/>
      <x:c r="H1600"/>
      <x:c r="I1600"/>
      <x:c r="J1600"/>
      <x:c r="K1600"/>
      <x:c r="L1600"/>
      <x:c r="M1600"/>
      <x:c r="N1600"/>
      <x:c r="O1600"/>
      <x:c r="P1600"/>
      <x:c r="Q1600"/>
      <x:c r="R1600"/>
      <x:c r="S1600"/>
      <x:c r="T1600"/>
      <x:c r="U1600"/>
      <x:c r="V1600"/>
      <x:c r="W1600"/>
    </x:row>
    <x:row r="1601">
      <x:c r="A1601"/>
      <x:c r="B1601"/>
      <x:c r="C1601"/>
      <x:c r="D1601"/>
      <x:c r="E1601"/>
      <x:c r="F1601"/>
      <x:c r="G1601"/>
      <x:c r="H1601"/>
      <x:c r="I1601"/>
      <x:c r="J1601"/>
      <x:c r="K1601"/>
      <x:c r="L1601"/>
      <x:c r="M1601"/>
      <x:c r="N1601"/>
      <x:c r="O1601"/>
      <x:c r="P1601"/>
      <x:c r="Q1601"/>
      <x:c r="R1601"/>
      <x:c r="S1601"/>
      <x:c r="T1601"/>
      <x:c r="U1601"/>
      <x:c r="V1601"/>
      <x:c r="W1601"/>
    </x:row>
    <x:row r="1602">
      <x:c r="A1602"/>
      <x:c r="B1602"/>
      <x:c r="C1602"/>
      <x:c r="D1602"/>
      <x:c r="E1602"/>
      <x:c r="F1602"/>
      <x:c r="G1602"/>
      <x:c r="H1602"/>
      <x:c r="I1602"/>
      <x:c r="J1602"/>
      <x:c r="K1602"/>
      <x:c r="L1602"/>
      <x:c r="M1602"/>
      <x:c r="N1602"/>
      <x:c r="O1602"/>
      <x:c r="P1602"/>
      <x:c r="Q1602"/>
      <x:c r="R1602"/>
      <x:c r="S1602"/>
      <x:c r="T1602"/>
      <x:c r="U1602"/>
      <x:c r="V1602"/>
      <x:c r="W1602"/>
    </x:row>
    <x:row r="1603">
      <x:c r="A1603"/>
      <x:c r="B1603"/>
      <x:c r="C1603"/>
      <x:c r="D1603"/>
      <x:c r="E1603"/>
      <x:c r="F1603"/>
      <x:c r="G1603"/>
      <x:c r="H1603"/>
      <x:c r="I1603"/>
      <x:c r="J1603"/>
      <x:c r="K1603"/>
      <x:c r="L1603"/>
      <x:c r="M1603"/>
      <x:c r="N1603"/>
      <x:c r="O1603"/>
      <x:c r="P1603"/>
      <x:c r="Q1603"/>
      <x:c r="R1603"/>
      <x:c r="S1603"/>
      <x:c r="T1603"/>
      <x:c r="U1603"/>
      <x:c r="V1603"/>
      <x:c r="W1603"/>
    </x:row>
    <x:row r="1604">
      <x:c r="A1604"/>
      <x:c r="B1604"/>
      <x:c r="C1604"/>
      <x:c r="D1604"/>
      <x:c r="E1604"/>
      <x:c r="F1604"/>
      <x:c r="G1604"/>
      <x:c r="H1604"/>
      <x:c r="I1604"/>
      <x:c r="J1604"/>
      <x:c r="K1604"/>
      <x:c r="L1604"/>
      <x:c r="M1604"/>
      <x:c r="N1604"/>
      <x:c r="O1604"/>
      <x:c r="P1604"/>
      <x:c r="Q1604"/>
      <x:c r="R1604"/>
      <x:c r="S1604"/>
      <x:c r="T1604"/>
      <x:c r="U1604"/>
      <x:c r="V1604"/>
      <x:c r="W1604"/>
    </x:row>
    <x:row r="1605">
      <x:c r="A1605"/>
      <x:c r="B1605"/>
      <x:c r="C1605"/>
      <x:c r="D1605"/>
      <x:c r="E1605"/>
      <x:c r="F1605"/>
      <x:c r="G1605"/>
      <x:c r="H1605"/>
      <x:c r="I1605"/>
      <x:c r="J1605"/>
      <x:c r="K1605"/>
      <x:c r="L1605"/>
      <x:c r="M1605"/>
      <x:c r="N1605"/>
      <x:c r="O1605"/>
      <x:c r="P1605"/>
      <x:c r="Q1605"/>
      <x:c r="R1605"/>
      <x:c r="S1605"/>
      <x:c r="T1605"/>
      <x:c r="U1605"/>
      <x:c r="V1605"/>
      <x:c r="W1605"/>
    </x:row>
    <x:row r="1606">
      <x:c r="A1606"/>
      <x:c r="B1606"/>
      <x:c r="C1606"/>
      <x:c r="D1606"/>
      <x:c r="E1606"/>
      <x:c r="F1606"/>
      <x:c r="G1606"/>
      <x:c r="H1606"/>
      <x:c r="I1606"/>
      <x:c r="J1606"/>
      <x:c r="K1606"/>
      <x:c r="L1606"/>
      <x:c r="M1606"/>
      <x:c r="N1606"/>
      <x:c r="O1606"/>
      <x:c r="P1606"/>
      <x:c r="Q1606"/>
      <x:c r="R1606"/>
      <x:c r="S1606"/>
      <x:c r="T1606"/>
      <x:c r="U1606"/>
      <x:c r="V1606"/>
      <x:c r="W1606"/>
    </x:row>
    <x:row r="1607">
      <x:c r="A1607"/>
      <x:c r="B1607"/>
      <x:c r="C1607"/>
      <x:c r="D1607"/>
      <x:c r="E1607"/>
      <x:c r="F1607"/>
      <x:c r="G1607"/>
      <x:c r="H1607"/>
      <x:c r="I1607"/>
      <x:c r="J1607"/>
      <x:c r="K1607"/>
      <x:c r="L1607"/>
      <x:c r="M1607"/>
      <x:c r="N1607"/>
      <x:c r="O1607"/>
      <x:c r="P1607"/>
      <x:c r="Q1607"/>
      <x:c r="R1607"/>
      <x:c r="S1607"/>
      <x:c r="T1607"/>
      <x:c r="U1607"/>
      <x:c r="V1607"/>
      <x:c r="W1607"/>
    </x:row>
    <x:row r="1608">
      <x:c r="A1608"/>
      <x:c r="B1608"/>
      <x:c r="C1608"/>
      <x:c r="D1608"/>
      <x:c r="E1608"/>
      <x:c r="F1608"/>
      <x:c r="G1608"/>
      <x:c r="H1608"/>
      <x:c r="I1608"/>
      <x:c r="J1608"/>
      <x:c r="K1608"/>
      <x:c r="L1608"/>
      <x:c r="M1608"/>
      <x:c r="N1608"/>
      <x:c r="O1608"/>
      <x:c r="P1608"/>
      <x:c r="Q1608"/>
      <x:c r="R1608"/>
      <x:c r="S1608"/>
      <x:c r="T1608"/>
      <x:c r="U1608"/>
      <x:c r="V1608"/>
      <x:c r="W1608"/>
    </x:row>
    <x:row r="1609">
      <x:c r="A1609"/>
      <x:c r="B1609"/>
      <x:c r="C1609"/>
      <x:c r="D1609"/>
      <x:c r="E1609"/>
      <x:c r="F1609"/>
      <x:c r="G1609"/>
      <x:c r="H1609"/>
      <x:c r="I1609"/>
      <x:c r="J1609"/>
      <x:c r="K1609"/>
      <x:c r="L1609"/>
      <x:c r="M1609"/>
      <x:c r="N1609"/>
      <x:c r="O1609"/>
      <x:c r="P1609"/>
      <x:c r="Q1609"/>
      <x:c r="R1609"/>
      <x:c r="S1609"/>
      <x:c r="T1609"/>
      <x:c r="U1609"/>
      <x:c r="V1609"/>
      <x:c r="W1609"/>
    </x:row>
    <x:row r="1610">
      <x:c r="A1610"/>
      <x:c r="B1610"/>
      <x:c r="C1610"/>
      <x:c r="D1610"/>
      <x:c r="E1610"/>
      <x:c r="F1610"/>
      <x:c r="G1610"/>
      <x:c r="H1610"/>
      <x:c r="I1610"/>
      <x:c r="J1610"/>
      <x:c r="K1610"/>
      <x:c r="L1610"/>
      <x:c r="M1610"/>
      <x:c r="N1610"/>
      <x:c r="O1610"/>
      <x:c r="P1610"/>
      <x:c r="Q1610"/>
      <x:c r="R1610"/>
      <x:c r="S1610"/>
      <x:c r="T1610"/>
      <x:c r="U1610"/>
      <x:c r="V1610"/>
      <x:c r="W1610"/>
    </x:row>
    <x:row r="1611">
      <x:c r="A1611"/>
      <x:c r="B1611"/>
      <x:c r="C1611"/>
      <x:c r="D1611"/>
      <x:c r="E1611"/>
      <x:c r="F1611"/>
      <x:c r="G1611"/>
      <x:c r="H1611"/>
      <x:c r="I1611"/>
      <x:c r="J1611"/>
      <x:c r="K1611"/>
      <x:c r="L1611"/>
      <x:c r="M1611"/>
      <x:c r="N1611"/>
      <x:c r="O1611"/>
      <x:c r="P1611"/>
      <x:c r="Q1611"/>
      <x:c r="R1611"/>
      <x:c r="S1611"/>
      <x:c r="T1611"/>
      <x:c r="U1611"/>
      <x:c r="V1611"/>
      <x:c r="W1611"/>
    </x:row>
    <x:row r="1612">
      <x:c r="A1612"/>
      <x:c r="B1612"/>
      <x:c r="C1612"/>
      <x:c r="D1612"/>
      <x:c r="E1612"/>
      <x:c r="F1612"/>
      <x:c r="G1612"/>
      <x:c r="H1612"/>
      <x:c r="I1612"/>
      <x:c r="J1612"/>
      <x:c r="K1612"/>
      <x:c r="L1612"/>
      <x:c r="M1612"/>
      <x:c r="N1612"/>
      <x:c r="O1612"/>
      <x:c r="P1612"/>
      <x:c r="Q1612"/>
      <x:c r="R1612"/>
      <x:c r="S1612"/>
      <x:c r="T1612"/>
      <x:c r="U1612"/>
      <x:c r="V1612"/>
      <x:c r="W1612"/>
    </x:row>
    <x:row r="1613">
      <x:c r="A1613"/>
      <x:c r="B1613"/>
      <x:c r="C1613"/>
      <x:c r="D1613"/>
      <x:c r="E1613"/>
      <x:c r="F1613"/>
      <x:c r="G1613"/>
      <x:c r="H1613"/>
      <x:c r="I1613"/>
      <x:c r="J1613"/>
      <x:c r="K1613"/>
      <x:c r="L1613"/>
      <x:c r="M1613"/>
      <x:c r="N1613"/>
      <x:c r="O1613"/>
      <x:c r="P1613"/>
      <x:c r="Q1613"/>
      <x:c r="R1613"/>
      <x:c r="S1613"/>
      <x:c r="T1613"/>
      <x:c r="U1613"/>
      <x:c r="V1613"/>
      <x:c r="W1613"/>
    </x:row>
    <x:row r="1614">
      <x:c r="A1614"/>
      <x:c r="B1614"/>
      <x:c r="C1614"/>
      <x:c r="D1614"/>
      <x:c r="E1614"/>
      <x:c r="F1614"/>
      <x:c r="G1614"/>
      <x:c r="H1614"/>
      <x:c r="I1614"/>
      <x:c r="J1614"/>
      <x:c r="K1614"/>
      <x:c r="L1614"/>
      <x:c r="M1614"/>
      <x:c r="N1614"/>
      <x:c r="O1614"/>
      <x:c r="P1614"/>
      <x:c r="Q1614"/>
      <x:c r="R1614"/>
      <x:c r="S1614"/>
      <x:c r="T1614"/>
      <x:c r="U1614"/>
      <x:c r="V1614"/>
      <x:c r="W1614"/>
    </x:row>
    <x:row r="1615">
      <x:c r="A1615"/>
      <x:c r="B1615"/>
      <x:c r="C1615"/>
      <x:c r="D1615"/>
      <x:c r="E1615"/>
      <x:c r="F1615"/>
      <x:c r="G1615"/>
      <x:c r="H1615"/>
      <x:c r="I1615"/>
      <x:c r="J1615"/>
      <x:c r="K1615"/>
      <x:c r="L1615"/>
      <x:c r="M1615"/>
      <x:c r="N1615"/>
      <x:c r="O1615"/>
      <x:c r="P1615"/>
      <x:c r="Q1615"/>
      <x:c r="R1615"/>
      <x:c r="S1615"/>
      <x:c r="T1615"/>
      <x:c r="U1615"/>
      <x:c r="V1615"/>
      <x:c r="W1615"/>
    </x:row>
    <x:row r="1616">
      <x:c r="A1616"/>
      <x:c r="B1616"/>
      <x:c r="C1616"/>
      <x:c r="D1616"/>
      <x:c r="E1616"/>
      <x:c r="F1616"/>
      <x:c r="G1616"/>
      <x:c r="H1616"/>
      <x:c r="I1616"/>
      <x:c r="J1616"/>
      <x:c r="K1616"/>
      <x:c r="L1616"/>
      <x:c r="M1616"/>
      <x:c r="N1616"/>
      <x:c r="O1616"/>
      <x:c r="P1616"/>
      <x:c r="Q1616"/>
      <x:c r="R1616"/>
      <x:c r="S1616"/>
      <x:c r="T1616"/>
      <x:c r="U1616"/>
      <x:c r="V1616"/>
      <x:c r="W1616"/>
    </x:row>
    <x:row r="1617">
      <x:c r="A1617"/>
      <x:c r="B1617"/>
      <x:c r="C1617"/>
      <x:c r="D1617"/>
      <x:c r="E1617"/>
      <x:c r="F1617"/>
      <x:c r="G1617"/>
      <x:c r="H1617"/>
      <x:c r="I1617"/>
      <x:c r="J1617"/>
      <x:c r="K1617"/>
      <x:c r="L1617"/>
      <x:c r="M1617"/>
      <x:c r="N1617"/>
      <x:c r="O1617"/>
      <x:c r="P1617"/>
      <x:c r="Q1617"/>
      <x:c r="R1617"/>
      <x:c r="S1617"/>
      <x:c r="T1617"/>
      <x:c r="U1617"/>
      <x:c r="V1617"/>
      <x:c r="W1617"/>
    </x:row>
    <x:row r="1618">
      <x:c r="A1618"/>
      <x:c r="B1618"/>
      <x:c r="C1618"/>
      <x:c r="D1618"/>
      <x:c r="E1618"/>
      <x:c r="F1618"/>
      <x:c r="G1618"/>
      <x:c r="H1618"/>
      <x:c r="I1618"/>
      <x:c r="J1618"/>
      <x:c r="K1618"/>
      <x:c r="L1618"/>
      <x:c r="M1618"/>
      <x:c r="N1618"/>
      <x:c r="O1618"/>
      <x:c r="P1618"/>
      <x:c r="Q1618"/>
      <x:c r="R1618"/>
      <x:c r="S1618"/>
      <x:c r="T1618"/>
      <x:c r="U1618"/>
      <x:c r="V1618"/>
      <x:c r="W1618"/>
    </x:row>
    <x:row r="1619">
      <x:c r="A1619"/>
      <x:c r="B1619"/>
      <x:c r="C1619"/>
      <x:c r="D1619"/>
      <x:c r="E1619"/>
      <x:c r="F1619"/>
      <x:c r="G1619"/>
      <x:c r="H1619"/>
      <x:c r="I1619"/>
      <x:c r="J1619"/>
      <x:c r="K1619"/>
      <x:c r="L1619"/>
      <x:c r="M1619"/>
      <x:c r="N1619"/>
      <x:c r="O1619"/>
      <x:c r="P1619"/>
      <x:c r="Q1619"/>
      <x:c r="R1619"/>
      <x:c r="S1619"/>
      <x:c r="T1619"/>
      <x:c r="U1619"/>
      <x:c r="V1619"/>
      <x:c r="W1619"/>
    </x:row>
    <x:row r="1620">
      <x:c r="A1620"/>
      <x:c r="B1620"/>
      <x:c r="C1620"/>
      <x:c r="D1620"/>
      <x:c r="E1620"/>
      <x:c r="F1620"/>
      <x:c r="G1620"/>
      <x:c r="H1620"/>
      <x:c r="I1620"/>
      <x:c r="J1620"/>
      <x:c r="K1620"/>
      <x:c r="L1620"/>
      <x:c r="M1620"/>
      <x:c r="N1620"/>
      <x:c r="O1620"/>
      <x:c r="P1620"/>
      <x:c r="Q1620"/>
      <x:c r="R1620"/>
      <x:c r="S1620"/>
      <x:c r="T1620"/>
      <x:c r="U1620"/>
      <x:c r="V1620"/>
      <x:c r="W1620"/>
    </x:row>
    <x:row r="1621">
      <x:c r="A1621"/>
      <x:c r="B1621"/>
      <x:c r="C1621"/>
      <x:c r="D1621"/>
      <x:c r="E1621"/>
      <x:c r="F1621"/>
      <x:c r="G1621"/>
      <x:c r="H1621"/>
      <x:c r="I1621"/>
      <x:c r="J1621"/>
      <x:c r="K1621"/>
      <x:c r="L1621"/>
      <x:c r="M1621"/>
      <x:c r="N1621"/>
      <x:c r="O1621"/>
      <x:c r="P1621"/>
      <x:c r="Q1621"/>
      <x:c r="R1621"/>
      <x:c r="S1621"/>
      <x:c r="T1621"/>
      <x:c r="U1621"/>
      <x:c r="V1621"/>
      <x:c r="W1621"/>
    </x:row>
    <x:row r="1622">
      <x:c r="A1622"/>
      <x:c r="B1622"/>
      <x:c r="C1622"/>
      <x:c r="D1622"/>
      <x:c r="E1622"/>
      <x:c r="F1622"/>
      <x:c r="G1622"/>
      <x:c r="H1622"/>
      <x:c r="I1622"/>
      <x:c r="J1622"/>
      <x:c r="K1622"/>
      <x:c r="L1622"/>
      <x:c r="M1622"/>
      <x:c r="N1622"/>
      <x:c r="O1622"/>
      <x:c r="P1622"/>
      <x:c r="Q1622"/>
      <x:c r="R1622"/>
      <x:c r="S1622"/>
      <x:c r="T1622"/>
      <x:c r="U1622"/>
      <x:c r="V1622"/>
      <x:c r="W1622"/>
    </x:row>
    <x:row r="1623">
      <x:c r="A1623"/>
      <x:c r="B1623"/>
      <x:c r="C1623"/>
      <x:c r="D1623"/>
      <x:c r="E1623"/>
      <x:c r="F1623"/>
      <x:c r="G1623"/>
      <x:c r="H1623"/>
      <x:c r="I1623"/>
      <x:c r="J1623"/>
      <x:c r="K1623"/>
      <x:c r="L1623"/>
      <x:c r="M1623"/>
      <x:c r="N1623"/>
      <x:c r="O1623"/>
      <x:c r="P1623"/>
      <x:c r="Q1623"/>
      <x:c r="R1623"/>
      <x:c r="S1623"/>
      <x:c r="T1623"/>
      <x:c r="U1623"/>
      <x:c r="V1623"/>
      <x:c r="W1623"/>
    </x:row>
    <x:row r="1624">
      <x:c r="A1624"/>
      <x:c r="B1624"/>
      <x:c r="C1624"/>
      <x:c r="D1624"/>
      <x:c r="E1624"/>
      <x:c r="F1624"/>
      <x:c r="G1624"/>
      <x:c r="H1624"/>
      <x:c r="I1624"/>
      <x:c r="J1624"/>
      <x:c r="K1624"/>
      <x:c r="L1624"/>
      <x:c r="M1624"/>
      <x:c r="N1624"/>
      <x:c r="O1624"/>
      <x:c r="P1624"/>
      <x:c r="Q1624"/>
      <x:c r="R1624"/>
      <x:c r="S1624"/>
      <x:c r="T1624"/>
      <x:c r="U1624"/>
      <x:c r="V1624"/>
      <x:c r="W1624"/>
    </x:row>
    <x:row r="1625">
      <x:c r="A1625"/>
      <x:c r="B1625"/>
      <x:c r="C1625"/>
      <x:c r="D1625"/>
      <x:c r="E1625"/>
      <x:c r="F1625"/>
      <x:c r="G1625"/>
      <x:c r="H1625"/>
      <x:c r="I1625"/>
      <x:c r="J1625"/>
      <x:c r="K1625"/>
      <x:c r="L1625"/>
      <x:c r="M1625"/>
      <x:c r="N1625"/>
      <x:c r="O1625"/>
      <x:c r="P1625"/>
      <x:c r="Q1625"/>
      <x:c r="R1625"/>
      <x:c r="S1625"/>
      <x:c r="T1625"/>
      <x:c r="U1625"/>
      <x:c r="V1625"/>
      <x:c r="W1625"/>
    </x:row>
    <x:row r="1626">
      <x:c r="A1626"/>
      <x:c r="B1626"/>
      <x:c r="C1626"/>
      <x:c r="D1626"/>
      <x:c r="E1626"/>
      <x:c r="F1626"/>
      <x:c r="G1626"/>
      <x:c r="H1626"/>
      <x:c r="I1626"/>
      <x:c r="J1626"/>
      <x:c r="K1626"/>
      <x:c r="L1626"/>
      <x:c r="M1626"/>
      <x:c r="N1626"/>
      <x:c r="O1626"/>
      <x:c r="P1626"/>
      <x:c r="Q1626"/>
      <x:c r="R1626"/>
      <x:c r="S1626"/>
      <x:c r="T1626"/>
      <x:c r="U1626"/>
      <x:c r="V1626"/>
      <x:c r="W1626"/>
    </x:row>
    <x:row r="1627">
      <x:c r="A1627"/>
      <x:c r="B1627"/>
      <x:c r="C1627"/>
      <x:c r="D1627"/>
      <x:c r="E1627"/>
      <x:c r="F1627"/>
      <x:c r="G1627"/>
      <x:c r="H1627"/>
      <x:c r="I1627"/>
      <x:c r="J1627"/>
      <x:c r="K1627"/>
      <x:c r="L1627"/>
      <x:c r="M1627"/>
      <x:c r="N1627"/>
      <x:c r="O1627"/>
      <x:c r="P1627"/>
      <x:c r="Q1627"/>
      <x:c r="R1627"/>
      <x:c r="S1627"/>
      <x:c r="T1627"/>
      <x:c r="U1627"/>
      <x:c r="V1627"/>
      <x:c r="W1627"/>
    </x:row>
    <x:row r="1628">
      <x:c r="A1628"/>
      <x:c r="B1628"/>
      <x:c r="C1628"/>
      <x:c r="D1628"/>
      <x:c r="E1628"/>
      <x:c r="F1628"/>
      <x:c r="G1628"/>
      <x:c r="H1628"/>
      <x:c r="I1628"/>
      <x:c r="J1628"/>
      <x:c r="K1628"/>
      <x:c r="L1628"/>
      <x:c r="M1628"/>
      <x:c r="N1628"/>
      <x:c r="O1628"/>
      <x:c r="P1628"/>
      <x:c r="Q1628"/>
      <x:c r="R1628"/>
      <x:c r="S1628"/>
      <x:c r="T1628"/>
      <x:c r="U1628"/>
      <x:c r="V1628"/>
      <x:c r="W1628"/>
    </x:row>
    <x:row r="1629">
      <x:c r="A1629"/>
      <x:c r="B1629"/>
      <x:c r="C1629"/>
      <x:c r="D1629"/>
      <x:c r="E1629"/>
      <x:c r="F1629"/>
      <x:c r="G1629"/>
      <x:c r="H1629"/>
      <x:c r="I1629"/>
      <x:c r="J1629"/>
      <x:c r="K1629"/>
      <x:c r="L1629"/>
      <x:c r="M1629"/>
      <x:c r="N1629"/>
      <x:c r="O1629"/>
      <x:c r="P1629"/>
      <x:c r="Q1629"/>
      <x:c r="R1629"/>
      <x:c r="S1629"/>
      <x:c r="T1629"/>
      <x:c r="U1629"/>
      <x:c r="V1629"/>
      <x:c r="W1629"/>
    </x:row>
    <x:row r="1630">
      <x:c r="A1630"/>
      <x:c r="B1630"/>
      <x:c r="C1630"/>
      <x:c r="D1630"/>
      <x:c r="E1630"/>
      <x:c r="F1630"/>
      <x:c r="G1630"/>
      <x:c r="H1630"/>
      <x:c r="I1630"/>
      <x:c r="J1630"/>
      <x:c r="K1630"/>
      <x:c r="L1630"/>
      <x:c r="M1630"/>
      <x:c r="N1630"/>
      <x:c r="O1630"/>
      <x:c r="P1630"/>
      <x:c r="Q1630"/>
      <x:c r="R1630"/>
      <x:c r="S1630"/>
      <x:c r="T1630"/>
      <x:c r="U1630"/>
      <x:c r="V1630"/>
      <x:c r="W1630"/>
    </x:row>
    <x:row r="1631">
      <x:c r="A1631"/>
      <x:c r="B1631"/>
      <x:c r="C1631"/>
      <x:c r="D1631"/>
      <x:c r="E1631"/>
      <x:c r="F1631"/>
      <x:c r="G1631"/>
      <x:c r="H1631"/>
      <x:c r="I1631"/>
      <x:c r="J1631"/>
      <x:c r="K1631"/>
      <x:c r="L1631"/>
      <x:c r="M1631"/>
      <x:c r="N1631"/>
      <x:c r="O1631"/>
      <x:c r="P1631"/>
      <x:c r="Q1631"/>
      <x:c r="R1631"/>
      <x:c r="S1631"/>
      <x:c r="T1631"/>
      <x:c r="U1631"/>
      <x:c r="V1631"/>
      <x:c r="W1631"/>
    </x:row>
    <x:row r="1632">
      <x:c r="A1632"/>
      <x:c r="B1632"/>
      <x:c r="C1632"/>
      <x:c r="D1632"/>
      <x:c r="E1632"/>
      <x:c r="F1632"/>
      <x:c r="G1632"/>
      <x:c r="H1632"/>
      <x:c r="I1632"/>
      <x:c r="J1632"/>
      <x:c r="K1632"/>
      <x:c r="L1632"/>
      <x:c r="M1632"/>
      <x:c r="N1632"/>
      <x:c r="O1632"/>
      <x:c r="P1632"/>
      <x:c r="Q1632"/>
      <x:c r="R1632"/>
      <x:c r="S1632"/>
      <x:c r="T1632"/>
      <x:c r="U1632"/>
      <x:c r="V1632"/>
      <x:c r="W1632"/>
    </x:row>
    <x:row r="1633">
      <x:c r="A1633"/>
      <x:c r="B1633"/>
      <x:c r="C1633"/>
      <x:c r="D1633"/>
      <x:c r="E1633"/>
      <x:c r="F1633"/>
      <x:c r="G1633"/>
      <x:c r="H1633"/>
      <x:c r="I1633"/>
      <x:c r="J1633"/>
      <x:c r="K1633"/>
      <x:c r="L1633"/>
      <x:c r="M1633"/>
      <x:c r="N1633"/>
      <x:c r="O1633"/>
      <x:c r="P1633"/>
      <x:c r="Q1633"/>
      <x:c r="R1633"/>
      <x:c r="S1633"/>
      <x:c r="T1633"/>
      <x:c r="U1633"/>
      <x:c r="V1633"/>
      <x:c r="W1633"/>
    </x:row>
    <x:row r="1634">
      <x:c r="A1634"/>
      <x:c r="B1634"/>
      <x:c r="C1634"/>
      <x:c r="D1634"/>
      <x:c r="E1634"/>
      <x:c r="F1634"/>
      <x:c r="G1634"/>
      <x:c r="H1634"/>
      <x:c r="I1634"/>
      <x:c r="J1634"/>
      <x:c r="K1634"/>
      <x:c r="L1634"/>
      <x:c r="M1634"/>
      <x:c r="N1634"/>
      <x:c r="O1634"/>
      <x:c r="P1634"/>
      <x:c r="Q1634"/>
      <x:c r="R1634"/>
      <x:c r="S1634"/>
      <x:c r="T1634"/>
      <x:c r="U1634"/>
      <x:c r="V1634"/>
      <x:c r="W1634"/>
    </x:row>
    <x:row r="1635">
      <x:c r="A1635"/>
      <x:c r="B1635"/>
      <x:c r="C1635"/>
      <x:c r="D1635"/>
      <x:c r="E1635"/>
      <x:c r="F1635"/>
      <x:c r="G1635"/>
      <x:c r="H1635"/>
      <x:c r="I1635"/>
      <x:c r="J1635"/>
      <x:c r="K1635"/>
      <x:c r="L1635"/>
      <x:c r="M1635"/>
      <x:c r="N1635"/>
      <x:c r="O1635"/>
      <x:c r="P1635"/>
      <x:c r="Q1635"/>
      <x:c r="R1635"/>
      <x:c r="S1635"/>
      <x:c r="T1635"/>
      <x:c r="U1635"/>
      <x:c r="V1635"/>
      <x:c r="W1635"/>
    </x:row>
    <x:row r="1636">
      <x:c r="A1636"/>
      <x:c r="B1636"/>
      <x:c r="C1636"/>
      <x:c r="D1636"/>
      <x:c r="E1636"/>
      <x:c r="F1636"/>
      <x:c r="G1636"/>
      <x:c r="H1636"/>
      <x:c r="I1636"/>
      <x:c r="J1636"/>
      <x:c r="K1636"/>
      <x:c r="L1636"/>
      <x:c r="M1636"/>
      <x:c r="N1636"/>
      <x:c r="O1636"/>
      <x:c r="P1636"/>
      <x:c r="Q1636"/>
      <x:c r="R1636"/>
      <x:c r="S1636"/>
      <x:c r="T1636"/>
      <x:c r="U1636"/>
      <x:c r="V1636"/>
      <x:c r="W1636"/>
    </x:row>
    <x:row r="1637">
      <x:c r="A1637"/>
      <x:c r="B1637"/>
      <x:c r="C1637"/>
      <x:c r="D1637"/>
      <x:c r="E1637"/>
      <x:c r="F1637"/>
      <x:c r="G1637"/>
      <x:c r="H1637"/>
      <x:c r="I1637"/>
      <x:c r="J1637"/>
      <x:c r="K1637"/>
      <x:c r="L1637"/>
      <x:c r="M1637"/>
      <x:c r="N1637"/>
      <x:c r="O1637"/>
      <x:c r="P1637"/>
      <x:c r="Q1637"/>
      <x:c r="R1637"/>
      <x:c r="S1637"/>
      <x:c r="T1637"/>
      <x:c r="U1637"/>
      <x:c r="V1637"/>
      <x:c r="W1637"/>
    </x:row>
    <x:row r="1638">
      <x:c r="A1638"/>
      <x:c r="B1638"/>
      <x:c r="C1638"/>
      <x:c r="D1638"/>
      <x:c r="E1638"/>
      <x:c r="F1638"/>
      <x:c r="G1638"/>
      <x:c r="H1638"/>
      <x:c r="I1638"/>
      <x:c r="J1638"/>
      <x:c r="K1638"/>
      <x:c r="L1638"/>
      <x:c r="M1638"/>
      <x:c r="N1638"/>
      <x:c r="O1638"/>
      <x:c r="P1638"/>
      <x:c r="Q1638"/>
      <x:c r="R1638"/>
      <x:c r="S1638"/>
      <x:c r="T1638"/>
      <x:c r="U1638"/>
      <x:c r="V1638"/>
      <x:c r="W1638"/>
    </x:row>
    <x:row r="1639">
      <x:c r="A1639"/>
      <x:c r="B1639"/>
      <x:c r="C1639"/>
      <x:c r="D1639"/>
      <x:c r="E1639"/>
      <x:c r="F1639"/>
      <x:c r="G1639"/>
      <x:c r="H1639"/>
      <x:c r="I1639"/>
      <x:c r="J1639"/>
      <x:c r="K1639"/>
      <x:c r="L1639"/>
      <x:c r="M1639"/>
      <x:c r="N1639"/>
      <x:c r="O1639"/>
      <x:c r="P1639"/>
      <x:c r="Q1639"/>
      <x:c r="R1639"/>
      <x:c r="S1639"/>
      <x:c r="T1639"/>
      <x:c r="U1639"/>
      <x:c r="V1639"/>
      <x:c r="W1639"/>
    </x:row>
    <x:row r="1640">
      <x:c r="A1640"/>
      <x:c r="B1640"/>
      <x:c r="C1640"/>
      <x:c r="D1640"/>
      <x:c r="E1640"/>
      <x:c r="F1640"/>
      <x:c r="G1640"/>
      <x:c r="H1640"/>
      <x:c r="I1640"/>
      <x:c r="J1640"/>
      <x:c r="K1640"/>
      <x:c r="L1640"/>
      <x:c r="M1640"/>
      <x:c r="N1640"/>
      <x:c r="O1640"/>
      <x:c r="P1640"/>
      <x:c r="Q1640"/>
      <x:c r="R1640"/>
      <x:c r="S1640"/>
      <x:c r="T1640"/>
      <x:c r="U1640"/>
      <x:c r="V1640"/>
      <x:c r="W1640"/>
    </x:row>
    <x:row r="1641">
      <x:c r="A1641"/>
      <x:c r="B1641"/>
      <x:c r="C1641"/>
      <x:c r="D1641"/>
      <x:c r="E1641"/>
      <x:c r="F1641"/>
      <x:c r="G1641"/>
      <x:c r="H1641"/>
      <x:c r="I1641"/>
      <x:c r="J1641"/>
      <x:c r="K1641"/>
      <x:c r="L1641"/>
      <x:c r="M1641"/>
      <x:c r="N1641"/>
      <x:c r="O1641"/>
      <x:c r="P1641"/>
      <x:c r="Q1641"/>
      <x:c r="R1641"/>
      <x:c r="S1641"/>
      <x:c r="T1641"/>
      <x:c r="U1641"/>
      <x:c r="V1641"/>
      <x:c r="W1641"/>
    </x:row>
    <x:row r="1642">
      <x:c r="A1642"/>
      <x:c r="B1642"/>
      <x:c r="C1642"/>
      <x:c r="D1642"/>
      <x:c r="E1642"/>
      <x:c r="F1642"/>
      <x:c r="G1642"/>
      <x:c r="H1642"/>
      <x:c r="I1642"/>
      <x:c r="J1642"/>
      <x:c r="K1642"/>
      <x:c r="L1642"/>
      <x:c r="M1642"/>
      <x:c r="N1642"/>
      <x:c r="O1642"/>
      <x:c r="P1642"/>
      <x:c r="Q1642"/>
      <x:c r="R1642"/>
      <x:c r="S1642"/>
      <x:c r="T1642"/>
      <x:c r="U1642"/>
      <x:c r="V1642"/>
      <x:c r="W1642"/>
    </x:row>
    <x:row r="1643">
      <x:c r="A1643"/>
      <x:c r="B1643"/>
      <x:c r="C1643"/>
      <x:c r="D1643"/>
      <x:c r="E1643"/>
      <x:c r="F1643"/>
      <x:c r="G1643"/>
      <x:c r="H1643"/>
      <x:c r="I1643"/>
      <x:c r="J1643"/>
      <x:c r="K1643"/>
      <x:c r="L1643"/>
      <x:c r="M1643"/>
      <x:c r="N1643"/>
      <x:c r="O1643"/>
      <x:c r="P1643"/>
      <x:c r="Q1643"/>
      <x:c r="R1643"/>
      <x:c r="S1643"/>
      <x:c r="T1643"/>
      <x:c r="U1643"/>
      <x:c r="V1643"/>
      <x:c r="W1643"/>
    </x:row>
    <x:row r="1644">
      <x:c r="A1644"/>
      <x:c r="B1644"/>
      <x:c r="C1644"/>
      <x:c r="D1644"/>
      <x:c r="E1644"/>
      <x:c r="F1644"/>
      <x:c r="G1644"/>
      <x:c r="H1644"/>
      <x:c r="I1644"/>
      <x:c r="J1644"/>
      <x:c r="K1644"/>
      <x:c r="L1644"/>
      <x:c r="M1644"/>
      <x:c r="N1644"/>
      <x:c r="O1644"/>
      <x:c r="P1644"/>
      <x:c r="Q1644"/>
      <x:c r="R1644"/>
      <x:c r="S1644"/>
      <x:c r="T1644"/>
      <x:c r="U1644"/>
      <x:c r="V1644"/>
      <x:c r="W1644"/>
    </x:row>
    <x:row r="1645">
      <x:c r="A1645"/>
      <x:c r="B1645"/>
      <x:c r="C1645"/>
      <x:c r="D1645"/>
      <x:c r="E1645"/>
      <x:c r="F1645"/>
      <x:c r="G1645"/>
      <x:c r="H1645"/>
      <x:c r="I1645"/>
      <x:c r="J1645"/>
      <x:c r="K1645"/>
      <x:c r="L1645"/>
      <x:c r="M1645"/>
      <x:c r="N1645"/>
      <x:c r="O1645"/>
      <x:c r="P1645"/>
      <x:c r="Q1645"/>
      <x:c r="R1645"/>
      <x:c r="S1645"/>
      <x:c r="T1645"/>
      <x:c r="U1645"/>
      <x:c r="V1645"/>
      <x:c r="W1645"/>
    </x:row>
    <x:row r="1646">
      <x:c r="A1646"/>
      <x:c r="B1646"/>
      <x:c r="C1646"/>
      <x:c r="D1646"/>
      <x:c r="E1646"/>
      <x:c r="F1646"/>
      <x:c r="G1646"/>
      <x:c r="H1646"/>
      <x:c r="I1646"/>
      <x:c r="J1646"/>
      <x:c r="K1646"/>
      <x:c r="L1646"/>
      <x:c r="M1646"/>
      <x:c r="N1646"/>
      <x:c r="O1646"/>
      <x:c r="P1646"/>
      <x:c r="Q1646"/>
      <x:c r="R1646"/>
      <x:c r="S1646"/>
      <x:c r="T1646"/>
      <x:c r="U1646"/>
      <x:c r="V1646"/>
      <x:c r="W1646"/>
    </x:row>
    <x:row r="1647">
      <x:c r="A1647"/>
      <x:c r="B1647"/>
      <x:c r="C1647"/>
      <x:c r="D1647"/>
      <x:c r="E1647"/>
      <x:c r="F1647"/>
      <x:c r="G1647"/>
      <x:c r="H1647"/>
      <x:c r="I1647"/>
      <x:c r="J1647"/>
      <x:c r="K1647"/>
      <x:c r="L1647"/>
      <x:c r="M1647"/>
      <x:c r="N1647"/>
      <x:c r="O1647"/>
      <x:c r="P1647"/>
      <x:c r="Q1647"/>
      <x:c r="R1647"/>
      <x:c r="S1647"/>
      <x:c r="T1647"/>
      <x:c r="U1647"/>
      <x:c r="V1647"/>
      <x:c r="W1647"/>
    </x:row>
    <x:row r="1648">
      <x:c r="A1648"/>
      <x:c r="B1648"/>
      <x:c r="C1648"/>
      <x:c r="D1648"/>
      <x:c r="E1648"/>
      <x:c r="F1648"/>
      <x:c r="G1648"/>
      <x:c r="H1648"/>
      <x:c r="I1648"/>
      <x:c r="J1648"/>
      <x:c r="K1648"/>
      <x:c r="L1648"/>
      <x:c r="M1648"/>
      <x:c r="N1648"/>
      <x:c r="O1648"/>
      <x:c r="P1648"/>
      <x:c r="Q1648"/>
      <x:c r="R1648"/>
      <x:c r="S1648"/>
      <x:c r="T1648"/>
      <x:c r="U1648"/>
      <x:c r="V1648"/>
      <x:c r="W1648"/>
    </x:row>
    <x:row r="1649">
      <x:c r="A1649"/>
      <x:c r="B1649"/>
      <x:c r="C1649"/>
      <x:c r="D1649"/>
      <x:c r="E1649"/>
      <x:c r="F1649"/>
      <x:c r="G1649"/>
      <x:c r="H1649"/>
      <x:c r="I1649"/>
      <x:c r="J1649"/>
      <x:c r="K1649"/>
      <x:c r="L1649"/>
      <x:c r="M1649"/>
      <x:c r="N1649"/>
      <x:c r="O1649"/>
      <x:c r="P1649"/>
      <x:c r="Q1649"/>
      <x:c r="R1649"/>
      <x:c r="S1649"/>
      <x:c r="T1649"/>
      <x:c r="U1649"/>
      <x:c r="V1649"/>
      <x:c r="W1649"/>
    </x:row>
    <x:row r="1650">
      <x:c r="A1650"/>
      <x:c r="B1650"/>
      <x:c r="C1650"/>
      <x:c r="D1650"/>
      <x:c r="E1650"/>
      <x:c r="F1650"/>
      <x:c r="G1650"/>
      <x:c r="H1650"/>
      <x:c r="I1650"/>
      <x:c r="J1650"/>
      <x:c r="K1650"/>
      <x:c r="L1650"/>
      <x:c r="M1650"/>
      <x:c r="N1650"/>
      <x:c r="O1650"/>
      <x:c r="P1650"/>
      <x:c r="Q1650"/>
      <x:c r="R1650"/>
      <x:c r="S1650"/>
      <x:c r="T1650"/>
      <x:c r="U1650"/>
      <x:c r="V1650"/>
      <x:c r="W1650"/>
    </x:row>
    <x:row r="1651">
      <x:c r="A1651"/>
      <x:c r="B1651"/>
      <x:c r="C1651"/>
      <x:c r="D1651"/>
      <x:c r="E1651"/>
      <x:c r="F1651"/>
      <x:c r="G1651"/>
      <x:c r="H1651"/>
      <x:c r="I1651"/>
      <x:c r="J1651"/>
      <x:c r="K1651"/>
      <x:c r="L1651"/>
      <x:c r="M1651"/>
      <x:c r="N1651"/>
      <x:c r="O1651"/>
      <x:c r="P1651"/>
      <x:c r="Q1651"/>
      <x:c r="R1651"/>
      <x:c r="S1651"/>
      <x:c r="T1651"/>
      <x:c r="U1651"/>
      <x:c r="V1651"/>
      <x:c r="W1651"/>
    </x:row>
    <x:row r="1652">
      <x:c r="A1652"/>
      <x:c r="B1652"/>
      <x:c r="C1652"/>
      <x:c r="D1652"/>
      <x:c r="E1652"/>
      <x:c r="F1652"/>
      <x:c r="G1652"/>
      <x:c r="H1652"/>
      <x:c r="I1652"/>
      <x:c r="J1652"/>
      <x:c r="K1652"/>
      <x:c r="L1652"/>
      <x:c r="M1652"/>
      <x:c r="N1652"/>
      <x:c r="O1652"/>
      <x:c r="P1652"/>
      <x:c r="Q1652"/>
      <x:c r="R1652"/>
      <x:c r="S1652"/>
      <x:c r="T1652"/>
      <x:c r="U1652"/>
      <x:c r="V1652"/>
      <x:c r="W1652"/>
    </x:row>
    <x:row r="1653">
      <x:c r="A1653"/>
      <x:c r="B1653"/>
      <x:c r="C1653"/>
      <x:c r="D1653"/>
      <x:c r="E1653"/>
      <x:c r="F1653"/>
      <x:c r="G1653"/>
      <x:c r="H1653"/>
      <x:c r="I1653"/>
      <x:c r="J1653"/>
      <x:c r="K1653"/>
      <x:c r="L1653"/>
      <x:c r="M1653"/>
      <x:c r="N1653"/>
      <x:c r="O1653"/>
      <x:c r="P1653"/>
      <x:c r="Q1653"/>
      <x:c r="R1653"/>
      <x:c r="S1653"/>
      <x:c r="T1653"/>
      <x:c r="U1653"/>
      <x:c r="V1653"/>
      <x:c r="W1653"/>
    </x:row>
    <x:row r="1654">
      <x:c r="A1654"/>
      <x:c r="B1654"/>
      <x:c r="C1654"/>
      <x:c r="D1654"/>
      <x:c r="E1654"/>
      <x:c r="F1654"/>
      <x:c r="G1654"/>
      <x:c r="H1654"/>
      <x:c r="I1654"/>
      <x:c r="J1654"/>
      <x:c r="K1654"/>
      <x:c r="L1654"/>
      <x:c r="M1654"/>
      <x:c r="N1654"/>
      <x:c r="O1654"/>
      <x:c r="P1654"/>
      <x:c r="Q1654"/>
      <x:c r="R1654"/>
      <x:c r="S1654"/>
      <x:c r="T1654"/>
      <x:c r="U1654"/>
      <x:c r="V1654"/>
      <x:c r="W1654"/>
    </x:row>
    <x:row r="1655">
      <x:c r="A1655"/>
      <x:c r="B1655"/>
      <x:c r="C1655"/>
      <x:c r="D1655"/>
      <x:c r="E1655"/>
      <x:c r="F1655"/>
      <x:c r="G1655"/>
      <x:c r="H1655"/>
      <x:c r="I1655"/>
      <x:c r="J1655"/>
      <x:c r="K1655"/>
      <x:c r="L1655"/>
      <x:c r="M1655"/>
      <x:c r="N1655"/>
      <x:c r="O1655"/>
      <x:c r="P1655"/>
      <x:c r="Q1655"/>
      <x:c r="R1655"/>
      <x:c r="S1655"/>
      <x:c r="T1655"/>
      <x:c r="U1655"/>
      <x:c r="V1655"/>
      <x:c r="W1655"/>
    </x:row>
    <x:row r="1656">
      <x:c r="A1656"/>
      <x:c r="B1656"/>
      <x:c r="C1656"/>
      <x:c r="D1656"/>
      <x:c r="E1656"/>
      <x:c r="F1656"/>
      <x:c r="G1656"/>
      <x:c r="H1656"/>
      <x:c r="I1656"/>
      <x:c r="J1656"/>
      <x:c r="K1656"/>
      <x:c r="L1656"/>
      <x:c r="M1656"/>
      <x:c r="N1656"/>
      <x:c r="O1656"/>
      <x:c r="P1656"/>
      <x:c r="Q1656"/>
      <x:c r="R1656"/>
      <x:c r="S1656"/>
      <x:c r="T1656"/>
      <x:c r="U1656"/>
      <x:c r="V1656"/>
      <x:c r="W1656"/>
    </x:row>
    <x:row r="1657">
      <x:c r="A1657"/>
      <x:c r="B1657"/>
      <x:c r="C1657"/>
      <x:c r="D1657"/>
      <x:c r="E1657"/>
      <x:c r="F1657"/>
      <x:c r="G1657"/>
      <x:c r="H1657"/>
      <x:c r="I1657"/>
      <x:c r="J1657"/>
      <x:c r="K1657"/>
      <x:c r="L1657"/>
      <x:c r="M1657"/>
      <x:c r="N1657"/>
      <x:c r="O1657"/>
      <x:c r="P1657"/>
      <x:c r="Q1657"/>
      <x:c r="R1657"/>
      <x:c r="S1657"/>
      <x:c r="T1657"/>
      <x:c r="U1657"/>
      <x:c r="V1657"/>
      <x:c r="W1657"/>
    </x:row>
    <x:row r="1658">
      <x:c r="A1658"/>
      <x:c r="B1658"/>
      <x:c r="C1658"/>
      <x:c r="D1658"/>
      <x:c r="E1658"/>
      <x:c r="F1658"/>
      <x:c r="G1658"/>
      <x:c r="H1658"/>
      <x:c r="I1658"/>
      <x:c r="J1658"/>
      <x:c r="K1658"/>
      <x:c r="L1658"/>
      <x:c r="M1658"/>
      <x:c r="N1658"/>
      <x:c r="O1658"/>
      <x:c r="P1658"/>
      <x:c r="Q1658"/>
      <x:c r="R1658"/>
      <x:c r="S1658"/>
      <x:c r="T1658"/>
      <x:c r="U1658"/>
      <x:c r="V1658"/>
      <x:c r="W1658"/>
    </x:row>
    <x:row r="1659">
      <x:c r="A1659"/>
      <x:c r="B1659"/>
      <x:c r="C1659"/>
      <x:c r="D1659"/>
      <x:c r="E1659"/>
      <x:c r="F1659"/>
      <x:c r="G1659"/>
      <x:c r="H1659"/>
      <x:c r="I1659"/>
      <x:c r="J1659"/>
      <x:c r="K1659"/>
      <x:c r="L1659"/>
      <x:c r="M1659"/>
      <x:c r="N1659"/>
      <x:c r="O1659"/>
      <x:c r="P1659"/>
      <x:c r="Q1659"/>
      <x:c r="R1659"/>
      <x:c r="S1659"/>
      <x:c r="T1659"/>
      <x:c r="U1659"/>
      <x:c r="V1659"/>
      <x:c r="W1659"/>
    </x:row>
    <x:row r="1660">
      <x:c r="A1660"/>
      <x:c r="B1660"/>
      <x:c r="C1660"/>
      <x:c r="D1660"/>
      <x:c r="E1660"/>
      <x:c r="F1660"/>
      <x:c r="G1660"/>
      <x:c r="H1660"/>
      <x:c r="I1660"/>
      <x:c r="J1660"/>
      <x:c r="K1660"/>
      <x:c r="L1660"/>
      <x:c r="M1660"/>
      <x:c r="N1660"/>
      <x:c r="O1660"/>
      <x:c r="P1660"/>
      <x:c r="Q1660"/>
      <x:c r="R1660"/>
      <x:c r="S1660"/>
      <x:c r="T1660"/>
      <x:c r="U1660"/>
      <x:c r="V1660"/>
      <x:c r="W1660"/>
    </x:row>
    <x:row r="1661">
      <x:c r="A1661"/>
      <x:c r="B1661"/>
      <x:c r="C1661"/>
      <x:c r="D1661"/>
      <x:c r="E1661"/>
      <x:c r="F1661"/>
      <x:c r="G1661"/>
      <x:c r="H1661"/>
      <x:c r="I1661"/>
      <x:c r="J1661"/>
      <x:c r="K1661"/>
      <x:c r="L1661"/>
      <x:c r="M1661"/>
      <x:c r="N1661"/>
      <x:c r="O1661"/>
      <x:c r="P1661"/>
      <x:c r="Q1661"/>
      <x:c r="R1661"/>
      <x:c r="S1661"/>
      <x:c r="T1661"/>
      <x:c r="U1661"/>
      <x:c r="V1661"/>
      <x:c r="W1661"/>
    </x:row>
    <x:row r="1662">
      <x:c r="A1662"/>
      <x:c r="B1662"/>
      <x:c r="C1662"/>
      <x:c r="D1662"/>
      <x:c r="E1662"/>
      <x:c r="F1662"/>
      <x:c r="G1662"/>
      <x:c r="H1662"/>
      <x:c r="I1662"/>
      <x:c r="J1662"/>
      <x:c r="K1662"/>
      <x:c r="L1662"/>
      <x:c r="M1662"/>
      <x:c r="N1662"/>
      <x:c r="O1662"/>
      <x:c r="P1662"/>
      <x:c r="Q1662"/>
      <x:c r="R1662"/>
      <x:c r="S1662"/>
      <x:c r="T1662"/>
      <x:c r="U1662"/>
      <x:c r="V1662"/>
      <x:c r="W1662"/>
    </x:row>
    <x:row r="1663">
      <x:c r="A1663"/>
      <x:c r="B1663"/>
      <x:c r="C1663"/>
      <x:c r="D1663"/>
      <x:c r="E1663"/>
      <x:c r="F1663"/>
      <x:c r="G1663"/>
      <x:c r="H1663"/>
      <x:c r="I1663"/>
      <x:c r="J1663"/>
      <x:c r="K1663"/>
      <x:c r="L1663"/>
      <x:c r="M1663"/>
      <x:c r="N1663"/>
      <x:c r="O1663"/>
      <x:c r="P1663"/>
      <x:c r="Q1663"/>
      <x:c r="R1663"/>
      <x:c r="S1663"/>
      <x:c r="T1663"/>
      <x:c r="U1663"/>
      <x:c r="V1663"/>
      <x:c r="W1663"/>
    </x:row>
    <x:row r="1664">
      <x:c r="A1664"/>
      <x:c r="B1664"/>
      <x:c r="C1664"/>
      <x:c r="D1664"/>
      <x:c r="E1664"/>
      <x:c r="F1664"/>
      <x:c r="G1664"/>
      <x:c r="H1664"/>
      <x:c r="I1664"/>
      <x:c r="J1664"/>
      <x:c r="K1664"/>
      <x:c r="L1664"/>
      <x:c r="M1664"/>
      <x:c r="N1664"/>
      <x:c r="O1664"/>
      <x:c r="P1664"/>
      <x:c r="Q1664"/>
      <x:c r="R1664"/>
      <x:c r="S1664"/>
      <x:c r="T1664"/>
      <x:c r="U1664"/>
      <x:c r="V1664"/>
      <x:c r="W1664"/>
    </x:row>
    <x:row r="1665">
      <x:c r="A1665"/>
      <x:c r="B1665"/>
      <x:c r="C1665"/>
      <x:c r="D1665"/>
      <x:c r="E1665"/>
      <x:c r="F1665"/>
      <x:c r="G1665"/>
      <x:c r="H1665"/>
      <x:c r="I1665"/>
      <x:c r="J1665"/>
      <x:c r="K1665"/>
      <x:c r="L1665"/>
      <x:c r="M1665"/>
      <x:c r="N1665"/>
      <x:c r="O1665"/>
      <x:c r="P1665"/>
      <x:c r="Q1665"/>
      <x:c r="R1665"/>
      <x:c r="S1665"/>
      <x:c r="T1665"/>
      <x:c r="U1665"/>
      <x:c r="V1665"/>
      <x:c r="W1665"/>
    </x:row>
    <x:row r="1666">
      <x:c r="A1666"/>
      <x:c r="B1666"/>
      <x:c r="C1666"/>
      <x:c r="D1666"/>
      <x:c r="E1666"/>
      <x:c r="F1666"/>
      <x:c r="G1666"/>
      <x:c r="H1666"/>
      <x:c r="I1666"/>
      <x:c r="J1666"/>
      <x:c r="K1666"/>
      <x:c r="L1666"/>
      <x:c r="M1666"/>
      <x:c r="N1666"/>
      <x:c r="O1666"/>
      <x:c r="P1666"/>
      <x:c r="Q1666"/>
      <x:c r="R1666"/>
      <x:c r="S1666"/>
      <x:c r="T1666"/>
      <x:c r="U1666"/>
      <x:c r="V1666"/>
      <x:c r="W1666"/>
    </x:row>
    <x:row r="1667">
      <x:c r="A1667"/>
      <x:c r="B1667"/>
      <x:c r="C1667"/>
      <x:c r="D1667"/>
      <x:c r="E1667"/>
      <x:c r="F1667"/>
      <x:c r="G1667"/>
      <x:c r="H1667"/>
      <x:c r="I1667"/>
      <x:c r="J1667"/>
      <x:c r="K1667"/>
      <x:c r="L1667"/>
      <x:c r="M1667"/>
      <x:c r="N1667"/>
      <x:c r="O1667"/>
      <x:c r="P1667"/>
      <x:c r="Q1667"/>
      <x:c r="R1667"/>
      <x:c r="S1667"/>
      <x:c r="T1667"/>
      <x:c r="U1667"/>
      <x:c r="V1667"/>
      <x:c r="W1667"/>
    </x:row>
    <x:row r="1668">
      <x:c r="A1668"/>
      <x:c r="B1668"/>
      <x:c r="C1668"/>
      <x:c r="D1668"/>
      <x:c r="E1668"/>
      <x:c r="F1668"/>
      <x:c r="G1668"/>
      <x:c r="H1668"/>
      <x:c r="I1668"/>
      <x:c r="J1668"/>
      <x:c r="K1668"/>
      <x:c r="L1668"/>
      <x:c r="M1668"/>
      <x:c r="N1668"/>
      <x:c r="O1668"/>
      <x:c r="P1668"/>
      <x:c r="Q1668"/>
      <x:c r="R1668"/>
      <x:c r="S1668"/>
      <x:c r="T1668"/>
      <x:c r="U1668"/>
      <x:c r="V1668"/>
      <x:c r="W1668"/>
    </x:row>
    <x:row r="1669">
      <x:c r="A1669"/>
      <x:c r="B1669"/>
      <x:c r="C1669"/>
      <x:c r="D1669"/>
      <x:c r="E1669"/>
      <x:c r="F1669"/>
      <x:c r="G1669"/>
      <x:c r="H1669"/>
      <x:c r="I1669"/>
      <x:c r="J1669"/>
      <x:c r="K1669"/>
      <x:c r="L1669"/>
      <x:c r="M1669"/>
      <x:c r="N1669"/>
      <x:c r="O1669"/>
      <x:c r="P1669"/>
      <x:c r="Q1669"/>
      <x:c r="R1669"/>
      <x:c r="S1669"/>
      <x:c r="T1669"/>
      <x:c r="U1669"/>
      <x:c r="V1669"/>
      <x:c r="W1669"/>
    </x:row>
    <x:row r="1670">
      <x:c r="A1670"/>
      <x:c r="B1670"/>
      <x:c r="C1670"/>
      <x:c r="D1670"/>
      <x:c r="E1670"/>
      <x:c r="F1670"/>
      <x:c r="G1670"/>
      <x:c r="H1670"/>
      <x:c r="I1670"/>
      <x:c r="J1670"/>
      <x:c r="K1670"/>
      <x:c r="L1670"/>
      <x:c r="M1670"/>
      <x:c r="N1670"/>
      <x:c r="O1670"/>
      <x:c r="P1670"/>
      <x:c r="Q1670"/>
      <x:c r="R1670"/>
      <x:c r="S1670"/>
      <x:c r="T1670"/>
      <x:c r="U1670"/>
      <x:c r="V1670"/>
      <x:c r="W1670"/>
    </x:row>
    <x:row r="1671">
      <x:c r="A1671"/>
      <x:c r="B1671"/>
      <x:c r="C1671"/>
      <x:c r="D1671"/>
      <x:c r="E1671"/>
      <x:c r="F1671"/>
      <x:c r="G1671"/>
      <x:c r="H1671"/>
      <x:c r="I1671"/>
      <x:c r="J1671"/>
      <x:c r="K1671"/>
      <x:c r="L1671"/>
      <x:c r="M1671"/>
      <x:c r="N1671"/>
      <x:c r="O1671"/>
      <x:c r="P1671"/>
      <x:c r="Q1671"/>
      <x:c r="R1671"/>
      <x:c r="S1671"/>
      <x:c r="T1671"/>
      <x:c r="U1671"/>
      <x:c r="V1671"/>
      <x:c r="W1671"/>
    </x:row>
    <x:row r="1672">
      <x:c r="A1672"/>
      <x:c r="B1672"/>
      <x:c r="C1672"/>
      <x:c r="D1672"/>
      <x:c r="E1672"/>
      <x:c r="F1672"/>
      <x:c r="G1672"/>
      <x:c r="H1672"/>
      <x:c r="I1672"/>
      <x:c r="J1672"/>
      <x:c r="K1672"/>
      <x:c r="L1672"/>
      <x:c r="M1672"/>
      <x:c r="N1672"/>
      <x:c r="O1672"/>
      <x:c r="P1672"/>
      <x:c r="Q1672"/>
      <x:c r="R1672"/>
      <x:c r="S1672"/>
      <x:c r="T1672"/>
      <x:c r="U1672"/>
      <x:c r="V1672"/>
      <x:c r="W1672"/>
    </x:row>
    <x:row r="1673">
      <x:c r="A1673"/>
      <x:c r="B1673"/>
      <x:c r="C1673"/>
      <x:c r="D1673"/>
      <x:c r="E1673"/>
      <x:c r="F1673"/>
      <x:c r="G1673"/>
      <x:c r="H1673"/>
      <x:c r="I1673"/>
      <x:c r="J1673"/>
      <x:c r="K1673"/>
      <x:c r="L1673"/>
      <x:c r="M1673"/>
      <x:c r="N1673"/>
      <x:c r="O1673"/>
      <x:c r="P1673"/>
      <x:c r="Q1673"/>
      <x:c r="R1673"/>
      <x:c r="S1673"/>
      <x:c r="T1673"/>
      <x:c r="U1673"/>
      <x:c r="V1673"/>
      <x:c r="W1673"/>
    </x:row>
    <x:row r="1674">
      <x:c r="A1674"/>
      <x:c r="B1674"/>
      <x:c r="C1674"/>
      <x:c r="D1674"/>
      <x:c r="E1674"/>
      <x:c r="F1674"/>
      <x:c r="G1674"/>
      <x:c r="H1674"/>
      <x:c r="I1674"/>
      <x:c r="J1674"/>
      <x:c r="K1674"/>
      <x:c r="L1674"/>
      <x:c r="M1674"/>
      <x:c r="N1674"/>
      <x:c r="O1674"/>
      <x:c r="P1674"/>
      <x:c r="Q1674"/>
      <x:c r="R1674"/>
      <x:c r="S1674"/>
      <x:c r="T1674"/>
      <x:c r="U1674"/>
      <x:c r="V1674"/>
      <x:c r="W1674"/>
    </x:row>
    <x:row r="1675">
      <x:c r="A1675"/>
      <x:c r="B1675"/>
      <x:c r="C1675"/>
      <x:c r="D1675"/>
      <x:c r="E1675"/>
      <x:c r="F1675"/>
      <x:c r="G1675"/>
      <x:c r="H1675"/>
      <x:c r="I1675"/>
      <x:c r="J1675"/>
      <x:c r="K1675"/>
      <x:c r="L1675"/>
      <x:c r="M1675"/>
      <x:c r="N1675"/>
      <x:c r="O1675"/>
      <x:c r="P1675"/>
      <x:c r="Q1675"/>
      <x:c r="R1675"/>
      <x:c r="S1675"/>
      <x:c r="T1675"/>
      <x:c r="U1675"/>
      <x:c r="V1675"/>
      <x:c r="W1675"/>
    </x:row>
    <x:row r="1676">
      <x:c r="A1676"/>
      <x:c r="B1676"/>
      <x:c r="C1676"/>
      <x:c r="D1676"/>
      <x:c r="E1676"/>
      <x:c r="F1676"/>
      <x:c r="G1676"/>
      <x:c r="H1676"/>
      <x:c r="I1676"/>
      <x:c r="J1676"/>
      <x:c r="K1676"/>
      <x:c r="L1676"/>
      <x:c r="M1676"/>
      <x:c r="N1676"/>
      <x:c r="O1676"/>
      <x:c r="P1676"/>
      <x:c r="Q1676"/>
      <x:c r="R1676"/>
      <x:c r="S1676"/>
      <x:c r="T1676"/>
      <x:c r="U1676"/>
      <x:c r="V1676"/>
      <x:c r="W1676"/>
    </x:row>
    <x:row r="1677">
      <x:c r="A1677"/>
      <x:c r="B1677"/>
      <x:c r="C1677"/>
      <x:c r="D1677"/>
      <x:c r="E1677"/>
      <x:c r="F1677"/>
      <x:c r="G1677"/>
      <x:c r="H1677"/>
      <x:c r="I1677"/>
      <x:c r="J1677"/>
      <x:c r="K1677"/>
      <x:c r="L1677"/>
      <x:c r="M1677"/>
      <x:c r="N1677"/>
      <x:c r="O1677"/>
      <x:c r="P1677"/>
      <x:c r="Q1677"/>
      <x:c r="R1677"/>
      <x:c r="S1677"/>
      <x:c r="T1677"/>
      <x:c r="U1677"/>
      <x:c r="V1677"/>
      <x:c r="W1677"/>
    </x:row>
    <x:row r="1678">
      <x:c r="A1678"/>
      <x:c r="B1678"/>
      <x:c r="C1678"/>
      <x:c r="D1678"/>
      <x:c r="E1678"/>
      <x:c r="F1678"/>
      <x:c r="G1678"/>
      <x:c r="H1678"/>
      <x:c r="I1678"/>
      <x:c r="J1678"/>
      <x:c r="K1678"/>
      <x:c r="L1678"/>
      <x:c r="M1678"/>
      <x:c r="N1678"/>
      <x:c r="O1678"/>
      <x:c r="P1678"/>
      <x:c r="Q1678"/>
      <x:c r="R1678"/>
      <x:c r="S1678"/>
      <x:c r="T1678"/>
      <x:c r="U1678"/>
      <x:c r="V1678"/>
      <x:c r="W1678"/>
    </x:row>
    <x:row r="1679">
      <x:c r="A1679"/>
      <x:c r="B1679"/>
      <x:c r="C1679"/>
      <x:c r="D1679"/>
      <x:c r="E1679"/>
      <x:c r="F1679"/>
      <x:c r="G1679"/>
      <x:c r="H1679"/>
      <x:c r="I1679"/>
      <x:c r="J1679"/>
      <x:c r="K1679"/>
      <x:c r="L1679"/>
      <x:c r="M1679"/>
      <x:c r="N1679"/>
      <x:c r="O1679"/>
      <x:c r="P1679"/>
      <x:c r="Q1679"/>
      <x:c r="R1679"/>
      <x:c r="S1679"/>
      <x:c r="T1679"/>
      <x:c r="U1679"/>
      <x:c r="V1679"/>
      <x:c r="W1679"/>
    </x:row>
    <x:row r="1680">
      <x:c r="A1680"/>
      <x:c r="B1680"/>
      <x:c r="C1680"/>
      <x:c r="D1680"/>
      <x:c r="E1680"/>
      <x:c r="F1680"/>
      <x:c r="G1680"/>
      <x:c r="H1680"/>
      <x:c r="I1680"/>
      <x:c r="J1680"/>
      <x:c r="K1680"/>
      <x:c r="L1680"/>
      <x:c r="M1680"/>
      <x:c r="N1680"/>
      <x:c r="O1680"/>
      <x:c r="P1680"/>
      <x:c r="Q1680"/>
      <x:c r="R1680"/>
      <x:c r="S1680"/>
      <x:c r="T1680"/>
      <x:c r="U1680"/>
      <x:c r="V1680"/>
      <x:c r="W1680"/>
    </x:row>
    <x:row r="1681">
      <x:c r="A1681"/>
      <x:c r="B1681"/>
      <x:c r="C1681"/>
      <x:c r="D1681"/>
      <x:c r="E1681"/>
      <x:c r="F1681"/>
      <x:c r="G1681"/>
      <x:c r="H1681"/>
      <x:c r="I1681"/>
      <x:c r="J1681"/>
      <x:c r="K1681"/>
      <x:c r="L1681"/>
      <x:c r="M1681"/>
      <x:c r="N1681"/>
      <x:c r="O1681"/>
      <x:c r="P1681"/>
      <x:c r="Q1681"/>
      <x:c r="R1681"/>
      <x:c r="S1681"/>
      <x:c r="T1681"/>
      <x:c r="U1681"/>
      <x:c r="V1681"/>
      <x:c r="W1681"/>
    </x:row>
    <x:row r="1682">
      <x:c r="A1682"/>
      <x:c r="B1682"/>
      <x:c r="C1682"/>
      <x:c r="D1682"/>
      <x:c r="E1682"/>
      <x:c r="F1682"/>
      <x:c r="G1682"/>
      <x:c r="H1682"/>
      <x:c r="I1682"/>
      <x:c r="J1682"/>
      <x:c r="K1682"/>
      <x:c r="L1682"/>
      <x:c r="M1682"/>
      <x:c r="N1682"/>
      <x:c r="O1682"/>
      <x:c r="P1682"/>
      <x:c r="Q1682"/>
      <x:c r="R1682"/>
      <x:c r="S1682"/>
      <x:c r="T1682"/>
      <x:c r="U1682"/>
      <x:c r="V1682"/>
      <x:c r="W1682"/>
    </x:row>
    <x:row r="1683">
      <x:c r="A1683"/>
      <x:c r="B1683"/>
      <x:c r="C1683"/>
      <x:c r="D1683"/>
      <x:c r="E1683"/>
      <x:c r="F1683"/>
      <x:c r="G1683"/>
      <x:c r="H1683"/>
      <x:c r="I1683"/>
      <x:c r="J1683"/>
      <x:c r="K1683"/>
      <x:c r="L1683"/>
      <x:c r="M1683"/>
      <x:c r="N1683"/>
      <x:c r="O1683"/>
      <x:c r="P1683"/>
      <x:c r="Q1683"/>
      <x:c r="R1683"/>
      <x:c r="S1683"/>
      <x:c r="T1683"/>
      <x:c r="U1683"/>
      <x:c r="V1683"/>
      <x:c r="W1683"/>
    </x:row>
    <x:row r="1684">
      <x:c r="A1684"/>
      <x:c r="B1684"/>
      <x:c r="C1684"/>
      <x:c r="D1684"/>
      <x:c r="E1684"/>
      <x:c r="F1684"/>
      <x:c r="G1684"/>
      <x:c r="H1684"/>
      <x:c r="I1684"/>
      <x:c r="J1684"/>
      <x:c r="K1684"/>
      <x:c r="L1684"/>
      <x:c r="M1684"/>
      <x:c r="N1684"/>
      <x:c r="O1684"/>
      <x:c r="P1684"/>
      <x:c r="Q1684"/>
      <x:c r="R1684"/>
      <x:c r="S1684"/>
      <x:c r="T1684"/>
      <x:c r="U1684"/>
      <x:c r="V1684"/>
      <x:c r="W1684"/>
    </x:row>
    <x:row r="1685">
      <x:c r="A1685"/>
      <x:c r="B1685"/>
      <x:c r="C1685"/>
      <x:c r="D1685"/>
      <x:c r="E1685"/>
      <x:c r="F1685"/>
      <x:c r="G1685"/>
      <x:c r="H1685"/>
      <x:c r="I1685"/>
      <x:c r="J1685"/>
      <x:c r="K1685"/>
      <x:c r="L1685"/>
      <x:c r="M1685"/>
      <x:c r="N1685"/>
      <x:c r="O1685"/>
      <x:c r="P1685"/>
      <x:c r="Q1685"/>
      <x:c r="R1685"/>
      <x:c r="S1685"/>
      <x:c r="T1685"/>
      <x:c r="U1685"/>
      <x:c r="V1685"/>
      <x:c r="W1685"/>
    </x:row>
    <x:row r="1686">
      <x:c r="A1686"/>
      <x:c r="B1686"/>
      <x:c r="C1686"/>
      <x:c r="D1686"/>
      <x:c r="E1686"/>
      <x:c r="F1686"/>
      <x:c r="G1686"/>
      <x:c r="H1686"/>
      <x:c r="I1686"/>
      <x:c r="J1686"/>
      <x:c r="K1686"/>
      <x:c r="L1686"/>
      <x:c r="M1686"/>
      <x:c r="N1686"/>
      <x:c r="O1686"/>
      <x:c r="P1686"/>
      <x:c r="Q1686"/>
      <x:c r="R1686"/>
      <x:c r="S1686"/>
      <x:c r="T1686"/>
      <x:c r="U1686"/>
      <x:c r="V1686"/>
      <x:c r="W1686"/>
    </x:row>
    <x:row r="1687">
      <x:c r="A1687"/>
      <x:c r="B1687"/>
      <x:c r="C1687"/>
      <x:c r="D1687"/>
      <x:c r="E1687"/>
      <x:c r="F1687"/>
      <x:c r="G1687"/>
      <x:c r="H1687"/>
      <x:c r="I1687"/>
      <x:c r="J1687"/>
      <x:c r="K1687"/>
      <x:c r="L1687"/>
      <x:c r="M1687"/>
      <x:c r="N1687"/>
      <x:c r="O1687"/>
      <x:c r="P1687"/>
      <x:c r="Q1687"/>
      <x:c r="R1687"/>
      <x:c r="S1687"/>
      <x:c r="T1687"/>
      <x:c r="U1687"/>
      <x:c r="V1687"/>
      <x:c r="W1687"/>
    </x:row>
    <x:row r="1688">
      <x:c r="A1688"/>
      <x:c r="B1688"/>
      <x:c r="C1688"/>
      <x:c r="D1688"/>
      <x:c r="E1688"/>
      <x:c r="F1688"/>
      <x:c r="G1688"/>
      <x:c r="H1688"/>
      <x:c r="I1688"/>
      <x:c r="J1688"/>
      <x:c r="K1688"/>
      <x:c r="L1688"/>
      <x:c r="M1688"/>
      <x:c r="N1688"/>
      <x:c r="O1688"/>
      <x:c r="P1688"/>
      <x:c r="Q1688"/>
      <x:c r="R1688"/>
      <x:c r="S1688"/>
      <x:c r="T1688"/>
      <x:c r="U1688"/>
      <x:c r="V1688"/>
      <x:c r="W1688"/>
    </x:row>
    <x:row r="1689">
      <x:c r="A1689"/>
      <x:c r="B1689"/>
      <x:c r="C1689"/>
      <x:c r="D1689"/>
      <x:c r="E1689"/>
      <x:c r="F1689"/>
      <x:c r="G1689"/>
      <x:c r="H1689"/>
      <x:c r="I1689"/>
      <x:c r="J1689"/>
      <x:c r="K1689"/>
      <x:c r="L1689"/>
      <x:c r="M1689"/>
      <x:c r="N1689"/>
      <x:c r="O1689"/>
      <x:c r="P1689"/>
      <x:c r="Q1689"/>
      <x:c r="R1689"/>
      <x:c r="S1689"/>
      <x:c r="T1689"/>
      <x:c r="U1689"/>
      <x:c r="V1689"/>
      <x:c r="W1689"/>
    </x:row>
    <x:row r="1690">
      <x:c r="A1690"/>
      <x:c r="B1690"/>
      <x:c r="C1690"/>
      <x:c r="D1690"/>
      <x:c r="E1690"/>
      <x:c r="F1690"/>
      <x:c r="G1690"/>
      <x:c r="H1690"/>
      <x:c r="I1690"/>
      <x:c r="J1690"/>
      <x:c r="K1690"/>
      <x:c r="L1690"/>
      <x:c r="M1690"/>
      <x:c r="N1690"/>
      <x:c r="O1690"/>
      <x:c r="P1690"/>
      <x:c r="Q1690"/>
      <x:c r="R1690"/>
      <x:c r="S1690"/>
      <x:c r="T1690"/>
      <x:c r="U1690"/>
      <x:c r="V1690"/>
      <x:c r="W1690"/>
    </x:row>
    <x:row r="1691">
      <x:c r="A1691"/>
      <x:c r="B1691"/>
      <x:c r="C1691"/>
      <x:c r="D1691"/>
      <x:c r="E1691"/>
      <x:c r="F1691"/>
      <x:c r="G1691"/>
      <x:c r="H1691"/>
      <x:c r="I1691"/>
      <x:c r="J1691"/>
      <x:c r="K1691"/>
      <x:c r="L1691"/>
      <x:c r="M1691"/>
      <x:c r="N1691"/>
      <x:c r="O1691"/>
      <x:c r="P1691"/>
      <x:c r="Q1691"/>
      <x:c r="R1691"/>
      <x:c r="S1691"/>
      <x:c r="T1691"/>
      <x:c r="U1691"/>
      <x:c r="V1691"/>
      <x:c r="W1691"/>
    </x:row>
    <x:row r="1692">
      <x:c r="A1692"/>
      <x:c r="B1692"/>
      <x:c r="C1692"/>
      <x:c r="D1692"/>
      <x:c r="E1692"/>
      <x:c r="F1692"/>
      <x:c r="G1692"/>
      <x:c r="H1692"/>
      <x:c r="I1692"/>
      <x:c r="J1692"/>
      <x:c r="K1692"/>
      <x:c r="L1692"/>
      <x:c r="M1692"/>
      <x:c r="N1692"/>
      <x:c r="O1692"/>
      <x:c r="P1692"/>
      <x:c r="Q1692"/>
      <x:c r="R1692"/>
      <x:c r="S1692"/>
      <x:c r="T1692"/>
      <x:c r="U1692"/>
      <x:c r="V1692"/>
      <x:c r="W1692"/>
    </x:row>
    <x:row r="1693">
      <x:c r="A1693"/>
      <x:c r="B1693"/>
      <x:c r="C1693"/>
      <x:c r="D1693"/>
      <x:c r="E1693"/>
      <x:c r="F1693"/>
      <x:c r="G1693"/>
      <x:c r="H1693"/>
      <x:c r="I1693"/>
      <x:c r="J1693"/>
      <x:c r="K1693"/>
      <x:c r="L1693"/>
      <x:c r="M1693"/>
      <x:c r="N1693"/>
      <x:c r="O1693"/>
      <x:c r="P1693"/>
      <x:c r="Q1693"/>
      <x:c r="R1693"/>
      <x:c r="S1693"/>
      <x:c r="T1693"/>
      <x:c r="U1693"/>
      <x:c r="V1693"/>
      <x:c r="W1693"/>
    </x:row>
    <x:row r="1694">
      <x:c r="A1694"/>
      <x:c r="B1694"/>
      <x:c r="C1694"/>
      <x:c r="D1694"/>
      <x:c r="E1694"/>
      <x:c r="F1694"/>
      <x:c r="G1694"/>
      <x:c r="H1694"/>
      <x:c r="I1694"/>
      <x:c r="J1694"/>
      <x:c r="K1694"/>
      <x:c r="L1694"/>
      <x:c r="M1694"/>
      <x:c r="N1694"/>
      <x:c r="O1694"/>
      <x:c r="P1694"/>
      <x:c r="Q1694"/>
      <x:c r="R1694"/>
      <x:c r="S1694"/>
      <x:c r="T1694"/>
      <x:c r="U1694"/>
      <x:c r="V1694"/>
      <x:c r="W1694"/>
    </x:row>
    <x:row r="1695">
      <x:c r="A1695"/>
      <x:c r="B1695"/>
      <x:c r="C1695"/>
      <x:c r="D1695"/>
      <x:c r="E1695"/>
      <x:c r="F1695"/>
      <x:c r="G1695"/>
      <x:c r="H1695"/>
      <x:c r="I1695"/>
      <x:c r="J1695"/>
      <x:c r="K1695"/>
      <x:c r="L1695"/>
      <x:c r="M1695"/>
      <x:c r="N1695"/>
      <x:c r="O1695"/>
      <x:c r="P1695"/>
      <x:c r="Q1695"/>
      <x:c r="R1695"/>
      <x:c r="S1695"/>
      <x:c r="T1695"/>
      <x:c r="U1695"/>
      <x:c r="V1695"/>
      <x:c r="W1695"/>
    </x:row>
    <x:row r="1696">
      <x:c r="A1696"/>
      <x:c r="B1696"/>
      <x:c r="C1696"/>
      <x:c r="D1696"/>
      <x:c r="E1696"/>
      <x:c r="F1696"/>
      <x:c r="G1696"/>
      <x:c r="H1696"/>
      <x:c r="I1696"/>
      <x:c r="J1696"/>
      <x:c r="K1696"/>
      <x:c r="L1696"/>
      <x:c r="M1696"/>
      <x:c r="N1696"/>
      <x:c r="O1696"/>
      <x:c r="P1696"/>
      <x:c r="Q1696"/>
      <x:c r="R1696"/>
      <x:c r="S1696"/>
      <x:c r="T1696"/>
      <x:c r="U1696"/>
      <x:c r="V1696"/>
      <x:c r="W1696"/>
    </x:row>
    <x:row r="1697">
      <x:c r="A1697"/>
      <x:c r="B1697"/>
      <x:c r="C1697"/>
      <x:c r="D1697"/>
      <x:c r="E1697"/>
      <x:c r="F1697"/>
      <x:c r="G1697"/>
      <x:c r="H1697"/>
      <x:c r="I1697"/>
      <x:c r="J1697"/>
      <x:c r="K1697"/>
      <x:c r="L1697"/>
      <x:c r="M1697"/>
      <x:c r="N1697"/>
      <x:c r="O1697"/>
      <x:c r="P1697"/>
      <x:c r="Q1697"/>
      <x:c r="R1697"/>
      <x:c r="S1697"/>
      <x:c r="T1697"/>
      <x:c r="U1697"/>
      <x:c r="V1697"/>
      <x:c r="W1697"/>
    </x:row>
    <x:row r="1698">
      <x:c r="A1698"/>
      <x:c r="B1698"/>
      <x:c r="C1698"/>
      <x:c r="D1698"/>
      <x:c r="E1698"/>
      <x:c r="F1698"/>
      <x:c r="G1698"/>
      <x:c r="H1698"/>
      <x:c r="I1698"/>
      <x:c r="J1698"/>
      <x:c r="K1698"/>
      <x:c r="L1698"/>
      <x:c r="M1698"/>
      <x:c r="N1698"/>
      <x:c r="O1698"/>
      <x:c r="P1698"/>
      <x:c r="Q1698"/>
      <x:c r="R1698"/>
      <x:c r="S1698"/>
      <x:c r="T1698"/>
      <x:c r="U1698"/>
      <x:c r="V1698"/>
      <x:c r="W1698"/>
    </x:row>
    <x:row r="1699">
      <x:c r="A1699"/>
      <x:c r="B1699"/>
      <x:c r="C1699"/>
      <x:c r="D1699"/>
      <x:c r="E1699"/>
      <x:c r="F1699"/>
      <x:c r="G1699"/>
      <x:c r="H1699"/>
      <x:c r="I1699"/>
      <x:c r="J1699"/>
      <x:c r="K1699"/>
      <x:c r="L1699"/>
      <x:c r="M1699"/>
      <x:c r="N1699"/>
      <x:c r="O1699"/>
      <x:c r="P1699"/>
      <x:c r="Q1699"/>
      <x:c r="R1699"/>
      <x:c r="S1699"/>
      <x:c r="T1699"/>
      <x:c r="U1699"/>
      <x:c r="V1699"/>
      <x:c r="W1699"/>
    </x:row>
    <x:row r="1700">
      <x:c r="A1700"/>
      <x:c r="B1700"/>
      <x:c r="C1700"/>
      <x:c r="D1700"/>
      <x:c r="E1700"/>
      <x:c r="F1700"/>
      <x:c r="G1700"/>
      <x:c r="H1700"/>
      <x:c r="I1700"/>
      <x:c r="J1700"/>
      <x:c r="K1700"/>
      <x:c r="L1700"/>
      <x:c r="M1700"/>
      <x:c r="N1700"/>
      <x:c r="O1700"/>
      <x:c r="P1700"/>
      <x:c r="Q1700"/>
      <x:c r="R1700"/>
      <x:c r="S1700"/>
      <x:c r="T1700"/>
      <x:c r="U1700"/>
      <x:c r="V1700"/>
      <x:c r="W1700"/>
    </x:row>
    <x:row r="1701">
      <x:c r="A1701"/>
      <x:c r="B1701"/>
      <x:c r="C1701"/>
      <x:c r="D1701"/>
      <x:c r="E1701"/>
      <x:c r="F1701"/>
      <x:c r="G1701"/>
      <x:c r="H1701"/>
      <x:c r="I1701"/>
      <x:c r="J1701"/>
      <x:c r="K1701"/>
      <x:c r="L1701"/>
      <x:c r="M1701"/>
      <x:c r="N1701"/>
      <x:c r="O1701"/>
      <x:c r="P1701"/>
      <x:c r="Q1701"/>
      <x:c r="R1701"/>
      <x:c r="S1701"/>
      <x:c r="T1701"/>
      <x:c r="U1701"/>
      <x:c r="V1701"/>
      <x:c r="W1701"/>
    </x:row>
    <x:row r="1702">
      <x:c r="A1702"/>
      <x:c r="B1702"/>
      <x:c r="C1702"/>
      <x:c r="D1702"/>
      <x:c r="E1702"/>
      <x:c r="F1702"/>
      <x:c r="G1702"/>
      <x:c r="H1702"/>
      <x:c r="I1702"/>
      <x:c r="J1702"/>
      <x:c r="K1702"/>
      <x:c r="L1702"/>
      <x:c r="M1702"/>
      <x:c r="N1702"/>
      <x:c r="O1702"/>
      <x:c r="P1702"/>
      <x:c r="Q1702"/>
      <x:c r="R1702"/>
      <x:c r="S1702"/>
      <x:c r="T1702"/>
      <x:c r="U1702"/>
      <x:c r="V1702"/>
      <x:c r="W1702"/>
    </x:row>
    <x:row r="1703">
      <x:c r="A1703"/>
      <x:c r="B1703"/>
      <x:c r="C1703"/>
      <x:c r="D1703"/>
      <x:c r="E1703"/>
      <x:c r="F1703"/>
      <x:c r="G1703"/>
      <x:c r="H1703"/>
      <x:c r="I1703"/>
      <x:c r="J1703"/>
      <x:c r="K1703"/>
      <x:c r="L1703"/>
      <x:c r="M1703"/>
      <x:c r="N1703"/>
      <x:c r="O1703"/>
      <x:c r="P1703"/>
      <x:c r="Q1703"/>
      <x:c r="R1703"/>
      <x:c r="S1703"/>
      <x:c r="T1703"/>
      <x:c r="U1703"/>
      <x:c r="V1703"/>
      <x:c r="W1703"/>
    </x:row>
    <x:row r="1704">
      <x:c r="A1704"/>
      <x:c r="B1704"/>
      <x:c r="C1704"/>
      <x:c r="D1704"/>
      <x:c r="E1704"/>
      <x:c r="F1704"/>
      <x:c r="G1704"/>
      <x:c r="H1704"/>
      <x:c r="I1704"/>
      <x:c r="J1704"/>
      <x:c r="K1704"/>
      <x:c r="L1704"/>
      <x:c r="M1704"/>
      <x:c r="N1704"/>
      <x:c r="O1704"/>
      <x:c r="P1704"/>
      <x:c r="Q1704"/>
      <x:c r="R1704"/>
      <x:c r="S1704"/>
      <x:c r="T1704"/>
      <x:c r="U1704"/>
      <x:c r="V1704"/>
      <x:c r="W1704"/>
    </x:row>
    <x:row r="1705">
      <x:c r="A1705"/>
      <x:c r="B1705"/>
      <x:c r="C1705"/>
      <x:c r="D1705"/>
      <x:c r="E1705"/>
      <x:c r="F1705"/>
      <x:c r="G1705"/>
      <x:c r="H1705"/>
      <x:c r="I1705"/>
      <x:c r="J1705"/>
      <x:c r="K1705"/>
      <x:c r="L1705"/>
      <x:c r="M1705"/>
      <x:c r="N1705"/>
      <x:c r="O1705"/>
      <x:c r="P1705"/>
      <x:c r="Q1705"/>
      <x:c r="R1705"/>
      <x:c r="S1705"/>
      <x:c r="T1705"/>
      <x:c r="U1705"/>
      <x:c r="V1705"/>
      <x:c r="W1705"/>
    </x:row>
    <x:row r="1706">
      <x:c r="A1706"/>
      <x:c r="B1706"/>
      <x:c r="C1706"/>
      <x:c r="D1706"/>
      <x:c r="E1706"/>
      <x:c r="F1706"/>
      <x:c r="G1706"/>
      <x:c r="H1706"/>
      <x:c r="I1706"/>
      <x:c r="J1706"/>
      <x:c r="K1706"/>
      <x:c r="L1706"/>
      <x:c r="M1706"/>
      <x:c r="N1706"/>
      <x:c r="O1706"/>
      <x:c r="P1706"/>
      <x:c r="Q1706"/>
      <x:c r="R1706"/>
      <x:c r="S1706"/>
      <x:c r="T1706"/>
      <x:c r="U1706"/>
      <x:c r="V1706"/>
      <x:c r="W1706"/>
    </x:row>
    <x:row r="1707">
      <x:c r="A1707"/>
      <x:c r="B1707"/>
      <x:c r="C1707"/>
      <x:c r="D1707"/>
      <x:c r="E1707"/>
      <x:c r="F1707"/>
      <x:c r="G1707"/>
      <x:c r="H1707"/>
      <x:c r="I1707"/>
      <x:c r="J1707"/>
      <x:c r="K1707"/>
      <x:c r="L1707"/>
      <x:c r="M1707"/>
      <x:c r="N1707"/>
      <x:c r="O1707"/>
      <x:c r="P1707"/>
      <x:c r="Q1707"/>
      <x:c r="R1707"/>
      <x:c r="S1707"/>
      <x:c r="T1707"/>
      <x:c r="U1707"/>
      <x:c r="V1707"/>
      <x:c r="W1707"/>
    </x:row>
    <x:row r="1708">
      <x:c r="A1708"/>
      <x:c r="B1708"/>
      <x:c r="C1708"/>
      <x:c r="D1708"/>
      <x:c r="E1708"/>
      <x:c r="F1708"/>
      <x:c r="G1708"/>
      <x:c r="H1708"/>
      <x:c r="I1708"/>
      <x:c r="J1708"/>
      <x:c r="K1708"/>
      <x:c r="L1708"/>
      <x:c r="M1708"/>
      <x:c r="N1708"/>
      <x:c r="O1708"/>
      <x:c r="P1708"/>
      <x:c r="Q1708"/>
      <x:c r="R1708"/>
      <x:c r="S1708"/>
      <x:c r="T1708"/>
      <x:c r="U1708"/>
      <x:c r="V1708"/>
      <x:c r="W1708"/>
    </x:row>
    <x:row r="1709">
      <x:c r="A1709"/>
      <x:c r="B1709"/>
      <x:c r="C1709"/>
      <x:c r="D1709"/>
      <x:c r="E1709"/>
      <x:c r="F1709"/>
      <x:c r="G1709"/>
      <x:c r="H1709"/>
      <x:c r="I1709"/>
      <x:c r="J1709"/>
      <x:c r="K1709"/>
      <x:c r="L1709"/>
      <x:c r="M1709"/>
      <x:c r="N1709"/>
      <x:c r="O1709"/>
      <x:c r="P1709"/>
      <x:c r="Q1709"/>
      <x:c r="R1709"/>
      <x:c r="S1709"/>
      <x:c r="T1709"/>
      <x:c r="U1709"/>
      <x:c r="V1709"/>
      <x:c r="W1709"/>
    </x:row>
    <x:row r="1710">
      <x:c r="A1710"/>
      <x:c r="B1710"/>
      <x:c r="C1710"/>
      <x:c r="D1710"/>
      <x:c r="E1710"/>
      <x:c r="F1710"/>
      <x:c r="G1710"/>
      <x:c r="H1710"/>
      <x:c r="I1710"/>
      <x:c r="J1710"/>
      <x:c r="K1710"/>
      <x:c r="L1710"/>
      <x:c r="M1710"/>
      <x:c r="N1710"/>
      <x:c r="O1710"/>
      <x:c r="P1710"/>
      <x:c r="Q1710"/>
      <x:c r="R1710"/>
      <x:c r="S1710"/>
      <x:c r="T1710"/>
      <x:c r="U1710"/>
      <x:c r="V1710"/>
      <x:c r="W1710"/>
    </x:row>
    <x:row r="1711">
      <x:c r="A1711"/>
      <x:c r="B1711"/>
      <x:c r="C1711"/>
      <x:c r="D1711"/>
      <x:c r="E1711"/>
      <x:c r="F1711"/>
      <x:c r="G1711"/>
      <x:c r="H1711"/>
      <x:c r="I1711"/>
      <x:c r="J1711"/>
      <x:c r="K1711"/>
      <x:c r="L1711"/>
      <x:c r="M1711"/>
      <x:c r="N1711"/>
      <x:c r="O1711"/>
      <x:c r="P1711"/>
      <x:c r="Q1711"/>
      <x:c r="R1711"/>
      <x:c r="S1711"/>
      <x:c r="T1711"/>
      <x:c r="U1711"/>
      <x:c r="V1711"/>
      <x:c r="W1711"/>
    </x:row>
    <x:row r="1712">
      <x:c r="A1712"/>
      <x:c r="B1712"/>
      <x:c r="C1712"/>
      <x:c r="D1712"/>
      <x:c r="E1712"/>
      <x:c r="F1712"/>
      <x:c r="G1712"/>
      <x:c r="H1712"/>
      <x:c r="I1712"/>
      <x:c r="J1712"/>
      <x:c r="K1712"/>
      <x:c r="L1712"/>
      <x:c r="M1712"/>
      <x:c r="N1712"/>
      <x:c r="O1712"/>
      <x:c r="P1712"/>
      <x:c r="Q1712"/>
      <x:c r="R1712"/>
      <x:c r="S1712"/>
      <x:c r="T1712"/>
      <x:c r="U1712"/>
      <x:c r="V1712"/>
      <x:c r="W1712"/>
    </x:row>
    <x:row r="1713">
      <x:c r="A1713"/>
      <x:c r="B1713"/>
      <x:c r="C1713"/>
      <x:c r="D1713"/>
      <x:c r="E1713"/>
      <x:c r="F1713"/>
      <x:c r="G1713"/>
      <x:c r="H1713"/>
      <x:c r="I1713"/>
      <x:c r="J1713"/>
      <x:c r="K1713"/>
      <x:c r="L1713"/>
      <x:c r="M1713"/>
      <x:c r="N1713"/>
      <x:c r="O1713"/>
      <x:c r="P1713"/>
      <x:c r="Q1713"/>
      <x:c r="R1713"/>
      <x:c r="S1713"/>
      <x:c r="T1713"/>
      <x:c r="U1713"/>
      <x:c r="V1713"/>
      <x:c r="W1713"/>
    </x:row>
    <x:row r="1714">
      <x:c r="A1714"/>
      <x:c r="B1714"/>
      <x:c r="C1714"/>
      <x:c r="D1714"/>
      <x:c r="E1714"/>
      <x:c r="F1714"/>
      <x:c r="G1714"/>
      <x:c r="H1714"/>
      <x:c r="I1714"/>
      <x:c r="J1714"/>
      <x:c r="K1714"/>
      <x:c r="L1714"/>
      <x:c r="M1714"/>
      <x:c r="N1714"/>
      <x:c r="O1714"/>
      <x:c r="P1714"/>
      <x:c r="Q1714"/>
      <x:c r="R1714"/>
      <x:c r="S1714"/>
      <x:c r="T1714"/>
      <x:c r="U1714"/>
      <x:c r="V1714"/>
      <x:c r="W1714"/>
    </x:row>
    <x:row r="1715">
      <x:c r="A1715"/>
      <x:c r="B1715"/>
      <x:c r="C1715"/>
      <x:c r="D1715"/>
      <x:c r="E1715"/>
      <x:c r="F1715"/>
      <x:c r="G1715"/>
      <x:c r="H1715"/>
      <x:c r="I1715"/>
      <x:c r="J1715"/>
      <x:c r="K1715"/>
      <x:c r="L1715"/>
      <x:c r="M1715"/>
      <x:c r="N1715"/>
      <x:c r="O1715"/>
      <x:c r="P1715"/>
      <x:c r="Q1715"/>
      <x:c r="R1715"/>
      <x:c r="S1715"/>
      <x:c r="T1715"/>
      <x:c r="U1715"/>
      <x:c r="V1715"/>
      <x:c r="W1715"/>
    </x:row>
    <x:row r="1716">
      <x:c r="A1716"/>
      <x:c r="B1716"/>
      <x:c r="C1716"/>
      <x:c r="D1716"/>
      <x:c r="E1716"/>
      <x:c r="F1716"/>
      <x:c r="G1716"/>
      <x:c r="H1716"/>
      <x:c r="I1716"/>
      <x:c r="J1716"/>
      <x:c r="K1716"/>
      <x:c r="L1716"/>
      <x:c r="M1716"/>
      <x:c r="N1716"/>
      <x:c r="O1716"/>
      <x:c r="P1716"/>
      <x:c r="Q1716"/>
      <x:c r="R1716"/>
      <x:c r="S1716"/>
      <x:c r="T1716"/>
      <x:c r="U1716"/>
      <x:c r="V1716"/>
      <x:c r="W1716"/>
    </x:row>
    <x:row r="1717">
      <x:c r="A1717"/>
      <x:c r="B1717"/>
      <x:c r="C1717"/>
      <x:c r="D1717"/>
      <x:c r="E1717"/>
      <x:c r="F1717"/>
      <x:c r="G1717"/>
      <x:c r="H1717"/>
      <x:c r="I1717"/>
      <x:c r="J1717"/>
      <x:c r="K1717"/>
      <x:c r="L1717"/>
      <x:c r="M1717"/>
      <x:c r="N1717"/>
      <x:c r="O1717"/>
      <x:c r="P1717"/>
      <x:c r="Q1717"/>
      <x:c r="R1717"/>
      <x:c r="S1717"/>
      <x:c r="T1717"/>
      <x:c r="U1717"/>
      <x:c r="V1717"/>
      <x:c r="W1717"/>
    </x:row>
    <x:row r="1718">
      <x:c r="A1718"/>
      <x:c r="B1718"/>
      <x:c r="C1718"/>
      <x:c r="D1718"/>
      <x:c r="E1718"/>
      <x:c r="F1718"/>
      <x:c r="G1718"/>
      <x:c r="H1718"/>
      <x:c r="I1718"/>
      <x:c r="J1718"/>
      <x:c r="K1718"/>
      <x:c r="L1718"/>
      <x:c r="M1718"/>
      <x:c r="N1718"/>
      <x:c r="O1718"/>
      <x:c r="P1718"/>
      <x:c r="Q1718"/>
      <x:c r="R1718"/>
      <x:c r="S1718"/>
      <x:c r="T1718"/>
      <x:c r="U1718"/>
      <x:c r="V1718"/>
      <x:c r="W1718"/>
    </x:row>
    <x:row r="1719">
      <x:c r="A1719"/>
      <x:c r="B1719"/>
      <x:c r="C1719"/>
      <x:c r="D1719"/>
      <x:c r="E1719"/>
      <x:c r="F1719"/>
      <x:c r="G1719"/>
      <x:c r="H1719"/>
      <x:c r="I1719"/>
      <x:c r="J1719"/>
      <x:c r="K1719"/>
      <x:c r="L1719"/>
      <x:c r="M1719"/>
      <x:c r="N1719"/>
      <x:c r="O1719"/>
      <x:c r="P1719"/>
      <x:c r="Q1719"/>
      <x:c r="R1719"/>
      <x:c r="S1719"/>
      <x:c r="T1719"/>
      <x:c r="U1719"/>
      <x:c r="V1719"/>
      <x:c r="W1719"/>
    </x:row>
    <x:row r="1720">
      <x:c r="A1720"/>
      <x:c r="B1720"/>
      <x:c r="C1720"/>
      <x:c r="D1720"/>
      <x:c r="E1720"/>
      <x:c r="F1720"/>
      <x:c r="G1720"/>
      <x:c r="H1720"/>
      <x:c r="I1720"/>
      <x:c r="J1720"/>
      <x:c r="K1720"/>
      <x:c r="L1720"/>
      <x:c r="M1720"/>
      <x:c r="N1720"/>
      <x:c r="O1720"/>
      <x:c r="P1720"/>
      <x:c r="Q1720"/>
      <x:c r="R1720"/>
      <x:c r="S1720"/>
      <x:c r="T1720"/>
      <x:c r="U1720"/>
      <x:c r="V1720"/>
      <x:c r="W1720"/>
    </x:row>
    <x:row r="1721">
      <x:c r="A1721"/>
      <x:c r="B1721"/>
      <x:c r="C1721"/>
      <x:c r="D1721"/>
      <x:c r="E1721"/>
      <x:c r="F1721"/>
      <x:c r="G1721"/>
      <x:c r="H1721"/>
      <x:c r="I1721"/>
      <x:c r="J1721"/>
      <x:c r="K1721"/>
      <x:c r="L1721"/>
      <x:c r="M1721"/>
      <x:c r="N1721"/>
      <x:c r="O1721"/>
      <x:c r="P1721"/>
      <x:c r="Q1721"/>
      <x:c r="R1721"/>
      <x:c r="S1721"/>
      <x:c r="T1721"/>
      <x:c r="U1721"/>
      <x:c r="V1721"/>
      <x:c r="W1721"/>
    </x:row>
    <x:row r="1722">
      <x:c r="A1722"/>
      <x:c r="B1722"/>
      <x:c r="C1722"/>
      <x:c r="D1722"/>
      <x:c r="E1722"/>
      <x:c r="F1722"/>
      <x:c r="G1722"/>
      <x:c r="H1722"/>
      <x:c r="I1722"/>
      <x:c r="J1722"/>
      <x:c r="K1722"/>
      <x:c r="L1722"/>
      <x:c r="M1722"/>
      <x:c r="N1722"/>
      <x:c r="O1722"/>
      <x:c r="P1722"/>
      <x:c r="Q1722"/>
      <x:c r="R1722"/>
      <x:c r="S1722"/>
      <x:c r="T1722"/>
      <x:c r="U1722"/>
      <x:c r="V1722"/>
      <x:c r="W1722"/>
    </x:row>
    <x:row r="1723">
      <x:c r="A1723"/>
      <x:c r="B1723"/>
      <x:c r="C1723"/>
      <x:c r="D1723"/>
      <x:c r="E1723"/>
      <x:c r="F1723"/>
      <x:c r="G1723"/>
      <x:c r="H1723"/>
      <x:c r="I1723"/>
      <x:c r="J1723"/>
      <x:c r="K1723"/>
      <x:c r="L1723"/>
      <x:c r="M1723"/>
      <x:c r="N1723"/>
      <x:c r="O1723"/>
      <x:c r="P1723"/>
      <x:c r="Q1723"/>
      <x:c r="R1723"/>
      <x:c r="S1723"/>
      <x:c r="T1723"/>
      <x:c r="U1723"/>
      <x:c r="V1723"/>
      <x:c r="W1723"/>
    </x:row>
    <x:row r="1724">
      <x:c r="A1724"/>
      <x:c r="B1724"/>
      <x:c r="C1724"/>
      <x:c r="D1724"/>
      <x:c r="E1724"/>
      <x:c r="F1724"/>
      <x:c r="G1724"/>
      <x:c r="H1724"/>
      <x:c r="I1724"/>
      <x:c r="J1724"/>
      <x:c r="K1724"/>
      <x:c r="L1724"/>
      <x:c r="M1724"/>
      <x:c r="N1724"/>
      <x:c r="O1724"/>
      <x:c r="P1724"/>
      <x:c r="Q1724"/>
      <x:c r="R1724"/>
      <x:c r="S1724"/>
      <x:c r="T1724"/>
      <x:c r="U1724"/>
      <x:c r="V1724"/>
      <x:c r="W1724"/>
    </x:row>
    <x:row r="1725">
      <x:c r="A1725"/>
      <x:c r="B1725"/>
      <x:c r="C1725"/>
      <x:c r="D1725"/>
      <x:c r="E1725"/>
      <x:c r="F1725"/>
      <x:c r="G1725"/>
      <x:c r="H1725"/>
      <x:c r="I1725"/>
      <x:c r="J1725"/>
      <x:c r="K1725"/>
      <x:c r="L1725"/>
      <x:c r="M1725"/>
      <x:c r="N1725"/>
      <x:c r="O1725"/>
      <x:c r="P1725"/>
      <x:c r="Q1725"/>
      <x:c r="R1725"/>
      <x:c r="S1725"/>
      <x:c r="T1725"/>
      <x:c r="U1725"/>
      <x:c r="V1725"/>
      <x:c r="W1725"/>
    </x:row>
    <x:row r="1726">
      <x:c r="A1726"/>
      <x:c r="B1726"/>
      <x:c r="C1726"/>
      <x:c r="D1726"/>
      <x:c r="E1726"/>
      <x:c r="F1726"/>
      <x:c r="G1726"/>
      <x:c r="H1726"/>
      <x:c r="I1726"/>
      <x:c r="J1726"/>
      <x:c r="K1726"/>
      <x:c r="L1726"/>
      <x:c r="M1726"/>
      <x:c r="N1726"/>
      <x:c r="O1726"/>
      <x:c r="P1726"/>
      <x:c r="Q1726"/>
      <x:c r="R1726"/>
      <x:c r="S1726"/>
      <x:c r="T1726"/>
      <x:c r="U1726"/>
      <x:c r="V1726"/>
      <x:c r="W1726"/>
    </x:row>
    <x:row r="1727">
      <x:c r="A1727"/>
      <x:c r="B1727"/>
      <x:c r="C1727"/>
      <x:c r="D1727"/>
      <x:c r="E1727"/>
      <x:c r="F1727"/>
      <x:c r="G1727"/>
      <x:c r="H1727"/>
      <x:c r="I1727"/>
      <x:c r="J1727"/>
      <x:c r="K1727"/>
      <x:c r="L1727"/>
      <x:c r="M1727"/>
      <x:c r="N1727"/>
      <x:c r="O1727"/>
      <x:c r="P1727"/>
      <x:c r="Q1727"/>
      <x:c r="R1727"/>
      <x:c r="S1727"/>
      <x:c r="T1727"/>
      <x:c r="U1727"/>
      <x:c r="V1727"/>
      <x:c r="W1727"/>
    </x:row>
    <x:row r="1728">
      <x:c r="A1728"/>
      <x:c r="B1728"/>
      <x:c r="C1728"/>
      <x:c r="D1728"/>
      <x:c r="E1728"/>
      <x:c r="F1728"/>
      <x:c r="G1728"/>
      <x:c r="H1728"/>
      <x:c r="I1728"/>
      <x:c r="J1728"/>
      <x:c r="K1728"/>
      <x:c r="L1728"/>
      <x:c r="M1728"/>
      <x:c r="N1728"/>
      <x:c r="O1728"/>
      <x:c r="P1728"/>
      <x:c r="Q1728"/>
      <x:c r="R1728"/>
      <x:c r="S1728"/>
      <x:c r="T1728"/>
      <x:c r="U1728"/>
      <x:c r="V1728"/>
      <x:c r="W1728"/>
    </x:row>
    <x:row r="1729">
      <x:c r="A1729"/>
      <x:c r="B1729"/>
      <x:c r="C1729"/>
      <x:c r="D1729"/>
      <x:c r="E1729"/>
      <x:c r="F1729"/>
      <x:c r="G1729"/>
      <x:c r="H1729"/>
      <x:c r="I1729"/>
      <x:c r="J1729"/>
      <x:c r="K1729"/>
      <x:c r="L1729"/>
      <x:c r="M1729"/>
      <x:c r="N1729"/>
      <x:c r="O1729"/>
      <x:c r="P1729"/>
      <x:c r="Q1729"/>
      <x:c r="R1729"/>
      <x:c r="S1729"/>
      <x:c r="T1729"/>
      <x:c r="U1729"/>
      <x:c r="V1729"/>
      <x:c r="W1729"/>
    </x:row>
    <x:row r="1730">
      <x:c r="A1730"/>
      <x:c r="B1730"/>
      <x:c r="C1730"/>
      <x:c r="D1730"/>
      <x:c r="E1730"/>
      <x:c r="F1730"/>
      <x:c r="G1730"/>
      <x:c r="H1730"/>
      <x:c r="I1730"/>
      <x:c r="J1730"/>
      <x:c r="K1730"/>
      <x:c r="L1730"/>
      <x:c r="M1730"/>
      <x:c r="N1730"/>
      <x:c r="O1730"/>
      <x:c r="P1730"/>
      <x:c r="Q1730"/>
      <x:c r="R1730"/>
      <x:c r="S1730"/>
      <x:c r="T1730"/>
      <x:c r="U1730"/>
      <x:c r="V1730"/>
      <x:c r="W1730"/>
    </x:row>
    <x:row r="1731">
      <x:c r="A1731"/>
      <x:c r="B1731"/>
      <x:c r="C1731"/>
      <x:c r="D1731"/>
      <x:c r="E1731"/>
      <x:c r="F1731"/>
      <x:c r="G1731"/>
      <x:c r="H1731"/>
      <x:c r="I1731"/>
      <x:c r="J1731"/>
      <x:c r="K1731"/>
      <x:c r="L1731"/>
      <x:c r="M1731"/>
      <x:c r="N1731"/>
      <x:c r="O1731"/>
      <x:c r="P1731"/>
      <x:c r="Q1731"/>
      <x:c r="R1731"/>
      <x:c r="S1731"/>
      <x:c r="T1731"/>
      <x:c r="U1731"/>
      <x:c r="V1731"/>
      <x:c r="W1731"/>
    </x:row>
    <x:row r="1732">
      <x:c r="A1732"/>
      <x:c r="B1732"/>
      <x:c r="C1732"/>
      <x:c r="D1732"/>
      <x:c r="E1732"/>
      <x:c r="F1732"/>
      <x:c r="G1732"/>
      <x:c r="H1732"/>
      <x:c r="I1732"/>
      <x:c r="J1732"/>
      <x:c r="K1732"/>
      <x:c r="L1732"/>
      <x:c r="M1732"/>
      <x:c r="N1732"/>
      <x:c r="O1732"/>
      <x:c r="P1732"/>
      <x:c r="Q1732"/>
      <x:c r="R1732"/>
      <x:c r="S1732"/>
      <x:c r="T1732"/>
      <x:c r="U1732"/>
      <x:c r="V1732"/>
      <x:c r="W1732"/>
    </x:row>
    <x:row r="1733">
      <x:c r="A1733"/>
      <x:c r="B1733"/>
      <x:c r="C1733"/>
      <x:c r="D1733"/>
      <x:c r="E1733"/>
      <x:c r="F1733"/>
      <x:c r="G1733"/>
      <x:c r="H1733"/>
      <x:c r="I1733"/>
      <x:c r="J1733"/>
      <x:c r="K1733"/>
      <x:c r="L1733"/>
      <x:c r="M1733"/>
      <x:c r="N1733"/>
      <x:c r="O1733"/>
      <x:c r="P1733"/>
      <x:c r="Q1733"/>
      <x:c r="R1733"/>
      <x:c r="S1733"/>
      <x:c r="T1733"/>
      <x:c r="U1733"/>
      <x:c r="V1733"/>
      <x:c r="W1733"/>
    </x:row>
    <x:row r="1734">
      <x:c r="A1734"/>
      <x:c r="B1734"/>
      <x:c r="C1734"/>
      <x:c r="D1734"/>
      <x:c r="E1734"/>
      <x:c r="F1734"/>
      <x:c r="G1734"/>
      <x:c r="H1734"/>
      <x:c r="I1734"/>
      <x:c r="J1734"/>
      <x:c r="K1734"/>
      <x:c r="L1734"/>
      <x:c r="M1734"/>
      <x:c r="N1734"/>
      <x:c r="O1734"/>
      <x:c r="P1734"/>
      <x:c r="Q1734"/>
      <x:c r="R1734"/>
      <x:c r="S1734"/>
      <x:c r="T1734"/>
      <x:c r="U1734"/>
      <x:c r="V1734"/>
      <x:c r="W1734"/>
    </x:row>
    <x:row r="1735">
      <x:c r="A1735"/>
      <x:c r="B1735"/>
      <x:c r="C1735"/>
      <x:c r="D1735"/>
      <x:c r="E1735"/>
      <x:c r="F1735"/>
      <x:c r="G1735"/>
      <x:c r="H1735"/>
      <x:c r="I1735"/>
      <x:c r="J1735"/>
      <x:c r="K1735"/>
      <x:c r="L1735"/>
      <x:c r="M1735"/>
      <x:c r="N1735"/>
      <x:c r="O1735"/>
      <x:c r="P1735"/>
      <x:c r="Q1735"/>
      <x:c r="R1735"/>
      <x:c r="S1735"/>
      <x:c r="T1735"/>
      <x:c r="U1735"/>
      <x:c r="V1735"/>
      <x:c r="W1735"/>
    </x:row>
    <x:row r="1736">
      <x:c r="A1736"/>
      <x:c r="B1736"/>
      <x:c r="C1736"/>
      <x:c r="D1736"/>
      <x:c r="E1736"/>
      <x:c r="F1736"/>
      <x:c r="G1736"/>
      <x:c r="H1736"/>
      <x:c r="I1736"/>
      <x:c r="J1736"/>
      <x:c r="K1736"/>
      <x:c r="L1736"/>
      <x:c r="M1736"/>
      <x:c r="N1736"/>
      <x:c r="O1736"/>
      <x:c r="P1736"/>
      <x:c r="Q1736"/>
      <x:c r="R1736"/>
      <x:c r="S1736"/>
      <x:c r="T1736"/>
      <x:c r="U1736"/>
      <x:c r="V1736"/>
      <x:c r="W1736"/>
    </x:row>
    <x:row r="1737">
      <x:c r="A1737"/>
      <x:c r="B1737"/>
      <x:c r="C1737"/>
      <x:c r="D1737"/>
      <x:c r="E1737"/>
      <x:c r="F1737"/>
      <x:c r="G1737"/>
      <x:c r="H1737"/>
      <x:c r="I1737"/>
      <x:c r="J1737"/>
      <x:c r="K1737"/>
      <x:c r="L1737"/>
      <x:c r="M1737"/>
      <x:c r="N1737"/>
      <x:c r="O1737"/>
      <x:c r="P1737"/>
      <x:c r="Q1737"/>
      <x:c r="R1737"/>
      <x:c r="S1737"/>
      <x:c r="T1737"/>
      <x:c r="U1737"/>
      <x:c r="V1737"/>
      <x:c r="W1737"/>
    </x:row>
    <x:row r="1738">
      <x:c r="A1738"/>
      <x:c r="B1738"/>
      <x:c r="C1738"/>
      <x:c r="D1738"/>
      <x:c r="E1738"/>
      <x:c r="F1738"/>
      <x:c r="G1738"/>
      <x:c r="H1738"/>
      <x:c r="I1738"/>
      <x:c r="J1738"/>
      <x:c r="K1738"/>
      <x:c r="L1738"/>
      <x:c r="M1738"/>
      <x:c r="N1738"/>
      <x:c r="O1738"/>
      <x:c r="P1738"/>
      <x:c r="Q1738"/>
      <x:c r="R1738"/>
      <x:c r="S1738"/>
      <x:c r="T1738"/>
      <x:c r="U1738"/>
      <x:c r="V1738"/>
      <x:c r="W1738"/>
    </x:row>
    <x:row r="1739">
      <x:c r="A1739"/>
      <x:c r="B1739"/>
      <x:c r="C1739"/>
      <x:c r="D1739"/>
      <x:c r="E1739"/>
      <x:c r="F1739"/>
      <x:c r="G1739"/>
      <x:c r="H1739"/>
      <x:c r="I1739"/>
      <x:c r="J1739"/>
      <x:c r="K1739"/>
      <x:c r="L1739"/>
      <x:c r="M1739"/>
      <x:c r="N1739"/>
      <x:c r="O1739"/>
      <x:c r="P1739"/>
      <x:c r="Q1739"/>
      <x:c r="R1739"/>
      <x:c r="S1739"/>
      <x:c r="T1739"/>
      <x:c r="U1739"/>
      <x:c r="V1739"/>
      <x:c r="W1739"/>
    </x:row>
    <x:row r="1740">
      <x:c r="A1740"/>
      <x:c r="B1740"/>
      <x:c r="C1740"/>
      <x:c r="D1740"/>
      <x:c r="E1740"/>
      <x:c r="F1740"/>
      <x:c r="G1740"/>
      <x:c r="H1740"/>
      <x:c r="I1740"/>
      <x:c r="J1740"/>
      <x:c r="K1740"/>
      <x:c r="L1740"/>
      <x:c r="M1740"/>
      <x:c r="N1740"/>
      <x:c r="O1740"/>
      <x:c r="P1740"/>
      <x:c r="Q1740"/>
      <x:c r="R1740"/>
      <x:c r="S1740"/>
      <x:c r="T1740"/>
      <x:c r="U1740"/>
      <x:c r="V1740"/>
      <x:c r="W1740"/>
    </x:row>
    <x:row r="1741">
      <x:c r="A1741"/>
      <x:c r="B1741"/>
      <x:c r="C1741"/>
      <x:c r="D1741"/>
      <x:c r="E1741"/>
      <x:c r="F1741"/>
      <x:c r="G1741"/>
      <x:c r="H1741"/>
      <x:c r="I1741"/>
      <x:c r="J1741"/>
      <x:c r="K1741"/>
      <x:c r="L1741"/>
      <x:c r="M1741"/>
      <x:c r="N1741"/>
      <x:c r="O1741"/>
      <x:c r="P1741"/>
      <x:c r="Q1741"/>
      <x:c r="R1741"/>
      <x:c r="S1741"/>
      <x:c r="T1741"/>
      <x:c r="U1741"/>
      <x:c r="V1741"/>
      <x:c r="W1741"/>
    </x:row>
    <x:row r="1742">
      <x:c r="A1742"/>
      <x:c r="B1742"/>
      <x:c r="C1742"/>
      <x:c r="D1742"/>
      <x:c r="E1742"/>
      <x:c r="F1742"/>
      <x:c r="G1742"/>
      <x:c r="H1742"/>
      <x:c r="I1742"/>
      <x:c r="J1742"/>
      <x:c r="K1742"/>
      <x:c r="L1742"/>
      <x:c r="M1742"/>
      <x:c r="N1742"/>
      <x:c r="O1742"/>
      <x:c r="P1742"/>
      <x:c r="Q1742"/>
      <x:c r="R1742"/>
      <x:c r="S1742"/>
      <x:c r="T1742"/>
      <x:c r="U1742"/>
      <x:c r="V1742"/>
      <x:c r="W1742"/>
    </x:row>
    <x:row r="1743">
      <x:c r="A1743"/>
      <x:c r="B1743"/>
      <x:c r="C1743"/>
      <x:c r="D1743"/>
      <x:c r="E1743"/>
      <x:c r="F1743"/>
      <x:c r="G1743"/>
      <x:c r="H1743"/>
      <x:c r="I1743"/>
      <x:c r="J1743"/>
      <x:c r="K1743"/>
      <x:c r="L1743"/>
      <x:c r="M1743"/>
      <x:c r="N1743"/>
      <x:c r="O1743"/>
      <x:c r="P1743"/>
      <x:c r="Q1743"/>
      <x:c r="R1743"/>
      <x:c r="S1743"/>
      <x:c r="T1743"/>
      <x:c r="U1743"/>
      <x:c r="V1743"/>
      <x:c r="W1743"/>
    </x:row>
    <x:row r="1744">
      <x:c r="A1744"/>
      <x:c r="B1744"/>
      <x:c r="C1744"/>
      <x:c r="D1744"/>
      <x:c r="E1744"/>
      <x:c r="F1744"/>
      <x:c r="G1744"/>
      <x:c r="H1744"/>
      <x:c r="I1744"/>
      <x:c r="J1744"/>
      <x:c r="K1744"/>
      <x:c r="L1744"/>
      <x:c r="M1744"/>
      <x:c r="N1744"/>
      <x:c r="O1744"/>
      <x:c r="P1744"/>
      <x:c r="Q1744"/>
      <x:c r="R1744"/>
      <x:c r="S1744"/>
      <x:c r="T1744"/>
      <x:c r="U1744"/>
      <x:c r="V1744"/>
      <x:c r="W1744"/>
    </x:row>
    <x:row r="1745">
      <x:c r="A1745"/>
      <x:c r="B1745"/>
      <x:c r="C1745"/>
      <x:c r="D1745"/>
      <x:c r="E1745"/>
      <x:c r="F1745"/>
      <x:c r="G1745"/>
      <x:c r="H1745"/>
      <x:c r="I1745"/>
      <x:c r="J1745"/>
      <x:c r="K1745"/>
      <x:c r="L1745"/>
      <x:c r="M1745"/>
      <x:c r="N1745"/>
      <x:c r="O1745"/>
      <x:c r="P1745"/>
      <x:c r="Q1745"/>
      <x:c r="R1745"/>
      <x:c r="S1745"/>
      <x:c r="T1745"/>
      <x:c r="U1745"/>
      <x:c r="V1745"/>
      <x:c r="W1745"/>
    </x:row>
    <x:row r="1746">
      <x:c r="A1746"/>
      <x:c r="B1746"/>
      <x:c r="C1746"/>
      <x:c r="D1746"/>
      <x:c r="E1746"/>
      <x:c r="F1746"/>
      <x:c r="G1746"/>
      <x:c r="H1746"/>
      <x:c r="I1746"/>
      <x:c r="J1746"/>
      <x:c r="K1746"/>
      <x:c r="L1746"/>
      <x:c r="M1746"/>
      <x:c r="N1746"/>
      <x:c r="O1746"/>
      <x:c r="P1746"/>
      <x:c r="Q1746"/>
      <x:c r="R1746"/>
      <x:c r="S1746"/>
      <x:c r="T1746"/>
      <x:c r="U1746"/>
      <x:c r="V1746"/>
      <x:c r="W1746"/>
    </x:row>
    <x:row r="1747">
      <x:c r="A1747"/>
      <x:c r="B1747"/>
      <x:c r="C1747"/>
      <x:c r="D1747"/>
      <x:c r="E1747"/>
      <x:c r="F1747"/>
      <x:c r="G1747"/>
      <x:c r="H1747"/>
      <x:c r="I1747"/>
      <x:c r="J1747"/>
      <x:c r="K1747"/>
      <x:c r="L1747"/>
      <x:c r="M1747"/>
      <x:c r="N1747"/>
      <x:c r="O1747"/>
      <x:c r="P1747"/>
      <x:c r="Q1747"/>
      <x:c r="R1747"/>
      <x:c r="S1747"/>
      <x:c r="T1747"/>
      <x:c r="U1747"/>
      <x:c r="V1747"/>
      <x:c r="W1747"/>
    </x:row>
    <x:row r="1748">
      <x:c r="A1748"/>
      <x:c r="B1748"/>
      <x:c r="C1748"/>
      <x:c r="D1748"/>
      <x:c r="E1748"/>
      <x:c r="F1748"/>
      <x:c r="G1748"/>
      <x:c r="H1748"/>
      <x:c r="I1748"/>
      <x:c r="J1748"/>
      <x:c r="K1748"/>
      <x:c r="L1748"/>
      <x:c r="M1748"/>
      <x:c r="N1748"/>
      <x:c r="O1748"/>
      <x:c r="P1748"/>
      <x:c r="Q1748"/>
      <x:c r="R1748"/>
      <x:c r="S1748"/>
      <x:c r="T1748"/>
      <x:c r="U1748"/>
      <x:c r="V1748"/>
      <x:c r="W1748"/>
    </x:row>
    <x:row r="1749">
      <x:c r="A1749"/>
      <x:c r="B1749"/>
      <x:c r="C1749"/>
      <x:c r="D1749"/>
      <x:c r="E1749"/>
      <x:c r="F1749"/>
      <x:c r="G1749"/>
      <x:c r="H1749"/>
      <x:c r="I1749"/>
      <x:c r="J1749"/>
      <x:c r="K1749"/>
      <x:c r="L1749"/>
      <x:c r="M1749"/>
      <x:c r="N1749"/>
      <x:c r="O1749"/>
      <x:c r="P1749"/>
      <x:c r="Q1749"/>
      <x:c r="R1749"/>
      <x:c r="S1749"/>
      <x:c r="T1749"/>
      <x:c r="U1749"/>
      <x:c r="V1749"/>
      <x:c r="W1749"/>
    </x:row>
    <x:row r="1750">
      <x:c r="A1750"/>
      <x:c r="B1750"/>
      <x:c r="C1750"/>
      <x:c r="D1750"/>
      <x:c r="E1750"/>
      <x:c r="F1750"/>
      <x:c r="G1750"/>
      <x:c r="H1750"/>
      <x:c r="I1750"/>
      <x:c r="J1750"/>
      <x:c r="K1750"/>
      <x:c r="L1750"/>
      <x:c r="M1750"/>
      <x:c r="N1750"/>
      <x:c r="O1750"/>
      <x:c r="P1750"/>
      <x:c r="Q1750"/>
      <x:c r="R1750"/>
      <x:c r="S1750"/>
      <x:c r="T1750"/>
      <x:c r="U1750"/>
      <x:c r="V1750"/>
      <x:c r="W1750"/>
    </x:row>
    <x:row r="1751">
      <x:c r="A1751"/>
      <x:c r="B1751"/>
      <x:c r="C1751"/>
      <x:c r="D1751"/>
      <x:c r="E1751"/>
      <x:c r="F1751"/>
      <x:c r="G1751"/>
      <x:c r="H1751"/>
      <x:c r="I1751"/>
      <x:c r="J1751"/>
      <x:c r="K1751"/>
      <x:c r="L1751"/>
      <x:c r="M1751"/>
      <x:c r="N1751"/>
      <x:c r="O1751"/>
      <x:c r="P1751"/>
      <x:c r="Q1751"/>
      <x:c r="R1751"/>
      <x:c r="S1751"/>
      <x:c r="T1751"/>
      <x:c r="U1751"/>
      <x:c r="V1751"/>
      <x:c r="W1751"/>
    </x:row>
    <x:row r="1752">
      <x:c r="A1752"/>
      <x:c r="B1752"/>
      <x:c r="C1752"/>
      <x:c r="D1752"/>
      <x:c r="E1752"/>
      <x:c r="F1752"/>
      <x:c r="G1752"/>
      <x:c r="H1752"/>
      <x:c r="I1752"/>
      <x:c r="J1752"/>
      <x:c r="K1752"/>
      <x:c r="L1752"/>
      <x:c r="M1752"/>
      <x:c r="N1752"/>
      <x:c r="O1752"/>
      <x:c r="P1752"/>
      <x:c r="Q1752"/>
      <x:c r="R1752"/>
      <x:c r="S1752"/>
      <x:c r="T1752"/>
      <x:c r="U1752"/>
      <x:c r="V1752"/>
      <x:c r="W1752"/>
    </x:row>
    <x:row r="1753">
      <x:c r="A1753"/>
      <x:c r="B1753"/>
      <x:c r="C1753"/>
      <x:c r="D1753"/>
      <x:c r="E1753"/>
      <x:c r="F1753"/>
      <x:c r="G1753"/>
      <x:c r="H1753"/>
      <x:c r="I1753"/>
      <x:c r="J1753"/>
      <x:c r="K1753"/>
      <x:c r="L1753"/>
      <x:c r="M1753"/>
      <x:c r="N1753"/>
      <x:c r="O1753"/>
      <x:c r="P1753"/>
      <x:c r="Q1753"/>
      <x:c r="R1753"/>
      <x:c r="S1753"/>
      <x:c r="T1753"/>
      <x:c r="U1753"/>
      <x:c r="V1753"/>
      <x:c r="W1753"/>
    </x:row>
    <x:row r="1754">
      <x:c r="A1754"/>
      <x:c r="B1754"/>
      <x:c r="C1754"/>
      <x:c r="D1754"/>
      <x:c r="E1754"/>
      <x:c r="F1754"/>
      <x:c r="G1754"/>
      <x:c r="H1754"/>
      <x:c r="I1754"/>
      <x:c r="J1754"/>
      <x:c r="K1754"/>
      <x:c r="L1754"/>
      <x:c r="M1754"/>
      <x:c r="N1754"/>
      <x:c r="O1754"/>
      <x:c r="P1754"/>
      <x:c r="Q1754"/>
      <x:c r="R1754"/>
      <x:c r="S1754"/>
      <x:c r="T1754"/>
      <x:c r="U1754"/>
      <x:c r="V1754"/>
      <x:c r="W1754"/>
    </x:row>
    <x:row r="1755">
      <x:c r="A1755"/>
      <x:c r="B1755"/>
      <x:c r="C1755"/>
      <x:c r="D1755"/>
      <x:c r="E1755"/>
      <x:c r="F1755"/>
      <x:c r="G1755"/>
      <x:c r="H1755"/>
      <x:c r="I1755"/>
      <x:c r="J1755"/>
      <x:c r="K1755"/>
      <x:c r="L1755"/>
      <x:c r="M1755"/>
      <x:c r="N1755"/>
      <x:c r="O1755"/>
      <x:c r="P1755"/>
      <x:c r="Q1755"/>
      <x:c r="R1755"/>
      <x:c r="S1755"/>
      <x:c r="T1755"/>
      <x:c r="U1755"/>
      <x:c r="V1755"/>
      <x:c r="W1755"/>
    </x:row>
    <x:row r="1756">
      <x:c r="A1756"/>
      <x:c r="B1756"/>
      <x:c r="C1756"/>
      <x:c r="D1756"/>
      <x:c r="E1756"/>
      <x:c r="F1756"/>
      <x:c r="G1756"/>
      <x:c r="H1756"/>
      <x:c r="I1756"/>
      <x:c r="J1756"/>
      <x:c r="K1756"/>
      <x:c r="L1756"/>
      <x:c r="M1756"/>
      <x:c r="N1756"/>
      <x:c r="O1756"/>
      <x:c r="P1756"/>
      <x:c r="Q1756"/>
      <x:c r="R1756"/>
      <x:c r="S1756"/>
      <x:c r="T1756"/>
      <x:c r="U1756"/>
      <x:c r="V1756"/>
      <x:c r="W1756"/>
    </x:row>
    <x:row r="1757">
      <x:c r="A1757"/>
      <x:c r="B1757"/>
      <x:c r="C1757"/>
      <x:c r="D1757"/>
      <x:c r="E1757"/>
      <x:c r="F1757"/>
      <x:c r="G1757"/>
      <x:c r="H1757"/>
      <x:c r="I1757"/>
      <x:c r="J1757"/>
      <x:c r="K1757"/>
      <x:c r="L1757"/>
      <x:c r="M1757"/>
      <x:c r="N1757"/>
      <x:c r="O1757"/>
      <x:c r="P1757"/>
      <x:c r="Q1757"/>
      <x:c r="R1757"/>
      <x:c r="S1757"/>
      <x:c r="T1757"/>
      <x:c r="U1757"/>
      <x:c r="V1757"/>
      <x:c r="W1757"/>
    </x:row>
    <x:row r="1758">
      <x:c r="A1758"/>
      <x:c r="B1758"/>
      <x:c r="C1758"/>
      <x:c r="D1758"/>
      <x:c r="E1758"/>
      <x:c r="F1758"/>
      <x:c r="G1758"/>
      <x:c r="H1758"/>
      <x:c r="I1758"/>
      <x:c r="J1758"/>
      <x:c r="K1758"/>
      <x:c r="L1758"/>
      <x:c r="M1758"/>
      <x:c r="N1758"/>
      <x:c r="O1758"/>
      <x:c r="P1758"/>
      <x:c r="Q1758"/>
      <x:c r="R1758"/>
      <x:c r="S1758"/>
      <x:c r="T1758"/>
      <x:c r="U1758"/>
      <x:c r="V1758"/>
      <x:c r="W1758"/>
    </x:row>
    <x:row r="1759">
      <x:c r="A1759"/>
      <x:c r="B1759"/>
      <x:c r="C1759"/>
      <x:c r="D1759"/>
      <x:c r="E1759"/>
      <x:c r="F1759"/>
      <x:c r="G1759"/>
      <x:c r="H1759"/>
      <x:c r="I1759"/>
      <x:c r="J1759"/>
      <x:c r="K1759"/>
      <x:c r="L1759"/>
      <x:c r="M1759"/>
      <x:c r="N1759"/>
      <x:c r="O1759"/>
      <x:c r="P1759"/>
      <x:c r="Q1759"/>
      <x:c r="R1759"/>
      <x:c r="S1759"/>
      <x:c r="T1759"/>
      <x:c r="U1759"/>
      <x:c r="V1759"/>
      <x:c r="W1759"/>
    </x:row>
    <x:row r="1760">
      <x:c r="A1760"/>
      <x:c r="B1760"/>
      <x:c r="C1760"/>
      <x:c r="D1760"/>
      <x:c r="E1760"/>
      <x:c r="F1760"/>
      <x:c r="G1760"/>
      <x:c r="H1760"/>
      <x:c r="I1760"/>
      <x:c r="J1760"/>
      <x:c r="K1760"/>
      <x:c r="L1760"/>
      <x:c r="M1760"/>
      <x:c r="N1760"/>
      <x:c r="O1760"/>
      <x:c r="P1760"/>
      <x:c r="Q1760"/>
      <x:c r="R1760"/>
      <x:c r="S1760"/>
      <x:c r="T1760"/>
      <x:c r="U1760"/>
      <x:c r="V1760"/>
      <x:c r="W1760"/>
    </x:row>
    <x:row r="1761">
      <x:c r="A1761"/>
      <x:c r="B1761"/>
      <x:c r="C1761"/>
      <x:c r="D1761"/>
      <x:c r="E1761"/>
      <x:c r="F1761"/>
      <x:c r="G1761"/>
      <x:c r="H1761"/>
      <x:c r="I1761"/>
      <x:c r="J1761"/>
      <x:c r="K1761"/>
      <x:c r="L1761"/>
      <x:c r="M1761"/>
      <x:c r="N1761"/>
      <x:c r="O1761"/>
      <x:c r="P1761"/>
      <x:c r="Q1761"/>
      <x:c r="R1761"/>
      <x:c r="S1761"/>
      <x:c r="T1761"/>
      <x:c r="U1761"/>
      <x:c r="V1761"/>
      <x:c r="W1761"/>
    </x:row>
    <x:row r="1762">
      <x:c r="A1762"/>
      <x:c r="B1762"/>
      <x:c r="C1762"/>
      <x:c r="D1762"/>
      <x:c r="E1762"/>
      <x:c r="F1762"/>
      <x:c r="G1762"/>
      <x:c r="H1762"/>
      <x:c r="I1762"/>
      <x:c r="J1762"/>
      <x:c r="K1762"/>
      <x:c r="L1762"/>
      <x:c r="M1762"/>
      <x:c r="N1762"/>
      <x:c r="O1762"/>
      <x:c r="P1762"/>
      <x:c r="Q1762"/>
      <x:c r="R1762"/>
      <x:c r="S1762"/>
      <x:c r="T1762"/>
      <x:c r="U1762"/>
      <x:c r="V1762"/>
      <x:c r="W1762"/>
    </x:row>
    <x:row r="1763">
      <x:c r="A1763"/>
      <x:c r="B1763"/>
      <x:c r="C1763"/>
      <x:c r="D1763"/>
      <x:c r="E1763"/>
      <x:c r="F1763"/>
      <x:c r="G1763"/>
      <x:c r="H1763"/>
      <x:c r="I1763"/>
      <x:c r="J1763"/>
      <x:c r="K1763"/>
      <x:c r="L1763"/>
      <x:c r="M1763"/>
      <x:c r="N1763"/>
      <x:c r="O1763"/>
      <x:c r="P1763"/>
      <x:c r="Q1763"/>
      <x:c r="R1763"/>
      <x:c r="S1763"/>
      <x:c r="T1763"/>
      <x:c r="U1763"/>
      <x:c r="V1763"/>
      <x:c r="W1763"/>
    </x:row>
    <x:row r="1764">
      <x:c r="A1764"/>
      <x:c r="B1764"/>
      <x:c r="C1764"/>
      <x:c r="D1764"/>
      <x:c r="E1764"/>
      <x:c r="F1764"/>
      <x:c r="G1764"/>
      <x:c r="H1764"/>
      <x:c r="I1764"/>
      <x:c r="J1764"/>
      <x:c r="K1764"/>
      <x:c r="L1764"/>
      <x:c r="M1764"/>
      <x:c r="N1764"/>
      <x:c r="O1764"/>
      <x:c r="P1764"/>
      <x:c r="Q1764"/>
      <x:c r="R1764"/>
      <x:c r="S1764"/>
      <x:c r="T1764"/>
      <x:c r="U1764"/>
      <x:c r="V1764"/>
      <x:c r="W1764"/>
    </x:row>
    <x:row r="1765">
      <x:c r="A1765"/>
      <x:c r="B1765"/>
      <x:c r="C1765"/>
      <x:c r="D1765"/>
      <x:c r="E1765"/>
      <x:c r="F1765"/>
      <x:c r="G1765"/>
      <x:c r="H1765"/>
      <x:c r="I1765"/>
      <x:c r="J1765"/>
      <x:c r="K1765"/>
      <x:c r="L1765"/>
      <x:c r="M1765"/>
      <x:c r="N1765"/>
      <x:c r="O1765"/>
      <x:c r="P1765"/>
      <x:c r="Q1765"/>
      <x:c r="R1765"/>
      <x:c r="S1765"/>
      <x:c r="T1765"/>
      <x:c r="U1765"/>
      <x:c r="V1765"/>
      <x:c r="W1765"/>
    </x:row>
    <x:row r="1766">
      <x:c r="A1766"/>
      <x:c r="B1766"/>
      <x:c r="C1766"/>
      <x:c r="D1766"/>
      <x:c r="E1766"/>
      <x:c r="F1766"/>
      <x:c r="G1766"/>
      <x:c r="H1766"/>
      <x:c r="I1766"/>
      <x:c r="J1766"/>
      <x:c r="K1766"/>
      <x:c r="L1766"/>
      <x:c r="M1766"/>
      <x:c r="N1766"/>
      <x:c r="O1766"/>
      <x:c r="P1766"/>
      <x:c r="Q1766"/>
      <x:c r="R1766"/>
      <x:c r="S1766"/>
      <x:c r="T1766"/>
      <x:c r="U1766"/>
      <x:c r="V1766"/>
      <x:c r="W1766"/>
    </x:row>
    <x:row r="1767">
      <x:c r="A1767"/>
      <x:c r="B1767"/>
      <x:c r="C1767"/>
      <x:c r="D1767"/>
      <x:c r="E1767"/>
      <x:c r="F1767"/>
      <x:c r="G1767"/>
      <x:c r="H1767"/>
      <x:c r="I1767"/>
      <x:c r="J1767"/>
      <x:c r="K1767"/>
      <x:c r="L1767"/>
      <x:c r="M1767"/>
      <x:c r="N1767"/>
      <x:c r="O1767"/>
      <x:c r="P1767"/>
      <x:c r="Q1767"/>
      <x:c r="R1767"/>
      <x:c r="S1767"/>
      <x:c r="T1767"/>
      <x:c r="U1767"/>
      <x:c r="V1767"/>
      <x:c r="W1767"/>
    </x:row>
    <x:row r="1768">
      <x:c r="A1768"/>
      <x:c r="B1768"/>
      <x:c r="C1768"/>
      <x:c r="D1768"/>
      <x:c r="E1768"/>
      <x:c r="F1768"/>
      <x:c r="G1768"/>
      <x:c r="H1768"/>
      <x:c r="I1768"/>
      <x:c r="J1768"/>
      <x:c r="K1768"/>
      <x:c r="L1768"/>
      <x:c r="M1768"/>
      <x:c r="N1768"/>
      <x:c r="O1768"/>
      <x:c r="P1768"/>
      <x:c r="Q1768"/>
      <x:c r="R1768"/>
      <x:c r="S1768"/>
      <x:c r="T1768"/>
      <x:c r="U1768"/>
      <x:c r="V1768"/>
      <x:c r="W1768"/>
    </x:row>
    <x:row r="1769">
      <x:c r="A1769"/>
      <x:c r="B1769"/>
      <x:c r="C1769"/>
      <x:c r="D1769"/>
      <x:c r="E1769"/>
      <x:c r="F1769"/>
      <x:c r="G1769"/>
      <x:c r="H1769"/>
      <x:c r="I1769"/>
      <x:c r="J1769"/>
      <x:c r="K1769"/>
      <x:c r="L1769"/>
      <x:c r="M1769"/>
      <x:c r="N1769"/>
      <x:c r="O1769"/>
      <x:c r="P1769"/>
      <x:c r="Q1769"/>
      <x:c r="R1769"/>
      <x:c r="S1769"/>
      <x:c r="T1769"/>
      <x:c r="U1769"/>
      <x:c r="V1769"/>
      <x:c r="W1769"/>
    </x:row>
    <x:row r="1770">
      <x:c r="A1770"/>
      <x:c r="B1770"/>
      <x:c r="C1770"/>
      <x:c r="D1770"/>
      <x:c r="E1770"/>
      <x:c r="F1770"/>
      <x:c r="G1770"/>
      <x:c r="H1770"/>
      <x:c r="I1770"/>
      <x:c r="J1770"/>
      <x:c r="K1770"/>
      <x:c r="L1770"/>
      <x:c r="M1770"/>
      <x:c r="N1770"/>
      <x:c r="O1770"/>
      <x:c r="P1770"/>
      <x:c r="Q1770"/>
      <x:c r="R1770"/>
      <x:c r="S1770"/>
      <x:c r="T1770"/>
      <x:c r="U1770"/>
      <x:c r="V1770"/>
      <x:c r="W1770"/>
    </x:row>
    <x:row r="1771">
      <x:c r="A1771"/>
      <x:c r="B1771"/>
      <x:c r="C1771"/>
      <x:c r="D1771"/>
      <x:c r="E1771"/>
      <x:c r="F1771"/>
      <x:c r="G1771"/>
      <x:c r="H1771"/>
      <x:c r="I1771"/>
      <x:c r="J1771"/>
      <x:c r="K1771"/>
      <x:c r="L1771"/>
      <x:c r="M1771"/>
      <x:c r="N1771"/>
      <x:c r="O1771"/>
      <x:c r="P1771"/>
      <x:c r="Q1771"/>
      <x:c r="R1771"/>
      <x:c r="S1771"/>
      <x:c r="T1771"/>
      <x:c r="U1771"/>
      <x:c r="V1771"/>
      <x:c r="W1771"/>
    </x:row>
    <x:row r="1772">
      <x:c r="A1772"/>
      <x:c r="B1772"/>
      <x:c r="C1772"/>
      <x:c r="D1772"/>
      <x:c r="E1772"/>
      <x:c r="F1772"/>
      <x:c r="G1772"/>
      <x:c r="H1772"/>
      <x:c r="I1772"/>
      <x:c r="J1772"/>
      <x:c r="K1772"/>
      <x:c r="L1772"/>
      <x:c r="M1772"/>
      <x:c r="N1772"/>
      <x:c r="O1772"/>
      <x:c r="P1772"/>
      <x:c r="Q1772"/>
      <x:c r="R1772"/>
      <x:c r="S1772"/>
      <x:c r="T1772"/>
      <x:c r="U1772"/>
      <x:c r="V1772"/>
      <x:c r="W1772"/>
    </x:row>
    <x:row r="1773">
      <x:c r="A1773"/>
      <x:c r="B1773"/>
      <x:c r="C1773"/>
      <x:c r="D1773"/>
      <x:c r="E1773"/>
      <x:c r="F1773"/>
      <x:c r="G1773"/>
      <x:c r="H1773"/>
      <x:c r="I1773"/>
      <x:c r="J1773"/>
      <x:c r="K1773"/>
      <x:c r="L1773"/>
      <x:c r="M1773"/>
      <x:c r="N1773"/>
      <x:c r="O1773"/>
      <x:c r="P1773"/>
      <x:c r="Q1773"/>
      <x:c r="R1773"/>
      <x:c r="S1773"/>
      <x:c r="T1773"/>
      <x:c r="U1773"/>
      <x:c r="V1773"/>
      <x:c r="W1773"/>
    </x:row>
    <x:row r="1774">
      <x:c r="A1774"/>
      <x:c r="B1774"/>
      <x:c r="C1774"/>
      <x:c r="D1774"/>
      <x:c r="E1774"/>
      <x:c r="F1774"/>
      <x:c r="G1774"/>
      <x:c r="H1774"/>
      <x:c r="I1774"/>
      <x:c r="J1774"/>
      <x:c r="K1774"/>
      <x:c r="L1774"/>
      <x:c r="M1774"/>
      <x:c r="N1774"/>
      <x:c r="O1774"/>
      <x:c r="P1774"/>
      <x:c r="Q1774"/>
      <x:c r="R1774"/>
      <x:c r="S1774"/>
      <x:c r="T1774"/>
      <x:c r="U1774"/>
      <x:c r="V1774"/>
      <x:c r="W1774"/>
    </x:row>
    <x:row r="1775">
      <x:c r="A1775"/>
      <x:c r="B1775"/>
      <x:c r="C1775"/>
      <x:c r="D1775"/>
      <x:c r="E1775"/>
      <x:c r="F1775"/>
      <x:c r="G1775"/>
      <x:c r="H1775"/>
      <x:c r="I1775"/>
      <x:c r="J1775"/>
      <x:c r="K1775"/>
      <x:c r="L1775"/>
      <x:c r="M1775"/>
      <x:c r="N1775"/>
      <x:c r="O1775"/>
      <x:c r="P1775"/>
      <x:c r="Q1775"/>
      <x:c r="R1775"/>
      <x:c r="S1775"/>
      <x:c r="T1775"/>
      <x:c r="U1775"/>
      <x:c r="V1775"/>
      <x:c r="W1775"/>
    </x:row>
    <x:row r="1776">
      <x:c r="A1776"/>
      <x:c r="B1776"/>
      <x:c r="C1776"/>
      <x:c r="D1776"/>
      <x:c r="E1776"/>
      <x:c r="F1776"/>
      <x:c r="G1776"/>
      <x:c r="H1776"/>
      <x:c r="I1776"/>
      <x:c r="J1776"/>
      <x:c r="K1776"/>
      <x:c r="L1776"/>
      <x:c r="M1776"/>
      <x:c r="N1776"/>
      <x:c r="O1776"/>
      <x:c r="P1776"/>
      <x:c r="Q1776"/>
      <x:c r="R1776"/>
      <x:c r="S1776"/>
      <x:c r="T1776"/>
      <x:c r="U1776"/>
      <x:c r="V1776"/>
      <x:c r="W1776"/>
    </x:row>
    <x:row r="1777">
      <x:c r="A1777"/>
      <x:c r="B1777"/>
      <x:c r="C1777"/>
      <x:c r="D1777"/>
      <x:c r="E1777"/>
      <x:c r="F1777"/>
      <x:c r="G1777"/>
      <x:c r="H1777"/>
      <x:c r="I1777"/>
      <x:c r="J1777"/>
      <x:c r="K1777"/>
      <x:c r="L1777"/>
      <x:c r="M1777"/>
      <x:c r="N1777"/>
      <x:c r="O1777"/>
      <x:c r="P1777"/>
      <x:c r="Q1777"/>
      <x:c r="R1777"/>
      <x:c r="S1777"/>
      <x:c r="T1777"/>
      <x:c r="U1777"/>
      <x:c r="V1777"/>
      <x:c r="W1777"/>
    </x:row>
    <x:row r="1778">
      <x:c r="A1778"/>
      <x:c r="B1778"/>
      <x:c r="C1778"/>
      <x:c r="D1778"/>
      <x:c r="E1778"/>
      <x:c r="F1778"/>
      <x:c r="G1778"/>
      <x:c r="H1778"/>
      <x:c r="I1778"/>
      <x:c r="J1778"/>
      <x:c r="K1778"/>
      <x:c r="L1778"/>
      <x:c r="M1778"/>
      <x:c r="N1778"/>
      <x:c r="O1778"/>
      <x:c r="P1778"/>
      <x:c r="Q1778"/>
      <x:c r="R1778"/>
      <x:c r="S1778"/>
      <x:c r="T1778"/>
      <x:c r="U1778"/>
      <x:c r="V1778"/>
      <x:c r="W1778"/>
    </x:row>
    <x:row r="1779">
      <x:c r="A1779"/>
      <x:c r="B1779"/>
      <x:c r="C1779"/>
      <x:c r="D1779"/>
      <x:c r="E1779"/>
      <x:c r="F1779"/>
      <x:c r="G1779"/>
      <x:c r="H1779"/>
      <x:c r="I1779"/>
      <x:c r="J1779"/>
      <x:c r="K1779"/>
      <x:c r="L1779"/>
      <x:c r="M1779"/>
      <x:c r="N1779"/>
      <x:c r="O1779"/>
      <x:c r="P1779"/>
      <x:c r="Q1779"/>
      <x:c r="R1779"/>
      <x:c r="S1779"/>
      <x:c r="T1779"/>
      <x:c r="U1779"/>
      <x:c r="V1779"/>
      <x:c r="W1779"/>
    </x:row>
    <x:row r="1780">
      <x:c r="A1780"/>
      <x:c r="B1780"/>
      <x:c r="C1780"/>
      <x:c r="D1780"/>
      <x:c r="E1780"/>
      <x:c r="F1780"/>
      <x:c r="G1780"/>
      <x:c r="H1780"/>
      <x:c r="I1780"/>
      <x:c r="J1780"/>
      <x:c r="K1780"/>
      <x:c r="L1780"/>
      <x:c r="M1780"/>
      <x:c r="N1780"/>
      <x:c r="O1780"/>
      <x:c r="P1780"/>
      <x:c r="Q1780"/>
      <x:c r="R1780"/>
      <x:c r="S1780"/>
      <x:c r="T1780"/>
      <x:c r="U1780"/>
      <x:c r="V1780"/>
      <x:c r="W1780"/>
    </x:row>
    <x:row r="1781">
      <x:c r="A1781"/>
      <x:c r="B1781"/>
      <x:c r="C1781"/>
      <x:c r="D1781"/>
      <x:c r="E1781"/>
      <x:c r="F1781"/>
      <x:c r="G1781"/>
      <x:c r="H1781"/>
      <x:c r="I1781"/>
      <x:c r="J1781"/>
      <x:c r="K1781"/>
      <x:c r="L1781"/>
      <x:c r="M1781"/>
      <x:c r="N1781"/>
      <x:c r="O1781"/>
      <x:c r="P1781"/>
      <x:c r="Q1781"/>
      <x:c r="R1781"/>
      <x:c r="S1781"/>
      <x:c r="T1781"/>
      <x:c r="U1781"/>
      <x:c r="V1781"/>
      <x:c r="W1781"/>
    </x:row>
    <x:row r="1782">
      <x:c r="A1782"/>
      <x:c r="B1782"/>
      <x:c r="C1782"/>
      <x:c r="D1782"/>
      <x:c r="E1782"/>
      <x:c r="F1782"/>
      <x:c r="G1782"/>
      <x:c r="H1782"/>
      <x:c r="I1782"/>
      <x:c r="J1782"/>
      <x:c r="K1782"/>
      <x:c r="L1782"/>
      <x:c r="M1782"/>
      <x:c r="N1782"/>
      <x:c r="O1782"/>
      <x:c r="P1782"/>
      <x:c r="Q1782"/>
      <x:c r="R1782"/>
      <x:c r="S1782"/>
      <x:c r="T1782"/>
      <x:c r="U1782"/>
      <x:c r="V1782"/>
      <x:c r="W1782"/>
    </x:row>
    <x:row r="1783">
      <x:c r="A1783"/>
      <x:c r="B1783"/>
      <x:c r="C1783"/>
      <x:c r="D1783"/>
      <x:c r="E1783"/>
      <x:c r="F1783"/>
      <x:c r="G1783"/>
      <x:c r="H1783"/>
      <x:c r="I1783"/>
      <x:c r="J1783"/>
      <x:c r="K1783"/>
      <x:c r="L1783"/>
      <x:c r="M1783"/>
      <x:c r="N1783"/>
      <x:c r="O1783"/>
      <x:c r="P1783"/>
      <x:c r="Q1783"/>
      <x:c r="R1783"/>
      <x:c r="S1783"/>
      <x:c r="T1783"/>
      <x:c r="U1783"/>
      <x:c r="V1783"/>
      <x:c r="W1783"/>
    </x:row>
    <x:row r="1784">
      <x:c r="A1784"/>
      <x:c r="B1784"/>
      <x:c r="C1784"/>
      <x:c r="D1784"/>
      <x:c r="E1784"/>
      <x:c r="F1784"/>
      <x:c r="G1784"/>
      <x:c r="H1784"/>
      <x:c r="I1784"/>
      <x:c r="J1784"/>
      <x:c r="K1784"/>
      <x:c r="L1784"/>
      <x:c r="M1784"/>
      <x:c r="N1784"/>
      <x:c r="O1784"/>
      <x:c r="P1784"/>
      <x:c r="Q1784"/>
      <x:c r="R1784"/>
      <x:c r="S1784"/>
      <x:c r="T1784"/>
      <x:c r="U1784"/>
      <x:c r="V1784"/>
      <x:c r="W1784"/>
    </x:row>
    <x:row r="1785">
      <x:c r="A1785"/>
      <x:c r="B1785"/>
      <x:c r="C1785"/>
      <x:c r="D1785"/>
      <x:c r="E1785"/>
      <x:c r="F1785"/>
      <x:c r="G1785"/>
      <x:c r="H1785"/>
      <x:c r="I1785"/>
      <x:c r="J1785"/>
      <x:c r="K1785"/>
      <x:c r="L1785"/>
      <x:c r="M1785"/>
      <x:c r="N1785"/>
      <x:c r="O1785"/>
      <x:c r="P1785"/>
      <x:c r="Q1785"/>
      <x:c r="R1785"/>
      <x:c r="S1785"/>
      <x:c r="T1785"/>
      <x:c r="U1785"/>
      <x:c r="V1785"/>
      <x:c r="W1785"/>
    </x:row>
    <x:row r="1786">
      <x:c r="A1786"/>
      <x:c r="B1786"/>
      <x:c r="C1786"/>
      <x:c r="D1786"/>
      <x:c r="E1786"/>
      <x:c r="F1786"/>
      <x:c r="G1786"/>
      <x:c r="H1786"/>
      <x:c r="I1786"/>
      <x:c r="J1786"/>
      <x:c r="K1786"/>
      <x:c r="L1786"/>
      <x:c r="M1786"/>
      <x:c r="N1786"/>
      <x:c r="O1786"/>
      <x:c r="P1786"/>
      <x:c r="Q1786"/>
      <x:c r="R1786"/>
      <x:c r="S1786"/>
      <x:c r="T1786"/>
      <x:c r="U1786"/>
      <x:c r="V1786"/>
      <x:c r="W1786"/>
    </x:row>
    <x:row r="1787">
      <x:c r="A1787"/>
      <x:c r="B1787"/>
      <x:c r="C1787"/>
      <x:c r="D1787"/>
      <x:c r="E1787"/>
      <x:c r="F1787"/>
      <x:c r="G1787"/>
      <x:c r="H1787"/>
      <x:c r="I1787"/>
      <x:c r="J1787"/>
      <x:c r="K1787"/>
      <x:c r="L1787"/>
      <x:c r="M1787"/>
      <x:c r="N1787"/>
      <x:c r="O1787"/>
      <x:c r="P1787"/>
      <x:c r="Q1787"/>
      <x:c r="R1787"/>
      <x:c r="S1787"/>
      <x:c r="T1787"/>
      <x:c r="U1787"/>
      <x:c r="V1787"/>
      <x:c r="W1787"/>
    </x:row>
    <x:row r="1788">
      <x:c r="A1788"/>
      <x:c r="B1788"/>
      <x:c r="C1788"/>
      <x:c r="D1788"/>
      <x:c r="E1788"/>
      <x:c r="F1788"/>
      <x:c r="G1788"/>
      <x:c r="H1788"/>
      <x:c r="I1788"/>
      <x:c r="J1788"/>
      <x:c r="K1788"/>
      <x:c r="L1788"/>
      <x:c r="M1788"/>
      <x:c r="N1788"/>
      <x:c r="O1788"/>
      <x:c r="P1788"/>
      <x:c r="Q1788"/>
      <x:c r="R1788"/>
      <x:c r="S1788"/>
      <x:c r="T1788"/>
      <x:c r="U1788"/>
      <x:c r="V1788"/>
      <x:c r="W1788"/>
    </x:row>
    <x:row r="1789">
      <x:c r="A1789"/>
      <x:c r="B1789"/>
      <x:c r="C1789"/>
      <x:c r="D1789"/>
      <x:c r="E1789"/>
      <x:c r="F1789"/>
      <x:c r="G1789"/>
      <x:c r="H1789"/>
      <x:c r="I1789"/>
      <x:c r="J1789"/>
      <x:c r="K1789"/>
      <x:c r="L1789"/>
      <x:c r="M1789"/>
      <x:c r="N1789"/>
      <x:c r="O1789"/>
      <x:c r="P1789"/>
      <x:c r="Q1789"/>
      <x:c r="R1789"/>
      <x:c r="S1789"/>
      <x:c r="T1789"/>
      <x:c r="U1789"/>
      <x:c r="V1789"/>
      <x:c r="W1789"/>
    </x:row>
    <x:row r="1790">
      <x:c r="A1790"/>
      <x:c r="B1790"/>
      <x:c r="C1790"/>
      <x:c r="D1790"/>
      <x:c r="E1790"/>
      <x:c r="F1790"/>
      <x:c r="G1790"/>
      <x:c r="H1790"/>
      <x:c r="I1790"/>
      <x:c r="J1790"/>
      <x:c r="K1790"/>
      <x:c r="L1790"/>
      <x:c r="M1790"/>
      <x:c r="N1790"/>
      <x:c r="O1790"/>
      <x:c r="P1790"/>
      <x:c r="Q1790"/>
      <x:c r="R1790"/>
      <x:c r="S1790"/>
      <x:c r="T1790"/>
      <x:c r="U1790"/>
      <x:c r="V1790"/>
      <x:c r="W1790"/>
    </x:row>
    <x:row r="1791">
      <x:c r="A1791"/>
      <x:c r="B1791"/>
      <x:c r="C1791"/>
      <x:c r="D1791"/>
      <x:c r="E1791"/>
      <x:c r="F1791"/>
      <x:c r="G1791"/>
      <x:c r="H1791"/>
      <x:c r="I1791"/>
      <x:c r="J1791"/>
      <x:c r="K1791"/>
      <x:c r="L1791"/>
      <x:c r="M1791"/>
      <x:c r="N1791"/>
      <x:c r="O1791"/>
      <x:c r="P1791"/>
      <x:c r="Q1791"/>
      <x:c r="R1791"/>
      <x:c r="S1791"/>
      <x:c r="T1791"/>
      <x:c r="U1791"/>
      <x:c r="V1791"/>
      <x:c r="W1791"/>
    </x:row>
    <x:row r="1792">
      <x:c r="A1792"/>
      <x:c r="B1792"/>
      <x:c r="C1792"/>
      <x:c r="D1792"/>
      <x:c r="E1792"/>
      <x:c r="F1792"/>
      <x:c r="G1792"/>
      <x:c r="H1792"/>
      <x:c r="I1792"/>
      <x:c r="J1792"/>
      <x:c r="K1792"/>
      <x:c r="L1792"/>
      <x:c r="M1792"/>
      <x:c r="N1792"/>
      <x:c r="O1792"/>
      <x:c r="P1792"/>
      <x:c r="Q1792"/>
      <x:c r="R1792"/>
      <x:c r="S1792"/>
      <x:c r="T1792"/>
      <x:c r="U1792"/>
      <x:c r="V1792"/>
      <x:c r="W1792"/>
    </x:row>
    <x:row r="1793">
      <x:c r="A1793"/>
      <x:c r="B1793"/>
      <x:c r="C1793"/>
      <x:c r="D1793"/>
      <x:c r="E1793"/>
      <x:c r="F1793"/>
      <x:c r="G1793"/>
      <x:c r="H1793"/>
      <x:c r="I1793"/>
      <x:c r="J1793"/>
      <x:c r="K1793"/>
      <x:c r="L1793"/>
      <x:c r="M1793"/>
      <x:c r="N1793"/>
      <x:c r="O1793"/>
      <x:c r="P1793"/>
      <x:c r="Q1793"/>
      <x:c r="R1793"/>
      <x:c r="S1793"/>
      <x:c r="T1793"/>
      <x:c r="U1793"/>
      <x:c r="V1793"/>
      <x:c r="W1793"/>
    </x:row>
    <x:row r="1794">
      <x:c r="A1794"/>
      <x:c r="B1794"/>
      <x:c r="C1794"/>
      <x:c r="D1794"/>
      <x:c r="E1794"/>
      <x:c r="F1794"/>
      <x:c r="G1794"/>
      <x:c r="H1794"/>
      <x:c r="I1794"/>
      <x:c r="J1794"/>
      <x:c r="K1794"/>
      <x:c r="L1794"/>
      <x:c r="M1794"/>
      <x:c r="N1794"/>
      <x:c r="O1794"/>
      <x:c r="P1794"/>
      <x:c r="Q1794"/>
      <x:c r="R1794"/>
      <x:c r="S1794"/>
      <x:c r="T1794"/>
      <x:c r="U1794"/>
      <x:c r="V1794"/>
      <x:c r="W1794"/>
    </x:row>
    <x:row r="1795">
      <x:c r="A1795"/>
      <x:c r="B1795"/>
      <x:c r="C1795"/>
      <x:c r="D1795"/>
      <x:c r="E1795"/>
      <x:c r="F1795"/>
      <x:c r="G1795"/>
      <x:c r="H1795"/>
      <x:c r="I1795"/>
      <x:c r="J1795"/>
      <x:c r="K1795"/>
      <x:c r="L1795"/>
      <x:c r="M1795"/>
      <x:c r="N1795"/>
      <x:c r="O1795"/>
      <x:c r="P1795"/>
      <x:c r="Q1795"/>
      <x:c r="R1795"/>
      <x:c r="S1795"/>
      <x:c r="T1795"/>
      <x:c r="U1795"/>
      <x:c r="V1795"/>
      <x:c r="W1795"/>
    </x:row>
    <x:row r="1796">
      <x:c r="A1796"/>
      <x:c r="B1796"/>
      <x:c r="C1796"/>
      <x:c r="D1796"/>
      <x:c r="E1796"/>
      <x:c r="F1796"/>
      <x:c r="G1796"/>
      <x:c r="H1796"/>
      <x:c r="I1796"/>
      <x:c r="J1796"/>
      <x:c r="K1796"/>
      <x:c r="L1796"/>
      <x:c r="M1796"/>
      <x:c r="N1796"/>
      <x:c r="O1796"/>
      <x:c r="P1796"/>
      <x:c r="Q1796"/>
      <x:c r="R1796"/>
      <x:c r="S1796"/>
      <x:c r="T1796"/>
      <x:c r="U1796"/>
      <x:c r="V1796"/>
      <x:c r="W1796"/>
    </x:row>
    <x:row r="1797">
      <x:c r="A1797"/>
      <x:c r="B1797"/>
      <x:c r="C1797"/>
      <x:c r="D1797"/>
      <x:c r="E1797"/>
      <x:c r="F1797"/>
      <x:c r="G1797"/>
      <x:c r="H1797"/>
      <x:c r="I1797"/>
      <x:c r="J1797"/>
      <x:c r="K1797"/>
      <x:c r="L1797"/>
      <x:c r="M1797"/>
      <x:c r="N1797"/>
      <x:c r="O1797"/>
      <x:c r="P1797"/>
      <x:c r="Q1797"/>
      <x:c r="R1797"/>
      <x:c r="S1797"/>
      <x:c r="T1797"/>
      <x:c r="U1797"/>
      <x:c r="V1797"/>
      <x:c r="W1797"/>
    </x:row>
    <x:row r="1798">
      <x:c r="A1798"/>
      <x:c r="B1798"/>
      <x:c r="C1798"/>
      <x:c r="D1798"/>
      <x:c r="E1798"/>
      <x:c r="F1798"/>
      <x:c r="G1798"/>
      <x:c r="H1798"/>
      <x:c r="I1798"/>
      <x:c r="J1798"/>
      <x:c r="K1798"/>
      <x:c r="L1798"/>
      <x:c r="M1798"/>
      <x:c r="N1798"/>
      <x:c r="O1798"/>
      <x:c r="P1798"/>
      <x:c r="Q1798"/>
      <x:c r="R1798"/>
      <x:c r="S1798"/>
      <x:c r="T1798"/>
      <x:c r="U1798"/>
      <x:c r="V1798"/>
      <x:c r="W1798"/>
    </x:row>
    <x:row r="1799">
      <x:c r="A1799"/>
      <x:c r="B1799"/>
      <x:c r="C1799"/>
      <x:c r="D1799"/>
      <x:c r="E1799"/>
      <x:c r="F1799"/>
      <x:c r="G1799"/>
      <x:c r="H1799"/>
      <x:c r="I1799"/>
      <x:c r="J1799"/>
      <x:c r="K1799"/>
      <x:c r="L1799"/>
      <x:c r="M1799"/>
      <x:c r="N1799"/>
      <x:c r="O1799"/>
      <x:c r="P1799"/>
      <x:c r="Q1799"/>
      <x:c r="R1799"/>
      <x:c r="S1799"/>
      <x:c r="T1799"/>
      <x:c r="U1799"/>
      <x:c r="V1799"/>
      <x:c r="W1799"/>
    </x:row>
    <x:row r="1800">
      <x:c r="A1800"/>
      <x:c r="B1800"/>
      <x:c r="C1800"/>
      <x:c r="D1800"/>
      <x:c r="E1800"/>
      <x:c r="F1800"/>
      <x:c r="G1800"/>
      <x:c r="H1800"/>
      <x:c r="I1800"/>
      <x:c r="J1800"/>
      <x:c r="K1800"/>
      <x:c r="L1800"/>
      <x:c r="M1800"/>
      <x:c r="N1800"/>
      <x:c r="O1800"/>
      <x:c r="P1800"/>
      <x:c r="Q1800"/>
      <x:c r="R1800"/>
      <x:c r="S1800"/>
      <x:c r="T1800"/>
      <x:c r="U1800"/>
      <x:c r="V1800"/>
      <x:c r="W1800"/>
    </x:row>
    <x:row r="1801">
      <x:c r="A1801"/>
      <x:c r="B1801"/>
      <x:c r="C1801"/>
      <x:c r="D1801"/>
      <x:c r="E1801"/>
      <x:c r="F1801"/>
      <x:c r="G1801"/>
      <x:c r="H1801"/>
      <x:c r="I1801"/>
      <x:c r="J1801"/>
      <x:c r="K1801"/>
      <x:c r="L1801"/>
      <x:c r="M1801"/>
      <x:c r="N1801"/>
      <x:c r="O1801"/>
      <x:c r="P1801"/>
      <x:c r="Q1801"/>
      <x:c r="R1801"/>
      <x:c r="S1801"/>
      <x:c r="T1801"/>
      <x:c r="U1801"/>
      <x:c r="V1801"/>
      <x:c r="W1801"/>
    </x:row>
    <x:row r="1802">
      <x:c r="A1802"/>
      <x:c r="B1802"/>
      <x:c r="C1802"/>
      <x:c r="D1802"/>
      <x:c r="E1802"/>
      <x:c r="F1802"/>
      <x:c r="G1802"/>
      <x:c r="H1802"/>
      <x:c r="I1802"/>
      <x:c r="J1802"/>
      <x:c r="K1802"/>
      <x:c r="L1802"/>
      <x:c r="M1802"/>
      <x:c r="N1802"/>
      <x:c r="O1802"/>
      <x:c r="P1802"/>
      <x:c r="Q1802"/>
      <x:c r="R1802"/>
      <x:c r="S1802"/>
      <x:c r="T1802"/>
      <x:c r="U1802"/>
      <x:c r="V1802"/>
      <x:c r="W1802"/>
    </x:row>
    <x:row r="1803">
      <x:c r="A1803"/>
      <x:c r="B1803"/>
      <x:c r="C1803"/>
      <x:c r="D1803"/>
      <x:c r="E1803"/>
      <x:c r="F1803"/>
      <x:c r="G1803"/>
      <x:c r="H1803"/>
      <x:c r="I1803"/>
      <x:c r="J1803"/>
      <x:c r="K1803"/>
      <x:c r="L1803"/>
      <x:c r="M1803"/>
      <x:c r="N1803"/>
      <x:c r="O1803"/>
      <x:c r="P1803"/>
      <x:c r="Q1803"/>
      <x:c r="R1803"/>
      <x:c r="S1803"/>
      <x:c r="T1803"/>
      <x:c r="U1803"/>
      <x:c r="V1803"/>
      <x:c r="W1803"/>
    </x:row>
    <x:row r="1804">
      <x:c r="A1804"/>
      <x:c r="B1804"/>
      <x:c r="C1804"/>
      <x:c r="D1804"/>
      <x:c r="E1804"/>
      <x:c r="F1804"/>
      <x:c r="G1804"/>
      <x:c r="H1804"/>
      <x:c r="I1804"/>
      <x:c r="J1804"/>
      <x:c r="K1804"/>
      <x:c r="L1804"/>
      <x:c r="M1804"/>
      <x:c r="N1804"/>
      <x:c r="O1804"/>
      <x:c r="P1804"/>
      <x:c r="Q1804"/>
      <x:c r="R1804"/>
      <x:c r="S1804"/>
      <x:c r="T1804"/>
      <x:c r="U1804"/>
      <x:c r="V1804"/>
      <x:c r="W1804"/>
    </x:row>
    <x:row r="1805">
      <x:c r="A1805"/>
      <x:c r="B1805"/>
      <x:c r="C1805"/>
      <x:c r="D1805"/>
      <x:c r="E1805"/>
      <x:c r="F1805"/>
      <x:c r="G1805"/>
      <x:c r="H1805"/>
      <x:c r="I1805"/>
      <x:c r="J1805"/>
      <x:c r="K1805"/>
      <x:c r="L1805"/>
      <x:c r="M1805"/>
      <x:c r="N1805"/>
      <x:c r="O1805"/>
      <x:c r="P1805"/>
      <x:c r="Q1805"/>
      <x:c r="R1805"/>
      <x:c r="S1805"/>
      <x:c r="T1805"/>
      <x:c r="U1805"/>
      <x:c r="V1805"/>
      <x:c r="W1805"/>
    </x:row>
    <x:row r="1806">
      <x:c r="A1806"/>
      <x:c r="B1806"/>
      <x:c r="C1806"/>
      <x:c r="D1806"/>
      <x:c r="E1806"/>
      <x:c r="F1806"/>
      <x:c r="G1806"/>
      <x:c r="H1806"/>
      <x:c r="I1806"/>
      <x:c r="J1806"/>
      <x:c r="K1806"/>
      <x:c r="L1806"/>
      <x:c r="M1806"/>
      <x:c r="N1806"/>
      <x:c r="O1806"/>
      <x:c r="P1806"/>
      <x:c r="Q1806"/>
      <x:c r="R1806"/>
      <x:c r="S1806"/>
      <x:c r="T1806"/>
      <x:c r="U1806"/>
      <x:c r="V1806"/>
      <x:c r="W1806"/>
    </x:row>
    <x:row r="1807">
      <x:c r="A1807"/>
      <x:c r="B1807"/>
      <x:c r="C1807"/>
      <x:c r="D1807"/>
      <x:c r="E1807"/>
      <x:c r="F1807"/>
      <x:c r="G1807"/>
      <x:c r="H1807"/>
      <x:c r="I1807"/>
      <x:c r="J1807"/>
      <x:c r="K1807"/>
      <x:c r="L1807"/>
      <x:c r="M1807"/>
      <x:c r="N1807"/>
      <x:c r="O1807"/>
      <x:c r="P1807"/>
      <x:c r="Q1807"/>
      <x:c r="R1807"/>
      <x:c r="S1807"/>
      <x:c r="T1807"/>
      <x:c r="U1807"/>
      <x:c r="V1807"/>
      <x:c r="W1807"/>
    </x:row>
    <x:row r="1808">
      <x:c r="A1808"/>
      <x:c r="B1808"/>
      <x:c r="C1808"/>
      <x:c r="D1808"/>
      <x:c r="E1808"/>
      <x:c r="F1808"/>
      <x:c r="G1808"/>
      <x:c r="H1808"/>
      <x:c r="I1808"/>
      <x:c r="J1808"/>
      <x:c r="K1808"/>
      <x:c r="L1808"/>
      <x:c r="M1808"/>
      <x:c r="N1808"/>
      <x:c r="O1808"/>
      <x:c r="P1808"/>
      <x:c r="Q1808"/>
      <x:c r="R1808"/>
      <x:c r="S1808"/>
      <x:c r="T1808"/>
      <x:c r="U1808"/>
      <x:c r="V1808"/>
      <x:c r="W1808"/>
    </x:row>
    <x:row r="1809">
      <x:c r="A1809"/>
      <x:c r="B1809"/>
      <x:c r="C1809"/>
      <x:c r="D1809"/>
      <x:c r="E1809"/>
      <x:c r="F1809"/>
      <x:c r="G1809"/>
      <x:c r="H1809"/>
      <x:c r="I1809"/>
      <x:c r="J1809"/>
      <x:c r="K1809"/>
      <x:c r="L1809"/>
      <x:c r="M1809"/>
      <x:c r="N1809"/>
      <x:c r="O1809"/>
      <x:c r="P1809"/>
      <x:c r="Q1809"/>
      <x:c r="R1809"/>
      <x:c r="S1809"/>
      <x:c r="T1809"/>
      <x:c r="U1809"/>
      <x:c r="V1809"/>
      <x:c r="W1809"/>
    </x:row>
    <x:row r="1810">
      <x:c r="A1810"/>
      <x:c r="B1810"/>
      <x:c r="C1810"/>
      <x:c r="D1810"/>
      <x:c r="E1810"/>
      <x:c r="F1810"/>
      <x:c r="G1810"/>
      <x:c r="H1810"/>
      <x:c r="I1810"/>
      <x:c r="J1810"/>
      <x:c r="K1810"/>
      <x:c r="L1810"/>
      <x:c r="M1810"/>
      <x:c r="N1810"/>
      <x:c r="O1810"/>
      <x:c r="P1810"/>
      <x:c r="Q1810"/>
      <x:c r="R1810"/>
      <x:c r="S1810"/>
      <x:c r="T1810"/>
      <x:c r="U1810"/>
      <x:c r="V1810"/>
      <x:c r="W1810"/>
    </x:row>
    <x:row r="1811">
      <x:c r="A1811"/>
      <x:c r="B1811"/>
      <x:c r="C1811"/>
      <x:c r="D1811"/>
      <x:c r="E1811"/>
      <x:c r="F1811"/>
      <x:c r="G1811"/>
      <x:c r="H1811"/>
      <x:c r="I1811"/>
      <x:c r="J1811"/>
      <x:c r="K1811"/>
      <x:c r="L1811"/>
      <x:c r="M1811"/>
      <x:c r="N1811"/>
      <x:c r="O1811"/>
      <x:c r="P1811"/>
      <x:c r="Q1811"/>
      <x:c r="R1811"/>
      <x:c r="S1811"/>
      <x:c r="T1811"/>
      <x:c r="U1811"/>
      <x:c r="V1811"/>
      <x:c r="W1811"/>
    </x:row>
    <x:row r="1812">
      <x:c r="A1812"/>
      <x:c r="B1812"/>
      <x:c r="C1812"/>
      <x:c r="D1812"/>
      <x:c r="E1812"/>
      <x:c r="F1812"/>
      <x:c r="G1812"/>
      <x:c r="H1812"/>
      <x:c r="I1812"/>
      <x:c r="J1812"/>
      <x:c r="K1812"/>
      <x:c r="L1812"/>
      <x:c r="M1812"/>
      <x:c r="N1812"/>
      <x:c r="O1812"/>
      <x:c r="P1812"/>
      <x:c r="Q1812"/>
      <x:c r="R1812"/>
      <x:c r="S1812"/>
      <x:c r="T1812"/>
      <x:c r="U1812"/>
      <x:c r="V1812"/>
      <x:c r="W1812"/>
    </x:row>
    <x:row r="1813">
      <x:c r="A1813"/>
      <x:c r="B1813"/>
      <x:c r="C1813"/>
      <x:c r="D1813"/>
      <x:c r="E1813"/>
      <x:c r="F1813"/>
      <x:c r="G1813"/>
      <x:c r="H1813"/>
      <x:c r="I1813"/>
      <x:c r="J1813"/>
      <x:c r="K1813"/>
      <x:c r="L1813"/>
      <x:c r="M1813"/>
      <x:c r="N1813"/>
      <x:c r="O1813"/>
      <x:c r="P1813"/>
      <x:c r="Q1813"/>
      <x:c r="R1813"/>
      <x:c r="S1813"/>
      <x:c r="T1813"/>
      <x:c r="U1813"/>
      <x:c r="V1813"/>
      <x:c r="W1813"/>
    </x:row>
    <x:row r="1814">
      <x:c r="A1814"/>
      <x:c r="B1814"/>
      <x:c r="C1814"/>
      <x:c r="D1814"/>
      <x:c r="E1814"/>
      <x:c r="F1814"/>
      <x:c r="G1814"/>
      <x:c r="H1814"/>
      <x:c r="I1814"/>
      <x:c r="J1814"/>
      <x:c r="K1814"/>
      <x:c r="L1814"/>
      <x:c r="M1814"/>
      <x:c r="N1814"/>
      <x:c r="O1814"/>
      <x:c r="P1814"/>
      <x:c r="Q1814"/>
      <x:c r="R1814"/>
      <x:c r="S1814"/>
      <x:c r="T1814"/>
      <x:c r="U1814"/>
      <x:c r="V1814"/>
      <x:c r="W1814"/>
    </x:row>
    <x:row r="1815">
      <x:c r="A1815"/>
      <x:c r="B1815"/>
      <x:c r="C1815"/>
      <x:c r="D1815"/>
      <x:c r="E1815"/>
      <x:c r="F1815"/>
      <x:c r="G1815"/>
      <x:c r="H1815"/>
      <x:c r="I1815"/>
      <x:c r="J1815"/>
      <x:c r="K1815"/>
      <x:c r="L1815"/>
      <x:c r="M1815"/>
      <x:c r="N1815"/>
      <x:c r="O1815"/>
      <x:c r="P1815"/>
      <x:c r="Q1815"/>
      <x:c r="R1815"/>
      <x:c r="S1815"/>
      <x:c r="T1815"/>
      <x:c r="U1815"/>
      <x:c r="V1815"/>
      <x:c r="W1815"/>
    </x:row>
    <x:row r="1816">
      <x:c r="A1816"/>
      <x:c r="B1816"/>
      <x:c r="C1816"/>
      <x:c r="D1816"/>
      <x:c r="E1816"/>
      <x:c r="F1816"/>
      <x:c r="G1816"/>
      <x:c r="H1816"/>
      <x:c r="I1816"/>
      <x:c r="J1816"/>
      <x:c r="K1816"/>
      <x:c r="L1816"/>
      <x:c r="M1816"/>
      <x:c r="N1816"/>
      <x:c r="O1816"/>
      <x:c r="P1816"/>
      <x:c r="Q1816"/>
      <x:c r="R1816"/>
      <x:c r="S1816"/>
      <x:c r="T1816"/>
      <x:c r="U1816"/>
      <x:c r="V1816"/>
      <x:c r="W1816"/>
    </x:row>
    <x:row r="1817">
      <x:c r="A1817"/>
      <x:c r="B1817"/>
      <x:c r="C1817"/>
      <x:c r="D1817"/>
      <x:c r="E1817"/>
      <x:c r="F1817"/>
      <x:c r="G1817"/>
      <x:c r="H1817"/>
      <x:c r="I1817"/>
      <x:c r="J1817"/>
      <x:c r="K1817"/>
      <x:c r="L1817"/>
      <x:c r="M1817"/>
      <x:c r="N1817"/>
      <x:c r="O1817"/>
      <x:c r="P1817"/>
      <x:c r="Q1817"/>
      <x:c r="R1817"/>
      <x:c r="S1817"/>
      <x:c r="T1817"/>
      <x:c r="U1817"/>
      <x:c r="V1817"/>
      <x:c r="W1817"/>
    </x:row>
    <x:row r="1818">
      <x:c r="A1818"/>
      <x:c r="B1818"/>
      <x:c r="C1818"/>
      <x:c r="D1818"/>
      <x:c r="E1818"/>
      <x:c r="F1818"/>
      <x:c r="G1818"/>
      <x:c r="H1818"/>
      <x:c r="I1818"/>
      <x:c r="J1818"/>
      <x:c r="K1818"/>
      <x:c r="L1818"/>
      <x:c r="M1818"/>
      <x:c r="N1818"/>
      <x:c r="O1818"/>
      <x:c r="P1818"/>
      <x:c r="Q1818"/>
      <x:c r="R1818"/>
      <x:c r="S1818"/>
      <x:c r="T1818"/>
      <x:c r="U1818"/>
      <x:c r="V1818"/>
      <x:c r="W1818"/>
    </x:row>
    <x:row r="1819">
      <x:c r="A1819"/>
      <x:c r="B1819"/>
      <x:c r="C1819"/>
      <x:c r="D1819"/>
      <x:c r="E1819"/>
      <x:c r="F1819"/>
      <x:c r="G1819"/>
      <x:c r="H1819"/>
      <x:c r="I1819"/>
      <x:c r="J1819"/>
      <x:c r="K1819"/>
      <x:c r="L1819"/>
      <x:c r="M1819"/>
      <x:c r="N1819"/>
      <x:c r="O1819"/>
      <x:c r="P1819"/>
      <x:c r="Q1819"/>
      <x:c r="R1819"/>
      <x:c r="S1819"/>
      <x:c r="T1819"/>
      <x:c r="U1819"/>
      <x:c r="V1819"/>
      <x:c r="W1819"/>
    </x:row>
    <x:row r="1820">
      <x:c r="A1820"/>
      <x:c r="B1820"/>
      <x:c r="C1820"/>
      <x:c r="D1820"/>
      <x:c r="E1820"/>
      <x:c r="F1820"/>
      <x:c r="G1820"/>
      <x:c r="H1820"/>
      <x:c r="I1820"/>
      <x:c r="J1820"/>
      <x:c r="K1820"/>
      <x:c r="L1820"/>
      <x:c r="M1820"/>
      <x:c r="N1820"/>
      <x:c r="O1820"/>
      <x:c r="P1820"/>
      <x:c r="Q1820"/>
      <x:c r="R1820"/>
      <x:c r="S1820"/>
      <x:c r="T1820"/>
      <x:c r="U1820"/>
      <x:c r="V1820"/>
      <x:c r="W1820"/>
    </x:row>
    <x:row r="1821">
      <x:c r="A1821"/>
      <x:c r="B1821"/>
      <x:c r="C1821"/>
      <x:c r="D1821"/>
      <x:c r="E1821"/>
      <x:c r="F1821"/>
      <x:c r="G1821"/>
      <x:c r="H1821"/>
      <x:c r="I1821"/>
      <x:c r="J1821"/>
      <x:c r="K1821"/>
      <x:c r="L1821"/>
      <x:c r="M1821"/>
      <x:c r="N1821"/>
      <x:c r="O1821"/>
      <x:c r="P1821"/>
      <x:c r="Q1821"/>
      <x:c r="R1821"/>
      <x:c r="S1821"/>
      <x:c r="T1821"/>
      <x:c r="U1821"/>
      <x:c r="V1821"/>
      <x:c r="W1821"/>
    </x:row>
    <x:row r="1822">
      <x:c r="A1822"/>
      <x:c r="B1822"/>
      <x:c r="C1822"/>
      <x:c r="D1822"/>
      <x:c r="E1822"/>
      <x:c r="F1822"/>
      <x:c r="G1822"/>
      <x:c r="H1822"/>
      <x:c r="I1822"/>
      <x:c r="J1822"/>
      <x:c r="K1822"/>
      <x:c r="L1822"/>
      <x:c r="M1822"/>
      <x:c r="N1822"/>
      <x:c r="O1822"/>
      <x:c r="P1822"/>
      <x:c r="Q1822"/>
      <x:c r="R1822"/>
      <x:c r="S1822"/>
      <x:c r="T1822"/>
      <x:c r="U1822"/>
      <x:c r="V1822"/>
      <x:c r="W1822"/>
    </x:row>
    <x:row r="1823">
      <x:c r="A1823"/>
      <x:c r="B1823"/>
      <x:c r="C1823"/>
      <x:c r="D1823"/>
      <x:c r="E1823"/>
      <x:c r="F1823"/>
      <x:c r="G1823"/>
      <x:c r="H1823"/>
      <x:c r="I1823"/>
      <x:c r="J1823"/>
      <x:c r="K1823"/>
      <x:c r="L1823"/>
      <x:c r="M1823"/>
      <x:c r="N1823"/>
      <x:c r="O1823"/>
      <x:c r="P1823"/>
      <x:c r="Q1823"/>
      <x:c r="R1823"/>
      <x:c r="S1823"/>
      <x:c r="T1823"/>
      <x:c r="U1823"/>
      <x:c r="V1823"/>
      <x:c r="W1823"/>
    </x:row>
    <x:row r="1824">
      <x:c r="A1824"/>
      <x:c r="B1824"/>
      <x:c r="C1824"/>
      <x:c r="D1824"/>
      <x:c r="E1824"/>
      <x:c r="F1824"/>
      <x:c r="G1824"/>
      <x:c r="H1824"/>
      <x:c r="I1824"/>
      <x:c r="J1824"/>
      <x:c r="K1824"/>
      <x:c r="L1824"/>
      <x:c r="M1824"/>
      <x:c r="N1824"/>
      <x:c r="O1824"/>
      <x:c r="P1824"/>
      <x:c r="Q1824"/>
      <x:c r="R1824"/>
      <x:c r="S1824"/>
      <x:c r="T1824"/>
      <x:c r="U1824"/>
      <x:c r="V1824"/>
      <x:c r="W1824"/>
    </x:row>
    <x:row r="1825">
      <x:c r="A1825"/>
      <x:c r="B1825"/>
      <x:c r="C1825"/>
      <x:c r="D1825"/>
      <x:c r="E1825"/>
      <x:c r="F1825"/>
      <x:c r="G1825"/>
      <x:c r="H1825"/>
      <x:c r="I1825"/>
      <x:c r="J1825"/>
      <x:c r="K1825"/>
      <x:c r="L1825"/>
      <x:c r="M1825"/>
      <x:c r="N1825"/>
      <x:c r="O1825"/>
      <x:c r="P1825"/>
      <x:c r="Q1825"/>
      <x:c r="R1825"/>
      <x:c r="S1825"/>
      <x:c r="T1825"/>
      <x:c r="U1825"/>
      <x:c r="V1825"/>
      <x:c r="W1825"/>
    </x:row>
    <x:row r="1826">
      <x:c r="A1826"/>
      <x:c r="B1826"/>
      <x:c r="C1826"/>
      <x:c r="D1826"/>
      <x:c r="E1826"/>
      <x:c r="F1826"/>
      <x:c r="G1826"/>
      <x:c r="H1826"/>
      <x:c r="I1826"/>
      <x:c r="J1826"/>
      <x:c r="K1826"/>
      <x:c r="L1826"/>
      <x:c r="M1826"/>
      <x:c r="N1826"/>
      <x:c r="O1826"/>
      <x:c r="P1826"/>
      <x:c r="Q1826"/>
      <x:c r="R1826"/>
      <x:c r="S1826"/>
      <x:c r="T1826"/>
      <x:c r="U1826"/>
      <x:c r="V1826"/>
      <x:c r="W1826"/>
    </x:row>
    <x:row r="1827">
      <x:c r="A1827"/>
      <x:c r="B1827"/>
      <x:c r="C1827"/>
      <x:c r="D1827"/>
      <x:c r="E1827"/>
      <x:c r="F1827"/>
      <x:c r="G1827"/>
      <x:c r="H1827"/>
      <x:c r="I1827"/>
      <x:c r="J1827"/>
      <x:c r="K1827"/>
      <x:c r="L1827"/>
      <x:c r="M1827"/>
      <x:c r="N1827"/>
      <x:c r="O1827"/>
      <x:c r="P1827"/>
      <x:c r="Q1827"/>
      <x:c r="R1827"/>
      <x:c r="S1827"/>
      <x:c r="T1827"/>
      <x:c r="U1827"/>
      <x:c r="V1827"/>
      <x:c r="W1827"/>
    </x:row>
    <x:row r="1828">
      <x:c r="A1828"/>
      <x:c r="B1828"/>
      <x:c r="C1828"/>
      <x:c r="D1828"/>
      <x:c r="E1828"/>
      <x:c r="F1828"/>
      <x:c r="G1828"/>
      <x:c r="H1828"/>
      <x:c r="I1828"/>
      <x:c r="J1828"/>
      <x:c r="K1828"/>
      <x:c r="L1828"/>
      <x:c r="M1828"/>
      <x:c r="N1828"/>
      <x:c r="O1828"/>
      <x:c r="P1828"/>
      <x:c r="Q1828"/>
      <x:c r="R1828"/>
      <x:c r="S1828"/>
      <x:c r="T1828"/>
      <x:c r="U1828"/>
      <x:c r="V1828"/>
      <x:c r="W1828"/>
    </x:row>
    <x:row r="1829">
      <x:c r="A1829"/>
      <x:c r="B1829"/>
      <x:c r="C1829"/>
      <x:c r="D1829"/>
      <x:c r="E1829"/>
      <x:c r="F1829"/>
      <x:c r="G1829"/>
      <x:c r="H1829"/>
      <x:c r="I1829"/>
      <x:c r="J1829"/>
      <x:c r="K1829"/>
      <x:c r="L1829"/>
      <x:c r="M1829"/>
      <x:c r="N1829"/>
      <x:c r="O1829"/>
      <x:c r="P1829"/>
      <x:c r="Q1829"/>
      <x:c r="R1829"/>
      <x:c r="S1829"/>
      <x:c r="T1829"/>
      <x:c r="U1829"/>
      <x:c r="V1829"/>
      <x:c r="W1829"/>
    </x:row>
    <x:row r="1830">
      <x:c r="A1830"/>
      <x:c r="B1830"/>
      <x:c r="C1830"/>
      <x:c r="D1830"/>
      <x:c r="E1830"/>
      <x:c r="F1830"/>
      <x:c r="G1830"/>
      <x:c r="H1830"/>
      <x:c r="I1830"/>
      <x:c r="J1830"/>
      <x:c r="K1830"/>
      <x:c r="L1830"/>
      <x:c r="M1830"/>
      <x:c r="N1830"/>
      <x:c r="O1830"/>
      <x:c r="P1830"/>
      <x:c r="Q1830"/>
      <x:c r="R1830"/>
      <x:c r="S1830"/>
      <x:c r="T1830"/>
      <x:c r="U1830"/>
      <x:c r="V1830"/>
      <x:c r="W1830"/>
    </x:row>
    <x:row r="1831">
      <x:c r="A1831"/>
      <x:c r="B1831"/>
      <x:c r="C1831"/>
      <x:c r="D1831"/>
      <x:c r="E1831"/>
      <x:c r="F1831"/>
      <x:c r="G1831"/>
      <x:c r="H1831"/>
      <x:c r="I1831"/>
      <x:c r="J1831"/>
      <x:c r="K1831"/>
      <x:c r="L1831"/>
      <x:c r="M1831"/>
      <x:c r="N1831"/>
      <x:c r="O1831"/>
      <x:c r="P1831"/>
      <x:c r="Q1831"/>
      <x:c r="R1831"/>
      <x:c r="S1831"/>
      <x:c r="T1831"/>
      <x:c r="U1831"/>
      <x:c r="V1831"/>
      <x:c r="W1831"/>
    </x:row>
    <x:row r="1832">
      <x:c r="A1832"/>
      <x:c r="B1832"/>
      <x:c r="C1832"/>
      <x:c r="D1832"/>
      <x:c r="E1832"/>
      <x:c r="F1832"/>
      <x:c r="G1832"/>
      <x:c r="H1832"/>
      <x:c r="I1832"/>
      <x:c r="J1832"/>
      <x:c r="K1832"/>
      <x:c r="L1832"/>
      <x:c r="M1832"/>
      <x:c r="N1832"/>
      <x:c r="O1832"/>
      <x:c r="P1832"/>
      <x:c r="Q1832"/>
      <x:c r="R1832"/>
      <x:c r="S1832"/>
      <x:c r="T1832"/>
      <x:c r="U1832"/>
      <x:c r="V1832"/>
      <x:c r="W1832"/>
    </x:row>
    <x:row r="1833">
      <x:c r="A1833"/>
      <x:c r="B1833"/>
      <x:c r="C1833"/>
      <x:c r="D1833"/>
      <x:c r="E1833"/>
      <x:c r="F1833"/>
      <x:c r="G1833"/>
      <x:c r="H1833"/>
      <x:c r="I1833"/>
      <x:c r="J1833"/>
      <x:c r="K1833"/>
      <x:c r="L1833"/>
      <x:c r="M1833"/>
      <x:c r="N1833"/>
      <x:c r="O1833"/>
      <x:c r="P1833"/>
      <x:c r="Q1833"/>
      <x:c r="R1833"/>
      <x:c r="S1833"/>
      <x:c r="T1833"/>
      <x:c r="U1833"/>
      <x:c r="V1833"/>
      <x:c r="W1833"/>
    </x:row>
    <x:row r="1834">
      <x:c r="A1834"/>
      <x:c r="B1834"/>
      <x:c r="C1834"/>
      <x:c r="D1834"/>
      <x:c r="E1834"/>
      <x:c r="F1834"/>
      <x:c r="G1834"/>
      <x:c r="H1834"/>
      <x:c r="I1834"/>
      <x:c r="J1834"/>
      <x:c r="K1834"/>
      <x:c r="L1834"/>
      <x:c r="M1834"/>
      <x:c r="N1834"/>
      <x:c r="O1834"/>
      <x:c r="P1834"/>
      <x:c r="Q1834"/>
      <x:c r="R1834"/>
      <x:c r="S1834"/>
      <x:c r="T1834"/>
      <x:c r="U1834"/>
      <x:c r="V1834"/>
      <x:c r="W1834"/>
    </x:row>
    <x:row r="1835">
      <x:c r="A1835"/>
      <x:c r="B1835"/>
      <x:c r="C1835"/>
      <x:c r="D1835"/>
      <x:c r="E1835"/>
      <x:c r="F1835"/>
      <x:c r="G1835"/>
      <x:c r="H1835"/>
      <x:c r="I1835"/>
      <x:c r="J1835"/>
      <x:c r="K1835"/>
      <x:c r="L1835"/>
      <x:c r="M1835"/>
      <x:c r="N1835"/>
      <x:c r="O1835"/>
      <x:c r="P1835"/>
      <x:c r="Q1835"/>
      <x:c r="R1835"/>
      <x:c r="S1835"/>
      <x:c r="T1835"/>
      <x:c r="U1835"/>
      <x:c r="V1835"/>
      <x:c r="W1835"/>
    </x:row>
    <x:row r="1836">
      <x:c r="A1836"/>
      <x:c r="B1836"/>
      <x:c r="C1836"/>
      <x:c r="D1836"/>
      <x:c r="E1836"/>
      <x:c r="F1836"/>
      <x:c r="G1836"/>
      <x:c r="H1836"/>
      <x:c r="I1836"/>
      <x:c r="J1836"/>
      <x:c r="K1836"/>
      <x:c r="L1836"/>
      <x:c r="M1836"/>
      <x:c r="N1836"/>
      <x:c r="O1836"/>
      <x:c r="P1836"/>
      <x:c r="Q1836"/>
      <x:c r="R1836"/>
      <x:c r="S1836"/>
      <x:c r="T1836"/>
      <x:c r="U1836"/>
      <x:c r="V1836"/>
      <x:c r="W1836"/>
    </x:row>
    <x:row r="1837">
      <x:c r="A1837"/>
      <x:c r="B1837"/>
      <x:c r="C1837"/>
      <x:c r="D1837"/>
      <x:c r="E1837"/>
      <x:c r="F1837"/>
      <x:c r="G1837"/>
      <x:c r="H1837"/>
      <x:c r="I1837"/>
      <x:c r="J1837"/>
      <x:c r="K1837"/>
      <x:c r="L1837"/>
      <x:c r="M1837"/>
      <x:c r="N1837"/>
      <x:c r="O1837"/>
      <x:c r="P1837"/>
      <x:c r="Q1837"/>
      <x:c r="R1837"/>
      <x:c r="S1837"/>
      <x:c r="T1837"/>
      <x:c r="U1837"/>
      <x:c r="V1837"/>
      <x:c r="W1837"/>
    </x:row>
    <x:row r="1838">
      <x:c r="A1838"/>
      <x:c r="B1838"/>
      <x:c r="C1838"/>
      <x:c r="D1838"/>
      <x:c r="E1838"/>
      <x:c r="F1838"/>
      <x:c r="G1838"/>
      <x:c r="H1838"/>
      <x:c r="I1838"/>
      <x:c r="J1838"/>
      <x:c r="K1838"/>
      <x:c r="L1838"/>
      <x:c r="M1838"/>
      <x:c r="N1838"/>
      <x:c r="O1838"/>
      <x:c r="P1838"/>
      <x:c r="Q1838"/>
      <x:c r="R1838"/>
      <x:c r="S1838"/>
      <x:c r="T1838"/>
      <x:c r="U1838"/>
      <x:c r="V1838"/>
      <x:c r="W1838"/>
    </x:row>
    <x:row r="1839">
      <x:c r="A1839"/>
      <x:c r="B1839"/>
      <x:c r="C1839"/>
      <x:c r="D1839"/>
      <x:c r="E1839"/>
      <x:c r="F1839"/>
      <x:c r="G1839"/>
      <x:c r="H1839"/>
      <x:c r="I1839"/>
      <x:c r="J1839"/>
      <x:c r="K1839"/>
      <x:c r="L1839"/>
      <x:c r="M1839"/>
      <x:c r="N1839"/>
      <x:c r="O1839"/>
      <x:c r="P1839"/>
      <x:c r="Q1839"/>
      <x:c r="R1839"/>
      <x:c r="S1839"/>
      <x:c r="T1839"/>
      <x:c r="U1839"/>
      <x:c r="V1839"/>
      <x:c r="W1839"/>
    </x:row>
    <x:row r="1840">
      <x:c r="A1840"/>
      <x:c r="B1840"/>
      <x:c r="C1840"/>
      <x:c r="D1840"/>
      <x:c r="E1840"/>
      <x:c r="F1840"/>
      <x:c r="G1840"/>
      <x:c r="H1840"/>
      <x:c r="I1840"/>
      <x:c r="J1840"/>
      <x:c r="K1840"/>
      <x:c r="L1840"/>
      <x:c r="M1840"/>
      <x:c r="N1840"/>
      <x:c r="O1840"/>
      <x:c r="P1840"/>
      <x:c r="Q1840"/>
      <x:c r="R1840"/>
      <x:c r="S1840"/>
      <x:c r="T1840"/>
      <x:c r="U1840"/>
      <x:c r="V1840"/>
      <x:c r="W1840"/>
    </x:row>
    <x:row r="1841">
      <x:c r="A1841"/>
      <x:c r="B1841"/>
      <x:c r="C1841"/>
      <x:c r="D1841"/>
      <x:c r="E1841"/>
      <x:c r="F1841"/>
      <x:c r="G1841"/>
      <x:c r="H1841"/>
      <x:c r="I1841"/>
      <x:c r="J1841"/>
      <x:c r="K1841"/>
      <x:c r="L1841"/>
      <x:c r="M1841"/>
      <x:c r="N1841"/>
      <x:c r="O1841"/>
      <x:c r="P1841"/>
      <x:c r="Q1841"/>
      <x:c r="R1841"/>
      <x:c r="S1841"/>
      <x:c r="T1841"/>
      <x:c r="U1841"/>
      <x:c r="V1841"/>
      <x:c r="W1841"/>
    </x:row>
    <x:row r="1842">
      <x:c r="A1842"/>
      <x:c r="B1842"/>
      <x:c r="C1842"/>
      <x:c r="D1842"/>
      <x:c r="E1842"/>
      <x:c r="F1842"/>
      <x:c r="G1842"/>
      <x:c r="H1842"/>
      <x:c r="I1842"/>
      <x:c r="J1842"/>
      <x:c r="K1842"/>
      <x:c r="L1842"/>
      <x:c r="M1842"/>
      <x:c r="N1842"/>
      <x:c r="O1842"/>
      <x:c r="P1842"/>
      <x:c r="Q1842"/>
      <x:c r="R1842"/>
      <x:c r="S1842"/>
      <x:c r="T1842"/>
      <x:c r="U1842"/>
      <x:c r="V1842"/>
      <x:c r="W1842"/>
    </x:row>
    <x:row r="1843">
      <x:c r="A1843"/>
      <x:c r="B1843"/>
      <x:c r="C1843"/>
      <x:c r="D1843"/>
      <x:c r="E1843"/>
      <x:c r="F1843"/>
      <x:c r="G1843"/>
      <x:c r="H1843"/>
      <x:c r="I1843"/>
      <x:c r="J1843"/>
      <x:c r="K1843"/>
      <x:c r="L1843"/>
      <x:c r="M1843"/>
      <x:c r="N1843"/>
      <x:c r="O1843"/>
      <x:c r="P1843"/>
      <x:c r="Q1843"/>
      <x:c r="R1843"/>
      <x:c r="S1843"/>
      <x:c r="T1843"/>
      <x:c r="U1843"/>
      <x:c r="V1843"/>
      <x:c r="W1843"/>
    </x:row>
    <x:row r="1844">
      <x:c r="A1844"/>
      <x:c r="B1844"/>
      <x:c r="C1844"/>
      <x:c r="D1844"/>
      <x:c r="E1844"/>
      <x:c r="F1844"/>
      <x:c r="G1844"/>
      <x:c r="H1844"/>
      <x:c r="I1844"/>
      <x:c r="J1844"/>
      <x:c r="K1844"/>
      <x:c r="L1844"/>
      <x:c r="M1844"/>
      <x:c r="N1844"/>
      <x:c r="O1844"/>
      <x:c r="P1844"/>
      <x:c r="Q1844"/>
      <x:c r="R1844"/>
      <x:c r="S1844"/>
      <x:c r="T1844"/>
      <x:c r="U1844"/>
      <x:c r="V1844"/>
      <x:c r="W1844"/>
    </x:row>
    <x:row r="1845">
      <x:c r="A1845"/>
      <x:c r="B1845"/>
      <x:c r="C1845"/>
      <x:c r="D1845"/>
      <x:c r="E1845"/>
      <x:c r="F1845"/>
      <x:c r="G1845"/>
      <x:c r="H1845"/>
      <x:c r="I1845"/>
      <x:c r="J1845"/>
      <x:c r="K1845"/>
      <x:c r="L1845"/>
      <x:c r="M1845"/>
      <x:c r="N1845"/>
      <x:c r="O1845"/>
      <x:c r="P1845"/>
      <x:c r="Q1845"/>
      <x:c r="R1845"/>
      <x:c r="S1845"/>
      <x:c r="T1845"/>
      <x:c r="U1845"/>
      <x:c r="V1845"/>
      <x:c r="W1845"/>
    </x:row>
    <x:row r="1846">
      <x:c r="A1846"/>
      <x:c r="B1846"/>
      <x:c r="C1846"/>
      <x:c r="D1846"/>
      <x:c r="E1846"/>
      <x:c r="F1846"/>
      <x:c r="G1846"/>
      <x:c r="H1846"/>
      <x:c r="I1846"/>
      <x:c r="J1846"/>
      <x:c r="K1846"/>
      <x:c r="L1846"/>
      <x:c r="M1846"/>
      <x:c r="N1846"/>
      <x:c r="O1846"/>
      <x:c r="P1846"/>
      <x:c r="Q1846"/>
      <x:c r="R1846"/>
      <x:c r="S1846"/>
      <x:c r="T1846"/>
      <x:c r="U1846"/>
      <x:c r="V1846"/>
      <x:c r="W1846"/>
    </x:row>
    <x:row r="1847">
      <x:c r="A1847"/>
      <x:c r="B1847"/>
      <x:c r="C1847"/>
      <x:c r="D1847"/>
      <x:c r="E1847"/>
      <x:c r="F1847"/>
      <x:c r="G1847"/>
      <x:c r="H1847"/>
      <x:c r="I1847"/>
      <x:c r="J1847"/>
      <x:c r="K1847"/>
      <x:c r="L1847"/>
      <x:c r="M1847"/>
      <x:c r="N1847"/>
      <x:c r="O1847"/>
      <x:c r="P1847"/>
      <x:c r="Q1847"/>
      <x:c r="R1847"/>
      <x:c r="S1847"/>
      <x:c r="T1847"/>
      <x:c r="U1847"/>
      <x:c r="V1847"/>
      <x:c r="W1847"/>
    </x:row>
    <x:row r="1848">
      <x:c r="A1848"/>
      <x:c r="B1848"/>
      <x:c r="C1848"/>
      <x:c r="D1848"/>
      <x:c r="E1848"/>
      <x:c r="F1848"/>
      <x:c r="G1848"/>
      <x:c r="H1848"/>
      <x:c r="I1848"/>
      <x:c r="J1848"/>
      <x:c r="K1848"/>
      <x:c r="L1848"/>
      <x:c r="M1848"/>
      <x:c r="N1848"/>
      <x:c r="O1848"/>
      <x:c r="P1848"/>
      <x:c r="Q1848"/>
      <x:c r="R1848"/>
      <x:c r="S1848"/>
      <x:c r="T1848"/>
      <x:c r="U1848"/>
      <x:c r="V1848"/>
      <x:c r="W1848"/>
    </x:row>
    <x:row r="1849">
      <x:c r="A1849"/>
      <x:c r="B1849"/>
      <x:c r="C1849"/>
      <x:c r="D1849"/>
      <x:c r="E1849"/>
      <x:c r="F1849"/>
      <x:c r="G1849"/>
      <x:c r="H1849"/>
      <x:c r="I1849"/>
      <x:c r="J1849"/>
      <x:c r="K1849"/>
      <x:c r="L1849"/>
      <x:c r="M1849"/>
      <x:c r="N1849"/>
      <x:c r="O1849"/>
      <x:c r="P1849"/>
      <x:c r="Q1849"/>
      <x:c r="R1849"/>
      <x:c r="S1849"/>
      <x:c r="T1849"/>
      <x:c r="U1849"/>
      <x:c r="V1849"/>
      <x:c r="W1849"/>
    </x:row>
    <x:row r="1850">
      <x:c r="A1850"/>
      <x:c r="B1850"/>
      <x:c r="C1850"/>
      <x:c r="D1850"/>
      <x:c r="E1850"/>
      <x:c r="F1850"/>
      <x:c r="G1850"/>
      <x:c r="H1850"/>
      <x:c r="I1850"/>
      <x:c r="J1850"/>
      <x:c r="K1850"/>
      <x:c r="L1850"/>
      <x:c r="M1850"/>
      <x:c r="N1850"/>
      <x:c r="O1850"/>
      <x:c r="P1850"/>
      <x:c r="Q1850"/>
      <x:c r="R1850"/>
      <x:c r="S1850"/>
      <x:c r="T1850"/>
      <x:c r="U1850"/>
      <x:c r="V1850"/>
      <x:c r="W1850"/>
    </x:row>
    <x:row r="1851">
      <x:c r="A1851"/>
      <x:c r="B1851"/>
      <x:c r="C1851"/>
      <x:c r="D1851"/>
      <x:c r="E1851"/>
      <x:c r="F1851"/>
      <x:c r="G1851"/>
      <x:c r="H1851"/>
      <x:c r="I1851"/>
      <x:c r="J1851"/>
      <x:c r="K1851"/>
      <x:c r="L1851"/>
      <x:c r="M1851"/>
      <x:c r="N1851"/>
      <x:c r="O1851"/>
      <x:c r="P1851"/>
      <x:c r="Q1851"/>
      <x:c r="R1851"/>
      <x:c r="S1851"/>
      <x:c r="T1851"/>
      <x:c r="U1851"/>
      <x:c r="V1851"/>
      <x:c r="W1851"/>
    </x:row>
    <x:row r="1852">
      <x:c r="A1852"/>
      <x:c r="B1852"/>
      <x:c r="C1852"/>
      <x:c r="D1852"/>
      <x:c r="E1852"/>
      <x:c r="F1852"/>
      <x:c r="G1852"/>
      <x:c r="H1852"/>
      <x:c r="I1852"/>
      <x:c r="J1852"/>
      <x:c r="K1852"/>
      <x:c r="L1852"/>
      <x:c r="M1852"/>
      <x:c r="N1852"/>
      <x:c r="O1852"/>
      <x:c r="P1852"/>
      <x:c r="Q1852"/>
      <x:c r="R1852"/>
      <x:c r="S1852"/>
      <x:c r="T1852"/>
      <x:c r="U1852"/>
      <x:c r="V1852"/>
      <x:c r="W1852"/>
    </x:row>
    <x:row r="1853">
      <x:c r="A1853"/>
      <x:c r="B1853"/>
      <x:c r="C1853"/>
      <x:c r="D1853"/>
      <x:c r="E1853"/>
      <x:c r="F1853"/>
      <x:c r="G1853"/>
      <x:c r="H1853"/>
      <x:c r="I1853"/>
      <x:c r="J1853"/>
      <x:c r="K1853"/>
      <x:c r="L1853"/>
      <x:c r="M1853"/>
      <x:c r="N1853"/>
      <x:c r="O1853"/>
      <x:c r="P1853"/>
      <x:c r="Q1853"/>
      <x:c r="R1853"/>
      <x:c r="S1853"/>
      <x:c r="T1853"/>
      <x:c r="U1853"/>
      <x:c r="V1853"/>
      <x:c r="W1853"/>
    </x:row>
    <x:row r="1854">
      <x:c r="A1854"/>
      <x:c r="B1854"/>
      <x:c r="C1854"/>
      <x:c r="D1854"/>
      <x:c r="E1854"/>
      <x:c r="F1854"/>
      <x:c r="G1854"/>
      <x:c r="H1854"/>
      <x:c r="I1854"/>
      <x:c r="J1854"/>
      <x:c r="K1854"/>
      <x:c r="L1854"/>
      <x:c r="M1854"/>
      <x:c r="N1854"/>
      <x:c r="O1854"/>
      <x:c r="P1854"/>
      <x:c r="Q1854"/>
      <x:c r="R1854"/>
      <x:c r="S1854"/>
      <x:c r="T1854"/>
      <x:c r="U1854"/>
      <x:c r="V1854"/>
      <x:c r="W1854"/>
    </x:row>
    <x:row r="1855">
      <x:c r="A1855"/>
      <x:c r="B1855"/>
      <x:c r="C1855"/>
      <x:c r="D1855"/>
      <x:c r="E1855"/>
      <x:c r="F1855"/>
      <x:c r="G1855"/>
      <x:c r="H1855"/>
      <x:c r="I1855"/>
      <x:c r="J1855"/>
      <x:c r="K1855"/>
      <x:c r="L1855"/>
      <x:c r="M1855"/>
      <x:c r="N1855"/>
      <x:c r="O1855"/>
      <x:c r="P1855"/>
      <x:c r="Q1855"/>
      <x:c r="R1855"/>
      <x:c r="S1855"/>
      <x:c r="T1855"/>
      <x:c r="U1855"/>
      <x:c r="V1855"/>
      <x:c r="W1855"/>
    </x:row>
    <x:row r="1856">
      <x:c r="A1856"/>
      <x:c r="B1856"/>
      <x:c r="C1856"/>
      <x:c r="D1856"/>
      <x:c r="E1856"/>
      <x:c r="F1856"/>
      <x:c r="G1856"/>
      <x:c r="H1856"/>
      <x:c r="I1856"/>
      <x:c r="J1856"/>
      <x:c r="K1856"/>
      <x:c r="L1856"/>
      <x:c r="M1856"/>
      <x:c r="N1856"/>
      <x:c r="O1856"/>
      <x:c r="P1856"/>
      <x:c r="Q1856"/>
      <x:c r="R1856"/>
      <x:c r="S1856"/>
      <x:c r="T1856"/>
      <x:c r="U1856"/>
      <x:c r="V1856"/>
      <x:c r="W1856"/>
    </x:row>
    <x:row r="1857">
      <x:c r="A1857"/>
      <x:c r="B1857"/>
      <x:c r="C1857"/>
      <x:c r="D1857"/>
      <x:c r="E1857"/>
      <x:c r="F1857"/>
      <x:c r="G1857"/>
      <x:c r="H1857"/>
      <x:c r="I1857"/>
      <x:c r="J1857"/>
      <x:c r="K1857"/>
      <x:c r="L1857"/>
      <x:c r="M1857"/>
      <x:c r="N1857"/>
      <x:c r="O1857"/>
      <x:c r="P1857"/>
      <x:c r="Q1857"/>
      <x:c r="R1857"/>
      <x:c r="S1857"/>
      <x:c r="T1857"/>
      <x:c r="U1857"/>
      <x:c r="V1857"/>
      <x:c r="W1857"/>
    </x:row>
    <x:row r="1858">
      <x:c r="A1858"/>
      <x:c r="B1858"/>
      <x:c r="C1858"/>
      <x:c r="D1858"/>
      <x:c r="E1858"/>
      <x:c r="F1858"/>
      <x:c r="G1858"/>
      <x:c r="H1858"/>
      <x:c r="I1858"/>
      <x:c r="J1858"/>
      <x:c r="K1858"/>
      <x:c r="L1858"/>
      <x:c r="M1858"/>
      <x:c r="N1858"/>
      <x:c r="O1858"/>
      <x:c r="P1858"/>
      <x:c r="Q1858"/>
      <x:c r="R1858"/>
      <x:c r="S1858"/>
      <x:c r="T1858"/>
      <x:c r="U1858"/>
      <x:c r="V1858"/>
      <x:c r="W1858"/>
    </x:row>
    <x:row r="1859">
      <x:c r="A1859"/>
      <x:c r="B1859"/>
      <x:c r="C1859"/>
      <x:c r="D1859"/>
      <x:c r="E1859"/>
      <x:c r="F1859"/>
      <x:c r="G1859"/>
      <x:c r="H1859"/>
      <x:c r="I1859"/>
      <x:c r="J1859"/>
      <x:c r="K1859"/>
      <x:c r="L1859"/>
      <x:c r="M1859"/>
      <x:c r="N1859"/>
      <x:c r="O1859"/>
      <x:c r="P1859"/>
      <x:c r="Q1859"/>
      <x:c r="R1859"/>
      <x:c r="S1859"/>
      <x:c r="T1859"/>
      <x:c r="U1859"/>
      <x:c r="V1859"/>
      <x:c r="W1859"/>
    </x:row>
    <x:row r="1860">
      <x:c r="A1860"/>
      <x:c r="B1860"/>
      <x:c r="C1860"/>
      <x:c r="D1860"/>
      <x:c r="E1860"/>
      <x:c r="F1860"/>
      <x:c r="G1860"/>
      <x:c r="H1860"/>
      <x:c r="I1860"/>
      <x:c r="J1860"/>
      <x:c r="K1860"/>
      <x:c r="L1860"/>
      <x:c r="M1860"/>
      <x:c r="N1860"/>
      <x:c r="O1860"/>
      <x:c r="P1860"/>
      <x:c r="Q1860"/>
      <x:c r="R1860"/>
      <x:c r="S1860"/>
      <x:c r="T1860"/>
      <x:c r="U1860"/>
      <x:c r="V1860"/>
      <x:c r="W1860"/>
    </x:row>
    <x:row r="1861">
      <x:c r="A1861"/>
      <x:c r="B1861"/>
      <x:c r="C1861"/>
      <x:c r="D1861"/>
      <x:c r="E1861"/>
      <x:c r="F1861"/>
      <x:c r="G1861"/>
      <x:c r="H1861"/>
      <x:c r="I1861"/>
      <x:c r="J1861"/>
      <x:c r="K1861"/>
      <x:c r="L1861"/>
      <x:c r="M1861"/>
      <x:c r="N1861"/>
      <x:c r="O1861"/>
      <x:c r="P1861"/>
      <x:c r="Q1861"/>
      <x:c r="R1861"/>
      <x:c r="S1861"/>
      <x:c r="T1861"/>
      <x:c r="U1861"/>
      <x:c r="V1861"/>
      <x:c r="W1861"/>
    </x:row>
    <x:row r="1862">
      <x:c r="A1862"/>
      <x:c r="B1862"/>
      <x:c r="C1862"/>
      <x:c r="D1862"/>
      <x:c r="E1862"/>
      <x:c r="F1862"/>
      <x:c r="G1862"/>
      <x:c r="H1862"/>
      <x:c r="I1862"/>
      <x:c r="J1862"/>
      <x:c r="K1862"/>
      <x:c r="L1862"/>
      <x:c r="M1862"/>
      <x:c r="N1862"/>
      <x:c r="O1862"/>
      <x:c r="P1862"/>
      <x:c r="Q1862"/>
      <x:c r="R1862"/>
      <x:c r="S1862"/>
      <x:c r="T1862"/>
      <x:c r="U1862"/>
      <x:c r="V1862"/>
      <x:c r="W1862"/>
    </x:row>
    <x:row r="1863">
      <x:c r="A1863"/>
      <x:c r="B1863"/>
      <x:c r="C1863"/>
      <x:c r="D1863"/>
      <x:c r="E1863"/>
      <x:c r="F1863"/>
      <x:c r="G1863"/>
      <x:c r="H1863"/>
      <x:c r="I1863"/>
      <x:c r="J1863"/>
      <x:c r="K1863"/>
      <x:c r="L1863"/>
      <x:c r="M1863"/>
      <x:c r="N1863"/>
      <x:c r="O1863"/>
      <x:c r="P1863"/>
      <x:c r="Q1863"/>
      <x:c r="R1863"/>
      <x:c r="S1863"/>
      <x:c r="T1863"/>
      <x:c r="U1863"/>
      <x:c r="V1863"/>
      <x:c r="W1863"/>
    </x:row>
    <x:row r="1864">
      <x:c r="A1864"/>
      <x:c r="B1864"/>
      <x:c r="C1864"/>
      <x:c r="D1864"/>
      <x:c r="E1864"/>
      <x:c r="F1864"/>
      <x:c r="G1864"/>
      <x:c r="H1864"/>
      <x:c r="I1864"/>
      <x:c r="J1864"/>
      <x:c r="K1864"/>
      <x:c r="L1864"/>
      <x:c r="M1864"/>
      <x:c r="N1864"/>
      <x:c r="O1864"/>
      <x:c r="P1864"/>
      <x:c r="Q1864"/>
      <x:c r="R1864"/>
      <x:c r="S1864"/>
      <x:c r="T1864"/>
      <x:c r="U1864"/>
      <x:c r="V1864"/>
      <x:c r="W1864"/>
    </x:row>
    <x:row r="1865">
      <x:c r="A1865"/>
      <x:c r="B1865"/>
      <x:c r="C1865"/>
      <x:c r="D1865"/>
      <x:c r="E1865"/>
      <x:c r="F1865"/>
      <x:c r="G1865"/>
      <x:c r="H1865"/>
      <x:c r="I1865"/>
      <x:c r="J1865"/>
      <x:c r="K1865"/>
      <x:c r="L1865"/>
      <x:c r="M1865"/>
      <x:c r="N1865"/>
      <x:c r="O1865"/>
      <x:c r="P1865"/>
      <x:c r="Q1865"/>
      <x:c r="R1865"/>
      <x:c r="S1865"/>
      <x:c r="T1865"/>
      <x:c r="U1865"/>
      <x:c r="V1865"/>
      <x:c r="W1865"/>
    </x:row>
    <x:row r="1866">
      <x:c r="A1866"/>
      <x:c r="B1866"/>
      <x:c r="C1866"/>
      <x:c r="D1866"/>
      <x:c r="E1866"/>
      <x:c r="F1866"/>
      <x:c r="G1866"/>
      <x:c r="H1866"/>
      <x:c r="I1866"/>
      <x:c r="J1866"/>
      <x:c r="K1866"/>
      <x:c r="L1866"/>
      <x:c r="M1866"/>
      <x:c r="N1866"/>
      <x:c r="O1866"/>
      <x:c r="P1866"/>
      <x:c r="Q1866"/>
      <x:c r="R1866"/>
      <x:c r="S1866"/>
      <x:c r="T1866"/>
      <x:c r="U1866"/>
      <x:c r="V1866"/>
      <x:c r="W1866"/>
    </x:row>
    <x:row r="1867">
      <x:c r="A1867"/>
      <x:c r="B1867"/>
      <x:c r="C1867"/>
      <x:c r="D1867"/>
      <x:c r="E1867"/>
      <x:c r="F1867"/>
      <x:c r="G1867"/>
      <x:c r="H1867"/>
      <x:c r="I1867"/>
      <x:c r="J1867"/>
      <x:c r="K1867"/>
      <x:c r="L1867"/>
      <x:c r="M1867"/>
      <x:c r="N1867"/>
      <x:c r="O1867"/>
      <x:c r="P1867"/>
      <x:c r="Q1867"/>
      <x:c r="R1867"/>
      <x:c r="S1867"/>
      <x:c r="T1867"/>
      <x:c r="U1867"/>
      <x:c r="V1867"/>
      <x:c r="W1867"/>
    </x:row>
    <x:row r="1868">
      <x:c r="A1868"/>
      <x:c r="B1868"/>
      <x:c r="C1868"/>
      <x:c r="D1868"/>
      <x:c r="E1868"/>
      <x:c r="F1868"/>
      <x:c r="G1868"/>
      <x:c r="H1868"/>
      <x:c r="I1868"/>
      <x:c r="J1868"/>
      <x:c r="K1868"/>
      <x:c r="L1868"/>
      <x:c r="M1868"/>
      <x:c r="N1868"/>
      <x:c r="O1868"/>
      <x:c r="P1868"/>
      <x:c r="Q1868"/>
      <x:c r="R1868"/>
      <x:c r="S1868"/>
      <x:c r="T1868"/>
      <x:c r="U1868"/>
      <x:c r="V1868"/>
      <x:c r="W1868"/>
    </x:row>
    <x:row r="1869">
      <x:c r="A1869"/>
      <x:c r="B1869"/>
      <x:c r="C1869"/>
      <x:c r="D1869"/>
      <x:c r="E1869"/>
      <x:c r="F1869"/>
      <x:c r="G1869"/>
      <x:c r="H1869"/>
      <x:c r="I1869"/>
      <x:c r="J1869"/>
      <x:c r="K1869"/>
      <x:c r="L1869"/>
      <x:c r="M1869"/>
      <x:c r="N1869"/>
      <x:c r="O1869"/>
      <x:c r="P1869"/>
      <x:c r="Q1869"/>
      <x:c r="R1869"/>
      <x:c r="S1869"/>
      <x:c r="T1869"/>
      <x:c r="U1869"/>
      <x:c r="V1869"/>
      <x:c r="W1869"/>
    </x:row>
    <x:row r="1870">
      <x:c r="A1870"/>
      <x:c r="B1870"/>
      <x:c r="C1870"/>
      <x:c r="D1870"/>
      <x:c r="E1870"/>
      <x:c r="F1870"/>
      <x:c r="G1870"/>
      <x:c r="H1870"/>
      <x:c r="I1870"/>
      <x:c r="J1870"/>
      <x:c r="K1870"/>
      <x:c r="L1870"/>
      <x:c r="M1870"/>
      <x:c r="N1870"/>
      <x:c r="O1870"/>
      <x:c r="P1870"/>
      <x:c r="Q1870"/>
      <x:c r="R1870"/>
      <x:c r="S1870"/>
      <x:c r="T1870"/>
      <x:c r="U1870"/>
      <x:c r="V1870"/>
      <x:c r="W1870"/>
    </x:row>
    <x:row r="1871">
      <x:c r="A1871"/>
      <x:c r="B1871"/>
      <x:c r="C1871"/>
      <x:c r="D1871"/>
      <x:c r="E1871"/>
      <x:c r="F1871"/>
      <x:c r="G1871"/>
      <x:c r="H1871"/>
      <x:c r="I1871"/>
      <x:c r="J1871"/>
      <x:c r="K1871"/>
      <x:c r="L1871"/>
      <x:c r="M1871"/>
      <x:c r="N1871"/>
      <x:c r="O1871"/>
      <x:c r="P1871"/>
      <x:c r="Q1871"/>
      <x:c r="R1871"/>
      <x:c r="S1871"/>
      <x:c r="T1871"/>
      <x:c r="U1871"/>
      <x:c r="V1871"/>
      <x:c r="W1871"/>
    </x:row>
    <x:row r="1872">
      <x:c r="A1872"/>
      <x:c r="B1872"/>
      <x:c r="C1872"/>
      <x:c r="D1872"/>
      <x:c r="E1872"/>
      <x:c r="F1872"/>
      <x:c r="G1872"/>
      <x:c r="H1872"/>
      <x:c r="I1872"/>
      <x:c r="J1872"/>
      <x:c r="K1872"/>
      <x:c r="L1872"/>
      <x:c r="M1872"/>
      <x:c r="N1872"/>
      <x:c r="O1872"/>
      <x:c r="P1872"/>
      <x:c r="Q1872"/>
      <x:c r="R1872"/>
      <x:c r="S1872"/>
      <x:c r="T1872"/>
      <x:c r="U1872"/>
      <x:c r="V1872"/>
      <x:c r="W1872"/>
    </x:row>
    <x:row r="1873">
      <x:c r="A1873"/>
      <x:c r="B1873"/>
      <x:c r="C1873"/>
      <x:c r="D1873"/>
      <x:c r="E1873"/>
      <x:c r="F1873"/>
      <x:c r="G1873"/>
      <x:c r="H1873"/>
      <x:c r="I1873"/>
      <x:c r="J1873"/>
      <x:c r="K1873"/>
      <x:c r="L1873"/>
      <x:c r="M1873"/>
      <x:c r="N1873"/>
      <x:c r="O1873"/>
      <x:c r="P1873"/>
      <x:c r="Q1873"/>
      <x:c r="R1873"/>
      <x:c r="S1873"/>
      <x:c r="T1873"/>
      <x:c r="U1873"/>
      <x:c r="V1873"/>
      <x:c r="W1873"/>
    </x:row>
    <x:row r="1874">
      <x:c r="A1874"/>
      <x:c r="B1874"/>
      <x:c r="C1874"/>
      <x:c r="D1874"/>
      <x:c r="E1874"/>
      <x:c r="F1874"/>
      <x:c r="G1874"/>
      <x:c r="H1874"/>
      <x:c r="I1874"/>
      <x:c r="J1874"/>
      <x:c r="K1874"/>
      <x:c r="L1874"/>
      <x:c r="M1874"/>
      <x:c r="N1874"/>
      <x:c r="O1874"/>
      <x:c r="P1874"/>
      <x:c r="Q1874"/>
      <x:c r="R1874"/>
      <x:c r="S1874"/>
      <x:c r="T1874"/>
      <x:c r="U1874"/>
      <x:c r="V1874"/>
      <x:c r="W1874"/>
    </x:row>
    <x:row r="1875">
      <x:c r="A1875"/>
      <x:c r="B1875"/>
      <x:c r="C1875"/>
      <x:c r="D1875"/>
      <x:c r="E1875"/>
      <x:c r="F1875"/>
      <x:c r="G1875"/>
      <x:c r="H1875"/>
      <x:c r="I1875"/>
      <x:c r="J1875"/>
      <x:c r="K1875"/>
      <x:c r="L1875"/>
      <x:c r="M1875"/>
      <x:c r="N1875"/>
      <x:c r="O1875"/>
      <x:c r="P1875"/>
      <x:c r="Q1875"/>
      <x:c r="R1875"/>
      <x:c r="S1875"/>
      <x:c r="T1875"/>
      <x:c r="U1875"/>
      <x:c r="V1875"/>
      <x:c r="W1875"/>
    </x:row>
    <x:row r="1876">
      <x:c r="A1876"/>
      <x:c r="B1876"/>
      <x:c r="C1876"/>
      <x:c r="D1876"/>
      <x:c r="E1876"/>
      <x:c r="F1876"/>
      <x:c r="G1876"/>
      <x:c r="H1876"/>
      <x:c r="I1876"/>
      <x:c r="J1876"/>
      <x:c r="K1876"/>
      <x:c r="L1876"/>
      <x:c r="M1876"/>
      <x:c r="N1876"/>
      <x:c r="O1876"/>
      <x:c r="P1876"/>
      <x:c r="Q1876"/>
      <x:c r="R1876"/>
      <x:c r="S1876"/>
      <x:c r="T1876"/>
      <x:c r="U1876"/>
      <x:c r="V1876"/>
      <x:c r="W1876"/>
    </x:row>
    <x:row r="1877">
      <x:c r="A1877"/>
      <x:c r="B1877"/>
      <x:c r="C1877"/>
      <x:c r="D1877"/>
      <x:c r="E1877"/>
      <x:c r="F1877"/>
      <x:c r="G1877"/>
      <x:c r="H1877"/>
      <x:c r="I1877"/>
      <x:c r="J1877"/>
      <x:c r="K1877"/>
      <x:c r="L1877"/>
      <x:c r="M1877"/>
      <x:c r="N1877"/>
      <x:c r="O1877"/>
      <x:c r="P1877"/>
      <x:c r="Q1877"/>
      <x:c r="R1877"/>
      <x:c r="S1877"/>
      <x:c r="T1877"/>
      <x:c r="U1877"/>
      <x:c r="V1877"/>
      <x:c r="W1877"/>
    </x:row>
    <x:row r="1878">
      <x:c r="A1878"/>
      <x:c r="B1878"/>
      <x:c r="C1878"/>
      <x:c r="D1878"/>
      <x:c r="E1878"/>
      <x:c r="F1878"/>
      <x:c r="G1878"/>
      <x:c r="H1878"/>
      <x:c r="I1878"/>
      <x:c r="J1878"/>
      <x:c r="K1878"/>
      <x:c r="L1878"/>
      <x:c r="M1878"/>
      <x:c r="N1878"/>
      <x:c r="O1878"/>
      <x:c r="P1878"/>
      <x:c r="Q1878"/>
      <x:c r="R1878"/>
      <x:c r="S1878"/>
      <x:c r="T1878"/>
      <x:c r="U1878"/>
      <x:c r="V1878"/>
      <x:c r="W1878"/>
    </x:row>
    <x:row r="1879">
      <x:c r="A1879"/>
      <x:c r="B1879"/>
      <x:c r="C1879"/>
      <x:c r="D1879"/>
      <x:c r="E1879"/>
      <x:c r="F1879"/>
      <x:c r="G1879"/>
      <x:c r="H1879"/>
      <x:c r="I1879"/>
      <x:c r="J1879"/>
      <x:c r="K1879"/>
      <x:c r="L1879"/>
      <x:c r="M1879"/>
      <x:c r="N1879"/>
      <x:c r="O1879"/>
      <x:c r="P1879"/>
      <x:c r="Q1879"/>
      <x:c r="R1879"/>
      <x:c r="S1879"/>
      <x:c r="T1879"/>
      <x:c r="U1879"/>
      <x:c r="V1879"/>
      <x:c r="W1879"/>
    </x:row>
    <x:row r="1880">
      <x:c r="A1880"/>
      <x:c r="B1880"/>
      <x:c r="C1880"/>
      <x:c r="D1880"/>
      <x:c r="E1880"/>
      <x:c r="F1880"/>
      <x:c r="G1880"/>
      <x:c r="H1880"/>
      <x:c r="I1880"/>
      <x:c r="J1880"/>
      <x:c r="K1880"/>
      <x:c r="L1880"/>
      <x:c r="M1880"/>
      <x:c r="N1880"/>
      <x:c r="O1880"/>
      <x:c r="P1880"/>
      <x:c r="Q1880"/>
      <x:c r="R1880"/>
      <x:c r="S1880"/>
      <x:c r="T1880"/>
      <x:c r="U1880"/>
      <x:c r="V1880"/>
      <x:c r="W1880"/>
    </x:row>
    <x:row r="1881">
      <x:c r="A1881"/>
      <x:c r="B1881"/>
      <x:c r="C1881"/>
      <x:c r="D1881"/>
      <x:c r="E1881"/>
      <x:c r="F1881"/>
      <x:c r="G1881"/>
      <x:c r="H1881"/>
      <x:c r="I1881"/>
      <x:c r="J1881"/>
      <x:c r="K1881"/>
      <x:c r="L1881"/>
      <x:c r="M1881"/>
      <x:c r="N1881"/>
      <x:c r="O1881"/>
      <x:c r="P1881"/>
      <x:c r="Q1881"/>
      <x:c r="R1881"/>
      <x:c r="S1881"/>
      <x:c r="T1881"/>
      <x:c r="U1881"/>
      <x:c r="V1881"/>
      <x:c r="W1881"/>
    </x:row>
    <x:row r="1882">
      <x:c r="A1882"/>
      <x:c r="B1882"/>
      <x:c r="C1882"/>
      <x:c r="D1882"/>
      <x:c r="E1882"/>
      <x:c r="F1882"/>
      <x:c r="G1882"/>
      <x:c r="H1882"/>
      <x:c r="I1882"/>
      <x:c r="J1882"/>
      <x:c r="K1882"/>
      <x:c r="L1882"/>
      <x:c r="M1882"/>
      <x:c r="N1882"/>
      <x:c r="O1882"/>
      <x:c r="P1882"/>
      <x:c r="Q1882"/>
      <x:c r="R1882"/>
      <x:c r="S1882"/>
      <x:c r="T1882"/>
      <x:c r="U1882"/>
      <x:c r="V1882"/>
      <x:c r="W1882"/>
    </x:row>
    <x:row r="1883">
      <x:c r="A1883"/>
      <x:c r="B1883"/>
      <x:c r="C1883"/>
      <x:c r="D1883"/>
      <x:c r="E1883"/>
      <x:c r="F1883"/>
      <x:c r="G1883"/>
      <x:c r="H1883"/>
      <x:c r="I1883"/>
      <x:c r="J1883"/>
      <x:c r="K1883"/>
      <x:c r="L1883"/>
      <x:c r="M1883"/>
      <x:c r="N1883"/>
      <x:c r="O1883"/>
      <x:c r="P1883"/>
      <x:c r="Q1883"/>
      <x:c r="R1883"/>
      <x:c r="S1883"/>
      <x:c r="T1883"/>
      <x:c r="U1883"/>
      <x:c r="V1883"/>
      <x:c r="W1883"/>
    </x:row>
    <x:row r="1884">
      <x:c r="A1884"/>
      <x:c r="B1884"/>
      <x:c r="C1884"/>
      <x:c r="D1884"/>
      <x:c r="E1884"/>
      <x:c r="F1884"/>
      <x:c r="G1884"/>
      <x:c r="H1884"/>
      <x:c r="I1884"/>
      <x:c r="J1884"/>
      <x:c r="K1884"/>
      <x:c r="L1884"/>
      <x:c r="M1884"/>
      <x:c r="N1884"/>
      <x:c r="O1884"/>
      <x:c r="P1884"/>
      <x:c r="Q1884"/>
      <x:c r="R1884"/>
      <x:c r="S1884"/>
      <x:c r="T1884"/>
      <x:c r="U1884"/>
      <x:c r="V1884"/>
      <x:c r="W1884"/>
    </x:row>
    <x:row r="1885">
      <x:c r="A1885"/>
      <x:c r="B1885"/>
      <x:c r="C1885"/>
      <x:c r="D1885"/>
      <x:c r="E1885"/>
      <x:c r="F1885"/>
      <x:c r="G1885"/>
      <x:c r="H1885"/>
      <x:c r="I1885"/>
      <x:c r="J1885"/>
      <x:c r="K1885"/>
      <x:c r="L1885"/>
      <x:c r="M1885"/>
      <x:c r="N1885"/>
      <x:c r="O1885"/>
      <x:c r="P1885"/>
      <x:c r="Q1885"/>
      <x:c r="R1885"/>
      <x:c r="S1885"/>
      <x:c r="T1885"/>
      <x:c r="U1885"/>
      <x:c r="V1885"/>
      <x:c r="W1885"/>
    </x:row>
    <x:row r="1886">
      <x:c r="A1886"/>
      <x:c r="B1886"/>
      <x:c r="C1886"/>
      <x:c r="D1886"/>
      <x:c r="E1886"/>
      <x:c r="F1886"/>
      <x:c r="G1886"/>
      <x:c r="H1886"/>
      <x:c r="I1886"/>
      <x:c r="J1886"/>
      <x:c r="K1886"/>
      <x:c r="L1886"/>
      <x:c r="M1886"/>
      <x:c r="N1886"/>
      <x:c r="O1886"/>
      <x:c r="P1886"/>
      <x:c r="Q1886"/>
      <x:c r="R1886"/>
      <x:c r="S1886"/>
      <x:c r="T1886"/>
      <x:c r="U1886"/>
      <x:c r="V1886"/>
      <x:c r="W1886"/>
    </x:row>
    <x:row r="1887">
      <x:c r="A1887"/>
      <x:c r="B1887"/>
      <x:c r="C1887"/>
      <x:c r="D1887"/>
      <x:c r="E1887"/>
      <x:c r="F1887"/>
      <x:c r="G1887"/>
      <x:c r="H1887"/>
      <x:c r="I1887"/>
      <x:c r="J1887"/>
      <x:c r="K1887"/>
      <x:c r="L1887"/>
      <x:c r="M1887"/>
      <x:c r="N1887"/>
      <x:c r="O1887"/>
      <x:c r="P1887"/>
      <x:c r="Q1887"/>
      <x:c r="R1887"/>
      <x:c r="S1887"/>
      <x:c r="T1887"/>
      <x:c r="U1887"/>
      <x:c r="V1887"/>
      <x:c r="W1887"/>
    </x:row>
    <x:row r="1888">
      <x:c r="A1888"/>
      <x:c r="B1888"/>
      <x:c r="C1888"/>
      <x:c r="D1888"/>
      <x:c r="E1888"/>
      <x:c r="F1888"/>
      <x:c r="G1888"/>
      <x:c r="H1888"/>
      <x:c r="I1888"/>
      <x:c r="J1888"/>
      <x:c r="K1888"/>
      <x:c r="L1888"/>
      <x:c r="M1888"/>
      <x:c r="N1888"/>
      <x:c r="O1888"/>
      <x:c r="P1888"/>
      <x:c r="Q1888"/>
      <x:c r="R1888"/>
      <x:c r="S1888"/>
      <x:c r="T1888"/>
      <x:c r="U1888"/>
      <x:c r="V1888"/>
      <x:c r="W1888"/>
    </x:row>
    <x:row r="1889">
      <x:c r="A1889"/>
      <x:c r="B1889"/>
      <x:c r="C1889"/>
      <x:c r="D1889"/>
      <x:c r="E1889"/>
      <x:c r="F1889"/>
      <x:c r="G1889"/>
      <x:c r="H1889"/>
      <x:c r="I1889"/>
      <x:c r="J1889"/>
      <x:c r="K1889"/>
      <x:c r="L1889"/>
      <x:c r="M1889"/>
      <x:c r="N1889"/>
      <x:c r="O1889"/>
      <x:c r="P1889"/>
      <x:c r="Q1889"/>
      <x:c r="R1889"/>
      <x:c r="S1889"/>
      <x:c r="T1889"/>
      <x:c r="U1889"/>
      <x:c r="V1889"/>
      <x:c r="W1889"/>
    </x:row>
    <x:row r="1890">
      <x:c r="A1890"/>
      <x:c r="B1890"/>
      <x:c r="C1890"/>
      <x:c r="D1890"/>
      <x:c r="E1890"/>
      <x:c r="F1890"/>
      <x:c r="G1890"/>
      <x:c r="H1890"/>
      <x:c r="I1890"/>
      <x:c r="J1890"/>
      <x:c r="K1890"/>
      <x:c r="L1890"/>
      <x:c r="M1890"/>
      <x:c r="N1890"/>
      <x:c r="O1890"/>
      <x:c r="P1890"/>
      <x:c r="Q1890"/>
      <x:c r="R1890"/>
      <x:c r="S1890"/>
      <x:c r="T1890"/>
      <x:c r="U1890"/>
      <x:c r="V1890"/>
      <x:c r="W1890"/>
    </x:row>
    <x:row r="1891">
      <x:c r="A1891"/>
      <x:c r="B1891"/>
      <x:c r="C1891"/>
      <x:c r="D1891"/>
      <x:c r="E1891"/>
      <x:c r="F1891"/>
      <x:c r="G1891"/>
      <x:c r="H1891"/>
      <x:c r="I1891"/>
      <x:c r="J1891"/>
      <x:c r="K1891"/>
      <x:c r="L1891"/>
      <x:c r="M1891"/>
      <x:c r="N1891"/>
      <x:c r="O1891"/>
      <x:c r="P1891"/>
      <x:c r="Q1891"/>
      <x:c r="R1891"/>
      <x:c r="S1891"/>
      <x:c r="T1891"/>
      <x:c r="U1891"/>
      <x:c r="V1891"/>
      <x:c r="W1891"/>
    </x:row>
    <x:row r="1892">
      <x:c r="A1892"/>
      <x:c r="B1892"/>
      <x:c r="C1892"/>
      <x:c r="D1892"/>
      <x:c r="E1892"/>
      <x:c r="F1892"/>
      <x:c r="G1892"/>
      <x:c r="H1892"/>
      <x:c r="I1892"/>
      <x:c r="J1892"/>
      <x:c r="K1892"/>
      <x:c r="L1892"/>
      <x:c r="M1892"/>
      <x:c r="N1892"/>
      <x:c r="O1892"/>
      <x:c r="P1892"/>
      <x:c r="Q1892"/>
      <x:c r="R1892"/>
      <x:c r="S1892"/>
      <x:c r="T1892"/>
      <x:c r="U1892"/>
      <x:c r="V1892"/>
      <x:c r="W1892"/>
    </x:row>
    <x:row r="1893">
      <x:c r="A1893"/>
      <x:c r="B1893"/>
      <x:c r="C1893"/>
      <x:c r="D1893"/>
      <x:c r="E1893"/>
      <x:c r="F1893"/>
      <x:c r="G1893"/>
      <x:c r="H1893"/>
      <x:c r="I1893"/>
      <x:c r="J1893"/>
      <x:c r="K1893"/>
      <x:c r="L1893"/>
      <x:c r="M1893"/>
      <x:c r="N1893"/>
      <x:c r="O1893"/>
      <x:c r="P1893"/>
      <x:c r="Q1893"/>
      <x:c r="R1893"/>
      <x:c r="S1893"/>
      <x:c r="T1893"/>
      <x:c r="U1893"/>
      <x:c r="V1893"/>
      <x:c r="W1893"/>
    </x:row>
    <x:row r="1894">
      <x:c r="A1894"/>
      <x:c r="B1894"/>
      <x:c r="C1894"/>
      <x:c r="D1894"/>
      <x:c r="E1894"/>
      <x:c r="F1894"/>
      <x:c r="G1894"/>
      <x:c r="H1894"/>
      <x:c r="I1894"/>
      <x:c r="J1894"/>
      <x:c r="K1894"/>
      <x:c r="L1894"/>
      <x:c r="M1894"/>
      <x:c r="N1894"/>
      <x:c r="O1894"/>
      <x:c r="P1894"/>
      <x:c r="Q1894"/>
      <x:c r="R1894"/>
      <x:c r="S1894"/>
      <x:c r="T1894"/>
      <x:c r="U1894"/>
      <x:c r="V1894"/>
      <x:c r="W1894"/>
    </x:row>
    <x:row r="1895">
      <x:c r="A1895"/>
      <x:c r="B1895"/>
      <x:c r="C1895"/>
      <x:c r="D1895"/>
      <x:c r="E1895"/>
      <x:c r="F1895"/>
      <x:c r="G1895"/>
      <x:c r="H1895"/>
      <x:c r="I1895"/>
      <x:c r="J1895"/>
      <x:c r="K1895"/>
      <x:c r="L1895"/>
      <x:c r="M1895"/>
      <x:c r="N1895"/>
      <x:c r="O1895"/>
      <x:c r="P1895"/>
      <x:c r="Q1895"/>
      <x:c r="R1895"/>
      <x:c r="S1895"/>
      <x:c r="T1895"/>
      <x:c r="U1895"/>
      <x:c r="V1895"/>
      <x:c r="W1895"/>
    </x:row>
    <x:row r="1896">
      <x:c r="A1896"/>
      <x:c r="B1896"/>
      <x:c r="C1896"/>
      <x:c r="D1896"/>
      <x:c r="E1896"/>
      <x:c r="F1896"/>
      <x:c r="G1896"/>
      <x:c r="H1896"/>
      <x:c r="I1896"/>
      <x:c r="J1896"/>
      <x:c r="K1896"/>
      <x:c r="L1896"/>
      <x:c r="M1896"/>
      <x:c r="N1896"/>
      <x:c r="O1896"/>
      <x:c r="P1896"/>
      <x:c r="Q1896"/>
      <x:c r="R1896"/>
      <x:c r="S1896"/>
      <x:c r="T1896"/>
      <x:c r="U1896"/>
      <x:c r="V1896"/>
      <x:c r="W1896"/>
    </x:row>
    <x:row r="1897">
      <x:c r="A1897"/>
      <x:c r="B1897"/>
      <x:c r="C1897"/>
      <x:c r="D1897"/>
      <x:c r="E1897"/>
      <x:c r="F1897"/>
      <x:c r="G1897"/>
      <x:c r="H1897"/>
      <x:c r="I1897"/>
      <x:c r="J1897"/>
      <x:c r="K1897"/>
      <x:c r="L1897"/>
      <x:c r="M1897"/>
      <x:c r="N1897"/>
      <x:c r="O1897"/>
      <x:c r="P1897"/>
      <x:c r="Q1897"/>
      <x:c r="R1897"/>
      <x:c r="S1897"/>
      <x:c r="T1897"/>
      <x:c r="U1897"/>
      <x:c r="V1897"/>
      <x:c r="W1897"/>
    </x:row>
    <x:row r="1898">
      <x:c r="A1898"/>
      <x:c r="B1898"/>
      <x:c r="C1898"/>
      <x:c r="D1898"/>
      <x:c r="E1898"/>
      <x:c r="F1898"/>
      <x:c r="G1898"/>
      <x:c r="H1898"/>
      <x:c r="I1898"/>
      <x:c r="J1898"/>
      <x:c r="K1898"/>
      <x:c r="L1898"/>
      <x:c r="M1898"/>
      <x:c r="N1898"/>
      <x:c r="O1898"/>
      <x:c r="P1898"/>
      <x:c r="Q1898"/>
      <x:c r="R1898"/>
      <x:c r="S1898"/>
      <x:c r="T1898"/>
      <x:c r="U1898"/>
      <x:c r="V1898"/>
      <x:c r="W1898"/>
    </x:row>
    <x:row r="1899">
      <x:c r="A1899"/>
      <x:c r="B1899"/>
      <x:c r="C1899"/>
      <x:c r="D1899"/>
      <x:c r="E1899"/>
      <x:c r="F1899"/>
      <x:c r="G1899"/>
      <x:c r="H1899"/>
      <x:c r="I1899"/>
      <x:c r="J1899"/>
      <x:c r="K1899"/>
      <x:c r="L1899"/>
      <x:c r="M1899"/>
      <x:c r="N1899"/>
      <x:c r="O1899"/>
      <x:c r="P1899"/>
      <x:c r="Q1899"/>
      <x:c r="R1899"/>
      <x:c r="S1899"/>
      <x:c r="T1899"/>
      <x:c r="U1899"/>
      <x:c r="V1899"/>
      <x:c r="W1899"/>
    </x:row>
    <x:row r="1900">
      <x:c r="A1900"/>
      <x:c r="B1900"/>
      <x:c r="C1900"/>
      <x:c r="D1900"/>
      <x:c r="E1900"/>
      <x:c r="F1900"/>
      <x:c r="G1900"/>
      <x:c r="H1900"/>
      <x:c r="I1900"/>
      <x:c r="J1900"/>
      <x:c r="K1900"/>
      <x:c r="L1900"/>
      <x:c r="M1900"/>
      <x:c r="N1900"/>
      <x:c r="O1900"/>
      <x:c r="P1900"/>
      <x:c r="Q1900"/>
      <x:c r="R1900"/>
      <x:c r="S1900"/>
      <x:c r="T1900"/>
      <x:c r="U1900"/>
      <x:c r="V1900"/>
      <x:c r="W1900"/>
    </x:row>
    <x:row r="1901">
      <x:c r="A1901"/>
      <x:c r="B1901"/>
      <x:c r="C1901"/>
      <x:c r="D1901"/>
      <x:c r="E1901"/>
      <x:c r="F1901"/>
      <x:c r="G1901"/>
      <x:c r="H1901"/>
      <x:c r="I1901"/>
      <x:c r="J1901"/>
      <x:c r="K1901"/>
      <x:c r="L1901"/>
      <x:c r="M1901"/>
      <x:c r="N1901"/>
      <x:c r="O1901"/>
      <x:c r="P1901"/>
      <x:c r="Q1901"/>
      <x:c r="R1901"/>
      <x:c r="S1901"/>
      <x:c r="T1901"/>
      <x:c r="U1901"/>
      <x:c r="V1901"/>
      <x:c r="W1901"/>
    </x:row>
    <x:row r="1902">
      <x:c r="A1902"/>
      <x:c r="B1902"/>
      <x:c r="C1902"/>
      <x:c r="D1902"/>
      <x:c r="E1902"/>
      <x:c r="F1902"/>
      <x:c r="G1902"/>
      <x:c r="H1902"/>
      <x:c r="I1902"/>
      <x:c r="J1902"/>
      <x:c r="K1902"/>
      <x:c r="L1902"/>
      <x:c r="M1902"/>
      <x:c r="N1902"/>
      <x:c r="O1902"/>
      <x:c r="P1902"/>
      <x:c r="Q1902"/>
      <x:c r="R1902"/>
      <x:c r="S1902"/>
      <x:c r="T1902"/>
      <x:c r="U1902"/>
      <x:c r="V1902"/>
      <x:c r="W1902"/>
    </x:row>
    <x:row r="1903">
      <x:c r="A1903"/>
      <x:c r="B1903"/>
      <x:c r="C1903"/>
      <x:c r="D1903"/>
      <x:c r="E1903"/>
      <x:c r="F1903"/>
      <x:c r="G1903"/>
      <x:c r="H1903"/>
      <x:c r="I1903"/>
      <x:c r="J1903"/>
      <x:c r="K1903"/>
      <x:c r="L1903"/>
      <x:c r="M1903"/>
      <x:c r="N1903"/>
      <x:c r="O1903"/>
      <x:c r="P1903"/>
      <x:c r="Q1903"/>
      <x:c r="R1903"/>
      <x:c r="S1903"/>
      <x:c r="T1903"/>
      <x:c r="U1903"/>
      <x:c r="V1903"/>
      <x:c r="W1903"/>
    </x:row>
    <x:row r="1904">
      <x:c r="A1904"/>
      <x:c r="B1904"/>
      <x:c r="C1904"/>
      <x:c r="D1904"/>
      <x:c r="E1904"/>
      <x:c r="F1904"/>
      <x:c r="G1904"/>
      <x:c r="H1904"/>
      <x:c r="I1904"/>
      <x:c r="J1904"/>
      <x:c r="K1904"/>
      <x:c r="L1904"/>
      <x:c r="M1904"/>
      <x:c r="N1904"/>
      <x:c r="O1904"/>
      <x:c r="P1904"/>
      <x:c r="Q1904"/>
      <x:c r="R1904"/>
      <x:c r="S1904"/>
      <x:c r="T1904"/>
      <x:c r="U1904"/>
      <x:c r="V1904"/>
      <x:c r="W1904"/>
    </x:row>
    <x:row r="1905">
      <x:c r="A1905"/>
      <x:c r="B1905"/>
      <x:c r="C1905"/>
      <x:c r="D1905"/>
      <x:c r="E1905"/>
      <x:c r="F1905"/>
      <x:c r="G1905"/>
      <x:c r="H1905"/>
      <x:c r="I1905"/>
      <x:c r="J1905"/>
      <x:c r="K1905"/>
      <x:c r="L1905"/>
      <x:c r="M1905"/>
      <x:c r="N1905"/>
      <x:c r="O1905"/>
      <x:c r="P1905"/>
      <x:c r="Q1905"/>
      <x:c r="R1905"/>
      <x:c r="S1905"/>
      <x:c r="T1905"/>
      <x:c r="U1905"/>
      <x:c r="V1905"/>
      <x:c r="W1905"/>
    </x:row>
    <x:row r="1906">
      <x:c r="A1906"/>
      <x:c r="B1906"/>
      <x:c r="C1906"/>
      <x:c r="D1906"/>
      <x:c r="E1906"/>
      <x:c r="F1906"/>
      <x:c r="G1906"/>
      <x:c r="H1906"/>
      <x:c r="I1906"/>
      <x:c r="J1906"/>
      <x:c r="K1906"/>
      <x:c r="L1906"/>
      <x:c r="M1906"/>
      <x:c r="N1906"/>
      <x:c r="O1906"/>
      <x:c r="P1906"/>
      <x:c r="Q1906"/>
      <x:c r="R1906"/>
      <x:c r="S1906"/>
      <x:c r="T1906"/>
      <x:c r="U1906"/>
      <x:c r="V1906"/>
      <x:c r="W1906"/>
    </x:row>
    <x:row r="1907">
      <x:c r="A1907"/>
      <x:c r="B1907"/>
      <x:c r="C1907"/>
      <x:c r="D1907"/>
      <x:c r="E1907"/>
      <x:c r="F1907"/>
      <x:c r="G1907"/>
      <x:c r="H1907"/>
      <x:c r="I1907"/>
      <x:c r="J1907"/>
      <x:c r="K1907"/>
      <x:c r="L1907"/>
      <x:c r="M1907"/>
      <x:c r="N1907"/>
      <x:c r="O1907"/>
      <x:c r="P1907"/>
      <x:c r="Q1907"/>
      <x:c r="R1907"/>
      <x:c r="S1907"/>
      <x:c r="T1907"/>
      <x:c r="U1907"/>
      <x:c r="V1907"/>
      <x:c r="W1907"/>
    </x:row>
    <x:row r="1908">
      <x:c r="A1908"/>
      <x:c r="B1908"/>
      <x:c r="C1908"/>
      <x:c r="D1908"/>
      <x:c r="E1908"/>
      <x:c r="F1908"/>
      <x:c r="G1908"/>
      <x:c r="H1908"/>
      <x:c r="I1908"/>
      <x:c r="J1908"/>
      <x:c r="K1908"/>
      <x:c r="L1908"/>
      <x:c r="M1908"/>
      <x:c r="N1908"/>
      <x:c r="O1908"/>
      <x:c r="P1908"/>
      <x:c r="Q1908"/>
      <x:c r="R1908"/>
      <x:c r="S1908"/>
      <x:c r="T1908"/>
      <x:c r="U1908"/>
      <x:c r="V1908"/>
      <x:c r="W1908"/>
    </x:row>
    <x:row r="1909">
      <x:c r="A1909"/>
      <x:c r="B1909"/>
      <x:c r="C1909"/>
      <x:c r="D1909"/>
      <x:c r="E1909"/>
      <x:c r="F1909"/>
      <x:c r="G1909"/>
      <x:c r="H1909"/>
      <x:c r="I1909"/>
      <x:c r="J1909"/>
      <x:c r="K1909"/>
      <x:c r="L1909"/>
      <x:c r="M1909"/>
      <x:c r="N1909"/>
      <x:c r="O1909"/>
      <x:c r="P1909"/>
      <x:c r="Q1909"/>
      <x:c r="R1909"/>
      <x:c r="S1909"/>
      <x:c r="T1909"/>
      <x:c r="U1909"/>
      <x:c r="V1909"/>
      <x:c r="W1909"/>
    </x:row>
    <x:row r="1910">
      <x:c r="A1910"/>
      <x:c r="B1910"/>
      <x:c r="C1910"/>
      <x:c r="D1910"/>
      <x:c r="E1910"/>
      <x:c r="F1910"/>
      <x:c r="G1910"/>
      <x:c r="H1910"/>
      <x:c r="I1910"/>
      <x:c r="J1910"/>
      <x:c r="K1910"/>
      <x:c r="L1910"/>
      <x:c r="M1910"/>
      <x:c r="N1910"/>
      <x:c r="O1910"/>
      <x:c r="P1910"/>
      <x:c r="Q1910"/>
      <x:c r="R1910"/>
      <x:c r="S1910"/>
      <x:c r="T1910"/>
      <x:c r="U1910"/>
      <x:c r="V1910"/>
      <x:c r="W1910"/>
    </x:row>
    <x:row r="1911">
      <x:c r="A1911"/>
      <x:c r="B1911"/>
      <x:c r="C1911"/>
      <x:c r="D1911"/>
      <x:c r="E1911"/>
      <x:c r="F1911"/>
      <x:c r="G1911"/>
      <x:c r="H1911"/>
      <x:c r="I1911"/>
      <x:c r="J1911"/>
      <x:c r="K1911"/>
      <x:c r="L1911"/>
      <x:c r="M1911"/>
      <x:c r="N1911"/>
      <x:c r="O1911"/>
      <x:c r="P1911"/>
      <x:c r="Q1911"/>
      <x:c r="R1911"/>
      <x:c r="S1911"/>
      <x:c r="T1911"/>
      <x:c r="U1911"/>
      <x:c r="V1911"/>
      <x:c r="W1911"/>
    </x:row>
    <x:row r="1912">
      <x:c r="A1912"/>
      <x:c r="B1912"/>
      <x:c r="C1912"/>
      <x:c r="D1912"/>
      <x:c r="E1912"/>
      <x:c r="F1912"/>
      <x:c r="G1912"/>
      <x:c r="H1912"/>
      <x:c r="I1912"/>
      <x:c r="J1912"/>
      <x:c r="K1912"/>
      <x:c r="L1912"/>
      <x:c r="M1912"/>
      <x:c r="N1912"/>
      <x:c r="O1912"/>
      <x:c r="P1912"/>
      <x:c r="Q1912"/>
      <x:c r="R1912"/>
      <x:c r="S1912"/>
      <x:c r="T1912"/>
      <x:c r="U1912"/>
      <x:c r="V1912"/>
      <x:c r="W1912"/>
    </x:row>
    <x:row r="1913">
      <x:c r="A1913"/>
      <x:c r="B1913"/>
      <x:c r="C1913"/>
      <x:c r="D1913"/>
      <x:c r="E1913"/>
      <x:c r="F1913"/>
      <x:c r="G1913"/>
      <x:c r="H1913"/>
      <x:c r="I1913"/>
      <x:c r="J1913"/>
      <x:c r="K1913"/>
      <x:c r="L1913"/>
      <x:c r="M1913"/>
      <x:c r="N1913"/>
      <x:c r="O1913"/>
      <x:c r="P1913"/>
      <x:c r="Q1913"/>
      <x:c r="R1913"/>
      <x:c r="S1913"/>
      <x:c r="T1913"/>
      <x:c r="U1913"/>
      <x:c r="V1913"/>
      <x:c r="W1913"/>
    </x:row>
    <x:row r="1914">
      <x:c r="A1914"/>
      <x:c r="B1914"/>
      <x:c r="C1914"/>
      <x:c r="D1914"/>
      <x:c r="E1914"/>
      <x:c r="F1914"/>
      <x:c r="G1914"/>
      <x:c r="H1914"/>
      <x:c r="I1914"/>
      <x:c r="J1914"/>
      <x:c r="K1914"/>
      <x:c r="L1914"/>
      <x:c r="M1914"/>
      <x:c r="N1914"/>
      <x:c r="O1914"/>
      <x:c r="P1914"/>
      <x:c r="Q1914"/>
      <x:c r="R1914"/>
      <x:c r="S1914"/>
      <x:c r="T1914"/>
      <x:c r="U1914"/>
      <x:c r="V1914"/>
      <x:c r="W1914"/>
    </x:row>
    <x:row r="1915">
      <x:c r="A1915"/>
      <x:c r="B1915"/>
      <x:c r="C1915"/>
      <x:c r="D1915"/>
      <x:c r="E1915"/>
      <x:c r="F1915"/>
      <x:c r="G1915"/>
      <x:c r="H1915"/>
      <x:c r="I1915"/>
      <x:c r="J1915"/>
      <x:c r="K1915"/>
      <x:c r="L1915"/>
      <x:c r="M1915"/>
      <x:c r="N1915"/>
      <x:c r="O1915"/>
      <x:c r="P1915"/>
      <x:c r="Q1915"/>
      <x:c r="R1915"/>
      <x:c r="S1915"/>
      <x:c r="T1915"/>
      <x:c r="U1915"/>
      <x:c r="V1915"/>
      <x:c r="W1915"/>
    </x:row>
    <x:row r="1916">
      <x:c r="A1916"/>
      <x:c r="B1916"/>
      <x:c r="C1916"/>
      <x:c r="D1916"/>
      <x:c r="E1916"/>
      <x:c r="F1916"/>
      <x:c r="G1916"/>
      <x:c r="H1916"/>
      <x:c r="I1916"/>
      <x:c r="J1916"/>
      <x:c r="K1916"/>
      <x:c r="L1916"/>
      <x:c r="M1916"/>
      <x:c r="N1916"/>
      <x:c r="O1916"/>
      <x:c r="P1916"/>
      <x:c r="Q1916"/>
      <x:c r="R1916"/>
      <x:c r="S1916"/>
      <x:c r="T1916"/>
      <x:c r="U1916"/>
      <x:c r="V1916"/>
      <x:c r="W1916"/>
    </x:row>
    <x:row r="1917">
      <x:c r="A1917"/>
      <x:c r="B1917"/>
      <x:c r="C1917"/>
      <x:c r="D1917"/>
      <x:c r="E1917"/>
      <x:c r="F1917"/>
      <x:c r="G1917"/>
      <x:c r="H1917"/>
      <x:c r="I1917"/>
      <x:c r="J1917"/>
      <x:c r="K1917"/>
      <x:c r="L1917"/>
      <x:c r="M1917"/>
      <x:c r="N1917"/>
      <x:c r="O1917"/>
      <x:c r="P1917"/>
      <x:c r="Q1917"/>
      <x:c r="R1917"/>
      <x:c r="S1917"/>
      <x:c r="T1917"/>
      <x:c r="U1917"/>
      <x:c r="V1917"/>
      <x:c r="W1917"/>
    </x:row>
    <x:row r="1918">
      <x:c r="A1918"/>
      <x:c r="B1918"/>
      <x:c r="C1918"/>
      <x:c r="D1918"/>
      <x:c r="E1918"/>
      <x:c r="F1918"/>
      <x:c r="G1918"/>
      <x:c r="H1918"/>
      <x:c r="I1918"/>
      <x:c r="J1918"/>
      <x:c r="K1918"/>
      <x:c r="L1918"/>
      <x:c r="M1918"/>
      <x:c r="N1918"/>
      <x:c r="O1918"/>
      <x:c r="P1918"/>
      <x:c r="Q1918"/>
      <x:c r="R1918"/>
      <x:c r="S1918"/>
      <x:c r="T1918"/>
      <x:c r="U1918"/>
      <x:c r="V1918"/>
      <x:c r="W1918"/>
    </x:row>
    <x:row r="1919">
      <x:c r="A1919"/>
      <x:c r="B1919"/>
      <x:c r="C1919"/>
      <x:c r="D1919"/>
      <x:c r="E1919"/>
      <x:c r="F1919"/>
      <x:c r="G1919"/>
      <x:c r="H1919"/>
      <x:c r="I1919"/>
      <x:c r="J1919"/>
      <x:c r="K1919"/>
      <x:c r="L1919"/>
      <x:c r="M1919"/>
      <x:c r="N1919"/>
      <x:c r="O1919"/>
      <x:c r="P1919"/>
      <x:c r="Q1919"/>
      <x:c r="R1919"/>
      <x:c r="S1919"/>
      <x:c r="T1919"/>
      <x:c r="U1919"/>
      <x:c r="V1919"/>
      <x:c r="W1919"/>
    </x:row>
    <x:row r="1920">
      <x:c r="A1920"/>
      <x:c r="B1920"/>
      <x:c r="C1920"/>
      <x:c r="D1920"/>
      <x:c r="E1920"/>
      <x:c r="F1920"/>
      <x:c r="G1920"/>
      <x:c r="H1920"/>
      <x:c r="I1920"/>
      <x:c r="J1920"/>
      <x:c r="K1920"/>
      <x:c r="L1920"/>
      <x:c r="M1920"/>
      <x:c r="N1920"/>
      <x:c r="O1920"/>
      <x:c r="P1920"/>
      <x:c r="Q1920"/>
      <x:c r="R1920"/>
      <x:c r="S1920"/>
      <x:c r="T1920"/>
      <x:c r="U1920"/>
      <x:c r="V1920"/>
      <x:c r="W1920"/>
    </x:row>
    <x:row r="1921">
      <x:c r="A1921"/>
      <x:c r="B1921"/>
      <x:c r="C1921"/>
      <x:c r="D1921"/>
      <x:c r="E1921"/>
      <x:c r="F1921"/>
      <x:c r="G1921"/>
      <x:c r="H1921"/>
      <x:c r="I1921"/>
      <x:c r="J1921"/>
      <x:c r="K1921"/>
      <x:c r="L1921"/>
      <x:c r="M1921"/>
      <x:c r="N1921"/>
      <x:c r="O1921"/>
      <x:c r="P1921"/>
      <x:c r="Q1921"/>
      <x:c r="R1921"/>
      <x:c r="S1921"/>
      <x:c r="T1921"/>
      <x:c r="U1921"/>
      <x:c r="V1921"/>
      <x:c r="W1921"/>
    </x:row>
    <x:row r="1922">
      <x:c r="A1922"/>
      <x:c r="B1922"/>
      <x:c r="C1922"/>
      <x:c r="D1922"/>
      <x:c r="E1922"/>
      <x:c r="F1922"/>
      <x:c r="G1922"/>
      <x:c r="H1922"/>
      <x:c r="I1922"/>
      <x:c r="J1922"/>
      <x:c r="K1922"/>
      <x:c r="L1922"/>
      <x:c r="M1922"/>
      <x:c r="N1922"/>
      <x:c r="O1922"/>
      <x:c r="P1922"/>
      <x:c r="Q1922"/>
      <x:c r="R1922"/>
      <x:c r="S1922"/>
      <x:c r="T1922"/>
      <x:c r="U1922"/>
      <x:c r="V1922"/>
      <x:c r="W1922"/>
    </x:row>
    <x:row r="1923">
      <x:c r="A1923"/>
      <x:c r="B1923"/>
      <x:c r="C1923"/>
      <x:c r="D1923"/>
      <x:c r="E1923"/>
      <x:c r="F1923"/>
      <x:c r="G1923"/>
      <x:c r="H1923"/>
      <x:c r="I1923"/>
      <x:c r="J1923"/>
      <x:c r="K1923"/>
      <x:c r="L1923"/>
      <x:c r="M1923"/>
      <x:c r="N1923"/>
      <x:c r="O1923"/>
      <x:c r="P1923"/>
      <x:c r="Q1923"/>
      <x:c r="R1923"/>
      <x:c r="S1923"/>
      <x:c r="T1923"/>
      <x:c r="U1923"/>
      <x:c r="V1923"/>
      <x:c r="W1923"/>
    </x:row>
    <x:row r="1924">
      <x:c r="A1924"/>
      <x:c r="B1924"/>
      <x:c r="C1924"/>
      <x:c r="D1924"/>
      <x:c r="E1924"/>
      <x:c r="F1924"/>
      <x:c r="G1924"/>
      <x:c r="H1924"/>
      <x:c r="I1924"/>
      <x:c r="J1924"/>
      <x:c r="K1924"/>
      <x:c r="L1924"/>
      <x:c r="M1924"/>
      <x:c r="N1924"/>
      <x:c r="O1924"/>
      <x:c r="P1924"/>
      <x:c r="Q1924"/>
      <x:c r="R1924"/>
      <x:c r="S1924"/>
      <x:c r="T1924"/>
      <x:c r="U1924"/>
      <x:c r="V1924"/>
      <x:c r="W1924"/>
    </x:row>
    <x:row r="1925">
      <x:c r="A1925"/>
      <x:c r="B1925"/>
      <x:c r="C1925"/>
      <x:c r="D1925"/>
      <x:c r="E1925"/>
      <x:c r="F1925"/>
      <x:c r="G1925"/>
      <x:c r="H1925"/>
      <x:c r="I1925"/>
      <x:c r="J1925"/>
      <x:c r="K1925"/>
      <x:c r="L1925"/>
      <x:c r="M1925"/>
      <x:c r="N1925"/>
      <x:c r="O1925"/>
      <x:c r="P1925"/>
      <x:c r="Q1925"/>
      <x:c r="R1925"/>
      <x:c r="S1925"/>
      <x:c r="T1925"/>
      <x:c r="U1925"/>
      <x:c r="V1925"/>
      <x:c r="W1925"/>
    </x:row>
    <x:row r="1926">
      <x:c r="A1926"/>
      <x:c r="B1926"/>
      <x:c r="C1926"/>
      <x:c r="D1926"/>
      <x:c r="E1926"/>
      <x:c r="F1926"/>
      <x:c r="G1926"/>
      <x:c r="H1926"/>
      <x:c r="I1926"/>
      <x:c r="J1926"/>
      <x:c r="K1926"/>
      <x:c r="L1926"/>
      <x:c r="M1926"/>
      <x:c r="N1926"/>
      <x:c r="O1926"/>
      <x:c r="P1926"/>
      <x:c r="Q1926"/>
      <x:c r="R1926"/>
      <x:c r="S1926"/>
      <x:c r="T1926"/>
      <x:c r="U1926"/>
      <x:c r="V1926"/>
      <x:c r="W1926"/>
    </x:row>
    <x:row r="1927">
      <x:c r="A1927"/>
      <x:c r="B1927"/>
      <x:c r="C1927"/>
      <x:c r="D1927"/>
      <x:c r="E1927"/>
      <x:c r="F1927"/>
      <x:c r="G1927"/>
      <x:c r="H1927"/>
      <x:c r="I1927"/>
      <x:c r="J1927"/>
      <x:c r="K1927"/>
      <x:c r="L1927"/>
      <x:c r="M1927"/>
      <x:c r="N1927"/>
      <x:c r="O1927"/>
      <x:c r="P1927"/>
      <x:c r="Q1927"/>
      <x:c r="R1927"/>
      <x:c r="S1927"/>
      <x:c r="T1927"/>
      <x:c r="U1927"/>
      <x:c r="V1927"/>
      <x:c r="W1927"/>
    </x:row>
    <x:row r="1928">
      <x:c r="A1928"/>
      <x:c r="B1928"/>
      <x:c r="C1928"/>
      <x:c r="D1928"/>
      <x:c r="E1928"/>
      <x:c r="F1928"/>
      <x:c r="G1928"/>
      <x:c r="H1928"/>
      <x:c r="I1928"/>
      <x:c r="J1928"/>
      <x:c r="K1928"/>
      <x:c r="L1928"/>
      <x:c r="M1928"/>
      <x:c r="N1928"/>
      <x:c r="O1928"/>
      <x:c r="P1928"/>
      <x:c r="Q1928"/>
      <x:c r="R1928"/>
      <x:c r="S1928"/>
      <x:c r="T1928"/>
      <x:c r="U1928"/>
      <x:c r="V1928"/>
      <x:c r="W1928"/>
    </x:row>
    <x:row r="1929">
      <x:c r="A1929"/>
      <x:c r="B1929"/>
      <x:c r="C1929"/>
      <x:c r="D1929"/>
      <x:c r="E1929"/>
      <x:c r="F1929"/>
      <x:c r="G1929"/>
      <x:c r="H1929"/>
      <x:c r="I1929"/>
      <x:c r="J1929"/>
      <x:c r="K1929"/>
      <x:c r="L1929"/>
      <x:c r="M1929"/>
      <x:c r="N1929"/>
      <x:c r="O1929"/>
      <x:c r="P1929"/>
      <x:c r="Q1929"/>
      <x:c r="R1929"/>
      <x:c r="S1929"/>
      <x:c r="T1929"/>
      <x:c r="U1929"/>
      <x:c r="V1929"/>
      <x:c r="W1929"/>
    </x:row>
    <x:row r="1930">
      <x:c r="A1930"/>
      <x:c r="B1930"/>
      <x:c r="C1930"/>
      <x:c r="D1930"/>
      <x:c r="E1930"/>
      <x:c r="F1930"/>
      <x:c r="G1930"/>
      <x:c r="H1930"/>
      <x:c r="I1930"/>
      <x:c r="J1930"/>
      <x:c r="K1930"/>
      <x:c r="L1930"/>
      <x:c r="M1930"/>
      <x:c r="N1930"/>
      <x:c r="O1930"/>
      <x:c r="P1930"/>
      <x:c r="Q1930"/>
      <x:c r="R1930"/>
      <x:c r="S1930"/>
      <x:c r="T1930"/>
      <x:c r="U1930"/>
      <x:c r="V1930"/>
      <x:c r="W1930"/>
    </x:row>
    <x:row r="1931">
      <x:c r="A1931"/>
      <x:c r="B1931"/>
      <x:c r="C1931"/>
      <x:c r="D1931"/>
      <x:c r="E1931"/>
      <x:c r="F1931"/>
      <x:c r="G1931"/>
      <x:c r="H1931"/>
      <x:c r="I1931"/>
      <x:c r="J1931"/>
      <x:c r="K1931"/>
      <x:c r="L1931"/>
      <x:c r="M1931"/>
      <x:c r="N1931"/>
      <x:c r="O1931"/>
      <x:c r="P1931"/>
      <x:c r="Q1931"/>
      <x:c r="R1931"/>
      <x:c r="S1931"/>
      <x:c r="T1931"/>
      <x:c r="U1931"/>
      <x:c r="V1931"/>
      <x:c r="W1931"/>
    </x:row>
    <x:row r="1932">
      <x:c r="A1932"/>
      <x:c r="B1932"/>
      <x:c r="C1932"/>
      <x:c r="D1932"/>
      <x:c r="E1932"/>
      <x:c r="F1932"/>
      <x:c r="G1932"/>
      <x:c r="H1932"/>
      <x:c r="I1932"/>
      <x:c r="J1932"/>
      <x:c r="K1932"/>
      <x:c r="L1932"/>
      <x:c r="M1932"/>
      <x:c r="N1932"/>
      <x:c r="O1932"/>
      <x:c r="P1932"/>
      <x:c r="Q1932"/>
      <x:c r="R1932"/>
      <x:c r="S1932"/>
      <x:c r="T1932"/>
      <x:c r="U1932"/>
      <x:c r="V1932"/>
      <x:c r="W1932"/>
    </x:row>
    <x:row r="1933">
      <x:c r="A1933"/>
      <x:c r="B1933"/>
      <x:c r="C1933"/>
      <x:c r="D1933"/>
      <x:c r="E1933"/>
      <x:c r="F1933"/>
      <x:c r="G1933"/>
      <x:c r="H1933"/>
      <x:c r="I1933"/>
      <x:c r="J1933"/>
      <x:c r="K1933"/>
      <x:c r="L1933"/>
      <x:c r="M1933"/>
      <x:c r="N1933"/>
      <x:c r="O1933"/>
      <x:c r="P1933"/>
      <x:c r="Q1933"/>
      <x:c r="R1933"/>
      <x:c r="S1933"/>
      <x:c r="T1933"/>
      <x:c r="U1933"/>
      <x:c r="V1933"/>
      <x:c r="W1933"/>
    </x:row>
    <x:row r="1934">
      <x:c r="A1934"/>
      <x:c r="B1934"/>
      <x:c r="C1934"/>
      <x:c r="D1934"/>
      <x:c r="E1934"/>
      <x:c r="F1934"/>
      <x:c r="G1934"/>
      <x:c r="H1934"/>
      <x:c r="I1934"/>
      <x:c r="J1934"/>
      <x:c r="K1934"/>
      <x:c r="L1934"/>
      <x:c r="M1934"/>
      <x:c r="N1934"/>
      <x:c r="O1934"/>
      <x:c r="P1934"/>
      <x:c r="Q1934"/>
      <x:c r="R1934"/>
      <x:c r="S1934"/>
      <x:c r="T1934"/>
      <x:c r="U1934"/>
      <x:c r="V1934"/>
      <x:c r="W1934"/>
    </x:row>
    <x:row r="1935">
      <x:c r="A1935"/>
      <x:c r="B1935"/>
      <x:c r="C1935"/>
      <x:c r="D1935"/>
      <x:c r="E1935"/>
      <x:c r="F1935"/>
      <x:c r="G1935"/>
      <x:c r="H1935"/>
      <x:c r="I1935"/>
      <x:c r="J1935"/>
      <x:c r="K1935"/>
      <x:c r="L1935"/>
      <x:c r="M1935"/>
      <x:c r="N1935"/>
      <x:c r="O1935"/>
      <x:c r="P1935"/>
      <x:c r="Q1935"/>
      <x:c r="R1935"/>
      <x:c r="S1935"/>
      <x:c r="T1935"/>
      <x:c r="U1935"/>
      <x:c r="V1935"/>
      <x:c r="W1935"/>
    </x:row>
    <x:row r="1936">
      <x:c r="A1936"/>
      <x:c r="B1936"/>
      <x:c r="C1936"/>
      <x:c r="D1936"/>
      <x:c r="E1936"/>
      <x:c r="F1936"/>
      <x:c r="G1936"/>
      <x:c r="H1936"/>
      <x:c r="I1936"/>
      <x:c r="J1936"/>
      <x:c r="K1936"/>
      <x:c r="L1936"/>
      <x:c r="M1936"/>
      <x:c r="N1936"/>
      <x:c r="O1936"/>
      <x:c r="P1936"/>
      <x:c r="Q1936"/>
      <x:c r="R1936"/>
      <x:c r="S1936"/>
      <x:c r="T1936"/>
      <x:c r="U1936"/>
      <x:c r="V1936"/>
      <x:c r="W1936"/>
    </x:row>
    <x:row r="1937">
      <x:c r="A1937"/>
      <x:c r="B1937"/>
      <x:c r="C1937"/>
      <x:c r="D1937"/>
      <x:c r="E1937"/>
      <x:c r="F1937"/>
      <x:c r="G1937"/>
      <x:c r="H1937"/>
      <x:c r="I1937"/>
      <x:c r="J1937"/>
      <x:c r="K1937"/>
      <x:c r="L1937"/>
      <x:c r="M1937"/>
      <x:c r="N1937"/>
      <x:c r="O1937"/>
      <x:c r="P1937"/>
      <x:c r="Q1937"/>
      <x:c r="R1937"/>
      <x:c r="S1937"/>
      <x:c r="T1937"/>
      <x:c r="U1937"/>
      <x:c r="V1937"/>
      <x:c r="W1937"/>
    </x:row>
    <x:row r="1938">
      <x:c r="A1938"/>
      <x:c r="B1938"/>
      <x:c r="C1938"/>
      <x:c r="D1938"/>
      <x:c r="E1938"/>
      <x:c r="F1938"/>
      <x:c r="G1938"/>
      <x:c r="H1938"/>
      <x:c r="I1938"/>
      <x:c r="J1938"/>
      <x:c r="K1938"/>
      <x:c r="L1938"/>
      <x:c r="M1938"/>
      <x:c r="N1938"/>
      <x:c r="O1938"/>
      <x:c r="P1938"/>
      <x:c r="Q1938"/>
      <x:c r="R1938"/>
      <x:c r="S1938"/>
      <x:c r="T1938"/>
      <x:c r="U1938"/>
      <x:c r="V1938"/>
      <x:c r="W1938"/>
    </x:row>
    <x:row r="1939">
      <x:c r="A1939"/>
      <x:c r="B1939"/>
      <x:c r="C1939"/>
      <x:c r="D1939"/>
      <x:c r="E1939"/>
      <x:c r="F1939"/>
      <x:c r="G1939"/>
      <x:c r="H1939"/>
      <x:c r="I1939"/>
      <x:c r="J1939"/>
      <x:c r="K1939"/>
      <x:c r="L1939"/>
      <x:c r="M1939"/>
      <x:c r="N1939"/>
      <x:c r="O1939"/>
      <x:c r="P1939"/>
      <x:c r="Q1939"/>
      <x:c r="R1939"/>
      <x:c r="S1939"/>
      <x:c r="T1939"/>
      <x:c r="U1939"/>
      <x:c r="V1939"/>
      <x:c r="W1939"/>
    </x:row>
    <x:row r="1940">
      <x:c r="A1940"/>
      <x:c r="B1940"/>
      <x:c r="C1940"/>
      <x:c r="D1940"/>
      <x:c r="E1940"/>
      <x:c r="F1940"/>
      <x:c r="G1940"/>
      <x:c r="H1940"/>
      <x:c r="I1940"/>
      <x:c r="J1940"/>
      <x:c r="K1940"/>
      <x:c r="L1940"/>
      <x:c r="M1940"/>
      <x:c r="N1940"/>
      <x:c r="O1940"/>
      <x:c r="P1940"/>
      <x:c r="Q1940"/>
      <x:c r="R1940"/>
      <x:c r="S1940"/>
      <x:c r="T1940"/>
      <x:c r="U1940"/>
      <x:c r="V1940"/>
      <x:c r="W1940"/>
    </x:row>
    <x:row r="1941">
      <x:c r="A1941"/>
      <x:c r="B1941"/>
      <x:c r="C1941"/>
      <x:c r="D1941"/>
      <x:c r="E1941"/>
      <x:c r="F1941"/>
      <x:c r="G1941"/>
      <x:c r="H1941"/>
      <x:c r="I1941"/>
      <x:c r="J1941"/>
      <x:c r="K1941"/>
      <x:c r="L1941"/>
      <x:c r="M1941"/>
      <x:c r="N1941"/>
      <x:c r="O1941"/>
      <x:c r="P1941"/>
      <x:c r="Q1941"/>
      <x:c r="R1941"/>
      <x:c r="S1941"/>
      <x:c r="T1941"/>
      <x:c r="U1941"/>
      <x:c r="V1941"/>
      <x:c r="W1941"/>
    </x:row>
    <x:row r="1942">
      <x:c r="A1942"/>
      <x:c r="B1942"/>
      <x:c r="C1942"/>
      <x:c r="D1942"/>
      <x:c r="E1942"/>
      <x:c r="F1942"/>
      <x:c r="G1942"/>
      <x:c r="H1942"/>
      <x:c r="I1942"/>
      <x:c r="J1942"/>
      <x:c r="K1942"/>
      <x:c r="L1942"/>
      <x:c r="M1942"/>
      <x:c r="N1942"/>
      <x:c r="O1942"/>
      <x:c r="P1942"/>
      <x:c r="Q1942"/>
      <x:c r="R1942"/>
      <x:c r="S1942"/>
      <x:c r="T1942"/>
      <x:c r="U1942"/>
      <x:c r="V1942"/>
      <x:c r="W1942"/>
    </x:row>
    <x:row r="1943">
      <x:c r="A1943"/>
      <x:c r="B1943"/>
      <x:c r="C1943"/>
      <x:c r="D1943"/>
      <x:c r="E1943"/>
      <x:c r="F1943"/>
      <x:c r="G1943"/>
      <x:c r="H1943"/>
      <x:c r="I1943"/>
      <x:c r="J1943"/>
      <x:c r="K1943"/>
      <x:c r="L1943"/>
      <x:c r="M1943"/>
      <x:c r="N1943"/>
      <x:c r="O1943"/>
      <x:c r="P1943"/>
      <x:c r="Q1943"/>
      <x:c r="R1943"/>
      <x:c r="S1943"/>
      <x:c r="T1943"/>
      <x:c r="U1943"/>
      <x:c r="V1943"/>
      <x:c r="W1943"/>
    </x:row>
    <x:row r="1944">
      <x:c r="A1944"/>
      <x:c r="B1944"/>
      <x:c r="C1944"/>
      <x:c r="D1944"/>
      <x:c r="E1944"/>
      <x:c r="F1944"/>
      <x:c r="G1944"/>
      <x:c r="H1944"/>
      <x:c r="I1944"/>
      <x:c r="J1944"/>
      <x:c r="K1944"/>
      <x:c r="L1944"/>
      <x:c r="M1944"/>
      <x:c r="N1944"/>
      <x:c r="O1944"/>
      <x:c r="P1944"/>
      <x:c r="Q1944"/>
      <x:c r="R1944"/>
      <x:c r="S1944"/>
      <x:c r="T1944"/>
      <x:c r="U1944"/>
      <x:c r="V1944"/>
      <x:c r="W1944"/>
    </x:row>
    <x:row r="1945">
      <x:c r="A1945"/>
      <x:c r="B1945"/>
      <x:c r="C1945"/>
      <x:c r="D1945"/>
      <x:c r="E1945"/>
      <x:c r="F1945"/>
      <x:c r="G1945"/>
      <x:c r="H1945"/>
      <x:c r="I1945"/>
      <x:c r="J1945"/>
      <x:c r="K1945"/>
      <x:c r="L1945"/>
      <x:c r="M1945"/>
      <x:c r="N1945"/>
      <x:c r="O1945"/>
      <x:c r="P1945"/>
      <x:c r="Q1945"/>
      <x:c r="R1945"/>
      <x:c r="S1945"/>
      <x:c r="T1945"/>
      <x:c r="U1945"/>
      <x:c r="V1945"/>
      <x:c r="W1945"/>
    </x:row>
    <x:row r="1946">
      <x:c r="A1946"/>
      <x:c r="B1946"/>
      <x:c r="C1946"/>
      <x:c r="D1946"/>
      <x:c r="E1946"/>
      <x:c r="F1946"/>
      <x:c r="G1946"/>
      <x:c r="H1946"/>
      <x:c r="I1946"/>
      <x:c r="J1946"/>
      <x:c r="K1946"/>
      <x:c r="L1946"/>
      <x:c r="M1946"/>
      <x:c r="N1946"/>
      <x:c r="O1946"/>
      <x:c r="P1946"/>
      <x:c r="Q1946"/>
      <x:c r="R1946"/>
      <x:c r="S1946"/>
      <x:c r="T1946"/>
      <x:c r="U1946"/>
      <x:c r="V1946"/>
      <x:c r="W1946"/>
    </x:row>
    <x:row r="1947">
      <x:c r="A1947"/>
      <x:c r="B1947"/>
      <x:c r="C1947"/>
      <x:c r="D1947"/>
      <x:c r="E1947"/>
      <x:c r="F1947"/>
      <x:c r="G1947"/>
      <x:c r="H1947"/>
      <x:c r="I1947"/>
      <x:c r="J1947"/>
      <x:c r="K1947"/>
      <x:c r="L1947"/>
      <x:c r="M1947"/>
      <x:c r="N1947"/>
      <x:c r="O1947"/>
      <x:c r="P1947"/>
      <x:c r="Q1947"/>
      <x:c r="R1947"/>
      <x:c r="S1947"/>
      <x:c r="T1947"/>
      <x:c r="U1947"/>
      <x:c r="V1947"/>
      <x:c r="W1947"/>
    </x:row>
    <x:row r="1948">
      <x:c r="A1948"/>
      <x:c r="B1948"/>
      <x:c r="C1948"/>
      <x:c r="D1948"/>
      <x:c r="E1948"/>
      <x:c r="F1948"/>
      <x:c r="G1948"/>
      <x:c r="H1948"/>
      <x:c r="I1948"/>
      <x:c r="J1948"/>
      <x:c r="K1948"/>
      <x:c r="L1948"/>
      <x:c r="M1948"/>
      <x:c r="N1948"/>
      <x:c r="O1948"/>
      <x:c r="P1948"/>
      <x:c r="Q1948"/>
      <x:c r="R1948"/>
      <x:c r="S1948"/>
      <x:c r="T1948"/>
      <x:c r="U1948"/>
      <x:c r="V1948"/>
      <x:c r="W1948"/>
    </x:row>
    <x:row r="1949">
      <x:c r="A1949"/>
      <x:c r="B1949"/>
      <x:c r="C1949"/>
      <x:c r="D1949"/>
      <x:c r="E1949"/>
      <x:c r="F1949"/>
      <x:c r="G1949"/>
      <x:c r="H1949"/>
      <x:c r="I1949"/>
      <x:c r="J1949"/>
      <x:c r="K1949"/>
      <x:c r="L1949"/>
      <x:c r="M1949"/>
      <x:c r="N1949"/>
      <x:c r="O1949"/>
      <x:c r="P1949"/>
      <x:c r="Q1949"/>
      <x:c r="R1949"/>
      <x:c r="S1949"/>
      <x:c r="T1949"/>
      <x:c r="U1949"/>
      <x:c r="V1949"/>
      <x:c r="W1949"/>
    </x:row>
    <x:row r="1950">
      <x:c r="A1950"/>
      <x:c r="B1950"/>
      <x:c r="C1950"/>
      <x:c r="D1950"/>
      <x:c r="E1950"/>
      <x:c r="F1950"/>
      <x:c r="G1950"/>
      <x:c r="H1950"/>
      <x:c r="I1950"/>
      <x:c r="J1950"/>
      <x:c r="K1950"/>
      <x:c r="L1950"/>
      <x:c r="M1950"/>
      <x:c r="N1950"/>
      <x:c r="O1950"/>
      <x:c r="P1950"/>
      <x:c r="Q1950"/>
      <x:c r="R1950"/>
      <x:c r="S1950"/>
      <x:c r="T1950"/>
      <x:c r="U1950"/>
      <x:c r="V1950"/>
      <x:c r="W1950"/>
    </x:row>
    <x:row r="1951">
      <x:c r="A1951"/>
      <x:c r="B1951"/>
      <x:c r="C1951"/>
      <x:c r="D1951"/>
      <x:c r="E1951"/>
      <x:c r="F1951"/>
      <x:c r="G1951"/>
      <x:c r="H1951"/>
      <x:c r="I1951"/>
      <x:c r="J1951"/>
      <x:c r="K1951"/>
      <x:c r="L1951"/>
      <x:c r="M1951"/>
      <x:c r="N1951"/>
      <x:c r="O1951"/>
      <x:c r="P1951"/>
      <x:c r="Q1951"/>
      <x:c r="R1951"/>
      <x:c r="S1951"/>
      <x:c r="T1951"/>
      <x:c r="U1951"/>
      <x:c r="V1951"/>
      <x:c r="W1951"/>
    </x:row>
    <x:row r="1952">
      <x:c r="A1952"/>
      <x:c r="B1952"/>
      <x:c r="C1952"/>
      <x:c r="D1952"/>
      <x:c r="E1952"/>
      <x:c r="F1952"/>
      <x:c r="G1952"/>
      <x:c r="H1952"/>
      <x:c r="I1952"/>
      <x:c r="J1952"/>
      <x:c r="K1952"/>
      <x:c r="L1952"/>
      <x:c r="M1952"/>
      <x:c r="N1952"/>
      <x:c r="O1952"/>
      <x:c r="P1952"/>
      <x:c r="Q1952"/>
      <x:c r="R1952"/>
      <x:c r="S1952"/>
      <x:c r="T1952"/>
      <x:c r="U1952"/>
      <x:c r="V1952"/>
      <x:c r="W1952"/>
    </x:row>
    <x:row r="1953">
      <x:c r="A1953"/>
      <x:c r="B1953"/>
      <x:c r="C1953"/>
      <x:c r="D1953"/>
      <x:c r="E1953"/>
      <x:c r="F1953"/>
      <x:c r="G1953"/>
      <x:c r="H1953"/>
      <x:c r="I1953"/>
      <x:c r="J1953"/>
      <x:c r="K1953"/>
      <x:c r="L1953"/>
      <x:c r="M1953"/>
      <x:c r="N1953"/>
      <x:c r="O1953"/>
      <x:c r="P1953"/>
      <x:c r="Q1953"/>
      <x:c r="R1953"/>
      <x:c r="S1953"/>
      <x:c r="T1953"/>
      <x:c r="U1953"/>
      <x:c r="V1953"/>
      <x:c r="W1953"/>
    </x:row>
    <x:row r="1954">
      <x:c r="A1954"/>
      <x:c r="B1954"/>
      <x:c r="C1954"/>
      <x:c r="D1954"/>
      <x:c r="E1954"/>
      <x:c r="F1954"/>
      <x:c r="G1954"/>
      <x:c r="H1954"/>
      <x:c r="I1954"/>
      <x:c r="J1954"/>
      <x:c r="K1954"/>
      <x:c r="L1954"/>
      <x:c r="M1954"/>
      <x:c r="N1954"/>
      <x:c r="O1954"/>
      <x:c r="P1954"/>
      <x:c r="Q1954"/>
      <x:c r="R1954"/>
      <x:c r="S1954"/>
      <x:c r="T1954"/>
      <x:c r="U1954"/>
      <x:c r="V1954"/>
      <x:c r="W1954"/>
    </x:row>
    <x:row r="1955">
      <x:c r="A1955"/>
      <x:c r="B1955"/>
      <x:c r="C1955"/>
      <x:c r="D1955"/>
      <x:c r="E1955"/>
      <x:c r="F1955"/>
      <x:c r="G1955"/>
      <x:c r="H1955"/>
      <x:c r="I1955"/>
      <x:c r="J1955"/>
      <x:c r="K1955"/>
      <x:c r="L1955"/>
      <x:c r="M1955"/>
      <x:c r="N1955"/>
      <x:c r="O1955"/>
      <x:c r="P1955"/>
      <x:c r="Q1955"/>
      <x:c r="R1955"/>
      <x:c r="S1955"/>
      <x:c r="T1955"/>
      <x:c r="U1955"/>
      <x:c r="V1955"/>
      <x:c r="W1955"/>
    </x:row>
    <x:row r="1956">
      <x:c r="A1956"/>
      <x:c r="B1956"/>
      <x:c r="C1956"/>
      <x:c r="D1956"/>
      <x:c r="E1956"/>
      <x:c r="F1956"/>
      <x:c r="G1956"/>
      <x:c r="H1956"/>
      <x:c r="I1956"/>
      <x:c r="J1956"/>
      <x:c r="K1956"/>
      <x:c r="L1956"/>
      <x:c r="M1956"/>
      <x:c r="N1956"/>
      <x:c r="O1956"/>
      <x:c r="P1956"/>
      <x:c r="Q1956"/>
      <x:c r="R1956"/>
      <x:c r="S1956"/>
      <x:c r="T1956"/>
      <x:c r="U1956"/>
      <x:c r="V1956"/>
      <x:c r="W1956"/>
    </x:row>
    <x:row r="1957">
      <x:c r="A1957"/>
      <x:c r="B1957"/>
      <x:c r="C1957"/>
      <x:c r="D1957"/>
      <x:c r="E1957"/>
      <x:c r="F1957"/>
      <x:c r="G1957"/>
      <x:c r="H1957"/>
      <x:c r="I1957"/>
      <x:c r="J1957"/>
      <x:c r="K1957"/>
      <x:c r="L1957"/>
      <x:c r="M1957"/>
      <x:c r="N1957"/>
      <x:c r="O1957"/>
      <x:c r="P1957"/>
      <x:c r="Q1957"/>
      <x:c r="R1957"/>
      <x:c r="S1957"/>
      <x:c r="T1957"/>
      <x:c r="U1957"/>
      <x:c r="V1957"/>
      <x:c r="W1957"/>
    </x:row>
    <x:row r="1958">
      <x:c r="A1958"/>
      <x:c r="B1958"/>
      <x:c r="C1958"/>
      <x:c r="D1958"/>
      <x:c r="E1958"/>
      <x:c r="F1958"/>
      <x:c r="G1958"/>
      <x:c r="H1958"/>
      <x:c r="I1958"/>
      <x:c r="J1958"/>
      <x:c r="K1958"/>
      <x:c r="L1958"/>
      <x:c r="M1958"/>
      <x:c r="N1958"/>
      <x:c r="O1958"/>
      <x:c r="P1958"/>
      <x:c r="Q1958"/>
      <x:c r="R1958"/>
      <x:c r="S1958"/>
      <x:c r="T1958"/>
      <x:c r="U1958"/>
      <x:c r="V1958"/>
      <x:c r="W1958"/>
    </x:row>
    <x:row r="1959">
      <x:c r="A1959"/>
      <x:c r="B1959"/>
      <x:c r="C1959"/>
      <x:c r="D1959"/>
      <x:c r="E1959"/>
      <x:c r="F1959"/>
      <x:c r="G1959"/>
      <x:c r="H1959"/>
      <x:c r="I1959"/>
      <x:c r="J1959"/>
      <x:c r="K1959"/>
      <x:c r="L1959"/>
      <x:c r="M1959"/>
      <x:c r="N1959"/>
      <x:c r="O1959"/>
      <x:c r="P1959"/>
      <x:c r="Q1959"/>
      <x:c r="R1959"/>
      <x:c r="S1959"/>
      <x:c r="T1959"/>
      <x:c r="U1959"/>
      <x:c r="V1959"/>
      <x:c r="W1959"/>
    </x:row>
    <x:row r="1960">
      <x:c r="A1960"/>
      <x:c r="B1960"/>
      <x:c r="C1960"/>
      <x:c r="D1960"/>
      <x:c r="E1960"/>
      <x:c r="F1960"/>
      <x:c r="G1960"/>
      <x:c r="H1960"/>
      <x:c r="I1960"/>
      <x:c r="J1960"/>
      <x:c r="K1960"/>
      <x:c r="L1960"/>
      <x:c r="M1960"/>
      <x:c r="N1960"/>
      <x:c r="O1960"/>
      <x:c r="P1960"/>
      <x:c r="Q1960"/>
      <x:c r="R1960"/>
      <x:c r="S1960"/>
      <x:c r="T1960"/>
      <x:c r="U1960"/>
      <x:c r="V1960"/>
      <x:c r="W1960"/>
    </x:row>
    <x:row r="1961">
      <x:c r="A1961"/>
      <x:c r="B1961"/>
      <x:c r="C1961"/>
      <x:c r="D1961"/>
      <x:c r="E1961"/>
      <x:c r="F1961"/>
      <x:c r="G1961"/>
      <x:c r="H1961"/>
      <x:c r="I1961"/>
      <x:c r="J1961"/>
      <x:c r="K1961"/>
      <x:c r="L1961"/>
      <x:c r="M1961"/>
      <x:c r="N1961"/>
      <x:c r="O1961"/>
      <x:c r="P1961"/>
      <x:c r="Q1961"/>
      <x:c r="R1961"/>
      <x:c r="S1961"/>
      <x:c r="T1961"/>
      <x:c r="U1961"/>
      <x:c r="V1961"/>
      <x:c r="W1961"/>
    </x:row>
    <x:row r="1962">
      <x:c r="A1962"/>
      <x:c r="B1962"/>
      <x:c r="C1962"/>
      <x:c r="D1962"/>
      <x:c r="E1962"/>
      <x:c r="F1962"/>
      <x:c r="G1962"/>
      <x:c r="H1962"/>
      <x:c r="I1962"/>
      <x:c r="J1962"/>
      <x:c r="K1962"/>
      <x:c r="L1962"/>
      <x:c r="M1962"/>
      <x:c r="N1962"/>
      <x:c r="O1962"/>
      <x:c r="P1962"/>
      <x:c r="Q1962"/>
      <x:c r="R1962"/>
      <x:c r="S1962"/>
      <x:c r="T1962"/>
      <x:c r="U1962"/>
      <x:c r="V1962"/>
      <x:c r="W1962"/>
    </x:row>
    <x:row r="1963">
      <x:c r="A1963"/>
      <x:c r="B1963"/>
      <x:c r="C1963"/>
      <x:c r="D1963"/>
      <x:c r="E1963"/>
      <x:c r="F1963"/>
      <x:c r="G1963"/>
      <x:c r="H1963"/>
      <x:c r="I1963"/>
      <x:c r="J1963"/>
      <x:c r="K1963"/>
      <x:c r="L1963"/>
      <x:c r="M1963"/>
      <x:c r="N1963"/>
      <x:c r="O1963"/>
      <x:c r="P1963"/>
      <x:c r="Q1963"/>
      <x:c r="R1963"/>
      <x:c r="S1963"/>
      <x:c r="T1963"/>
      <x:c r="U1963"/>
      <x:c r="V1963"/>
      <x:c r="W1963"/>
    </x:row>
    <x:row r="1964">
      <x:c r="A1964"/>
      <x:c r="B1964"/>
      <x:c r="C1964"/>
      <x:c r="D1964"/>
      <x:c r="E1964"/>
      <x:c r="F1964"/>
      <x:c r="G1964"/>
      <x:c r="H1964"/>
      <x:c r="I1964"/>
      <x:c r="J1964"/>
      <x:c r="K1964"/>
      <x:c r="L1964"/>
      <x:c r="M1964"/>
      <x:c r="N1964"/>
      <x:c r="O1964"/>
      <x:c r="P1964"/>
      <x:c r="Q1964"/>
      <x:c r="R1964"/>
      <x:c r="S1964"/>
      <x:c r="T1964"/>
      <x:c r="U1964"/>
      <x:c r="V1964"/>
      <x:c r="W1964"/>
    </x:row>
    <x:row r="1965">
      <x:c r="A1965"/>
      <x:c r="B1965"/>
      <x:c r="C1965"/>
      <x:c r="D1965"/>
      <x:c r="E1965"/>
      <x:c r="F1965"/>
      <x:c r="G1965"/>
      <x:c r="H1965"/>
      <x:c r="I1965"/>
      <x:c r="J1965"/>
      <x:c r="K1965"/>
      <x:c r="L1965"/>
      <x:c r="M1965"/>
      <x:c r="N1965"/>
      <x:c r="O1965"/>
      <x:c r="P1965"/>
      <x:c r="Q1965"/>
      <x:c r="R1965"/>
      <x:c r="S1965"/>
      <x:c r="T1965"/>
      <x:c r="U1965"/>
      <x:c r="V1965"/>
      <x:c r="W1965"/>
    </x:row>
    <x:row r="1966">
      <x:c r="A1966"/>
      <x:c r="B1966"/>
      <x:c r="C1966"/>
      <x:c r="D1966"/>
      <x:c r="E1966"/>
      <x:c r="F1966"/>
      <x:c r="G1966"/>
      <x:c r="H1966"/>
      <x:c r="I1966"/>
      <x:c r="J1966"/>
      <x:c r="K1966"/>
      <x:c r="L1966"/>
      <x:c r="M1966"/>
      <x:c r="N1966"/>
      <x:c r="O1966"/>
      <x:c r="P1966"/>
      <x:c r="Q1966"/>
      <x:c r="R1966"/>
      <x:c r="S1966"/>
      <x:c r="T1966"/>
      <x:c r="U1966"/>
      <x:c r="V1966"/>
      <x:c r="W1966"/>
    </x:row>
    <x:row r="1967">
      <x:c r="A1967"/>
      <x:c r="B1967"/>
      <x:c r="C1967"/>
      <x:c r="D1967"/>
      <x:c r="E1967"/>
      <x:c r="F1967"/>
      <x:c r="G1967"/>
      <x:c r="H1967"/>
      <x:c r="I1967"/>
      <x:c r="J1967"/>
      <x:c r="K1967"/>
      <x:c r="L1967"/>
      <x:c r="M1967"/>
      <x:c r="N1967"/>
      <x:c r="O1967"/>
      <x:c r="P1967"/>
      <x:c r="Q1967"/>
      <x:c r="R1967"/>
      <x:c r="S1967"/>
      <x:c r="T1967"/>
      <x:c r="U1967"/>
      <x:c r="V1967"/>
      <x:c r="W1967"/>
    </x:row>
    <x:row r="1968">
      <x:c r="A1968"/>
      <x:c r="B1968"/>
      <x:c r="C1968"/>
      <x:c r="D1968"/>
      <x:c r="E1968"/>
      <x:c r="F1968"/>
      <x:c r="G1968"/>
      <x:c r="H1968"/>
      <x:c r="I1968"/>
      <x:c r="J1968"/>
      <x:c r="K1968"/>
      <x:c r="L1968"/>
      <x:c r="M1968"/>
      <x:c r="N1968"/>
      <x:c r="O1968"/>
      <x:c r="P1968"/>
      <x:c r="Q1968"/>
      <x:c r="R1968"/>
      <x:c r="S1968"/>
      <x:c r="T1968"/>
      <x:c r="U1968"/>
      <x:c r="V1968"/>
      <x:c r="W1968"/>
    </x:row>
    <x:row r="1969">
      <x:c r="A1969"/>
      <x:c r="B1969"/>
      <x:c r="C1969"/>
      <x:c r="D1969"/>
      <x:c r="E1969"/>
      <x:c r="F1969"/>
      <x:c r="G1969"/>
      <x:c r="H1969"/>
      <x:c r="I1969"/>
      <x:c r="J1969"/>
      <x:c r="K1969"/>
      <x:c r="L1969"/>
      <x:c r="M1969"/>
      <x:c r="N1969"/>
      <x:c r="O1969"/>
      <x:c r="P1969"/>
      <x:c r="Q1969"/>
      <x:c r="R1969"/>
      <x:c r="S1969"/>
      <x:c r="T1969"/>
      <x:c r="U1969"/>
      <x:c r="V1969"/>
      <x:c r="W1969"/>
    </x:row>
    <x:row r="1970">
      <x:c r="A1970"/>
      <x:c r="B1970"/>
      <x:c r="C1970"/>
      <x:c r="D1970"/>
      <x:c r="E1970"/>
      <x:c r="F1970"/>
      <x:c r="G1970"/>
      <x:c r="H1970"/>
      <x:c r="I1970"/>
      <x:c r="J1970"/>
      <x:c r="K1970"/>
      <x:c r="L1970"/>
      <x:c r="M1970"/>
      <x:c r="N1970"/>
      <x:c r="O1970"/>
      <x:c r="P1970"/>
      <x:c r="Q1970"/>
      <x:c r="R1970"/>
      <x:c r="S1970"/>
      <x:c r="T1970"/>
      <x:c r="U1970"/>
      <x:c r="V1970"/>
      <x:c r="W1970"/>
    </x:row>
    <x:row r="1971">
      <x:c r="A1971"/>
      <x:c r="B1971"/>
      <x:c r="C1971"/>
      <x:c r="D1971"/>
      <x:c r="E1971"/>
      <x:c r="F1971"/>
      <x:c r="G1971"/>
      <x:c r="H1971"/>
      <x:c r="I1971"/>
      <x:c r="J1971"/>
      <x:c r="K1971"/>
      <x:c r="L1971"/>
      <x:c r="M1971"/>
      <x:c r="N1971"/>
      <x:c r="O1971"/>
      <x:c r="P1971"/>
      <x:c r="Q1971"/>
      <x:c r="R1971"/>
      <x:c r="S1971"/>
      <x:c r="T1971"/>
      <x:c r="U1971"/>
      <x:c r="V1971"/>
      <x:c r="W1971"/>
    </x:row>
    <x:row r="1972">
      <x:c r="A1972"/>
      <x:c r="B1972"/>
      <x:c r="C1972"/>
      <x:c r="D1972"/>
      <x:c r="E1972"/>
      <x:c r="F1972"/>
      <x:c r="G1972"/>
      <x:c r="H1972"/>
      <x:c r="I1972"/>
      <x:c r="J1972"/>
      <x:c r="K1972"/>
      <x:c r="L1972"/>
      <x:c r="M1972"/>
      <x:c r="N1972"/>
      <x:c r="O1972"/>
      <x:c r="P1972"/>
      <x:c r="Q1972"/>
      <x:c r="R1972"/>
      <x:c r="S1972"/>
      <x:c r="T1972"/>
      <x:c r="U1972"/>
      <x:c r="V1972"/>
      <x:c r="W1972"/>
    </x:row>
    <x:row r="1973">
      <x:c r="A1973"/>
      <x:c r="B1973"/>
      <x:c r="C1973"/>
      <x:c r="D1973"/>
      <x:c r="E1973"/>
      <x:c r="F1973"/>
      <x:c r="G1973"/>
      <x:c r="H1973"/>
      <x:c r="I1973"/>
      <x:c r="J1973"/>
      <x:c r="K1973"/>
      <x:c r="L1973"/>
      <x:c r="M1973"/>
      <x:c r="N1973"/>
      <x:c r="O1973"/>
      <x:c r="P1973"/>
      <x:c r="Q1973"/>
      <x:c r="R1973"/>
      <x:c r="S1973"/>
      <x:c r="T1973"/>
      <x:c r="U1973"/>
      <x:c r="V1973"/>
      <x:c r="W1973"/>
    </x:row>
    <x:row r="1974">
      <x:c r="A1974"/>
      <x:c r="B1974"/>
      <x:c r="C1974"/>
      <x:c r="D1974"/>
      <x:c r="E1974"/>
      <x:c r="F1974"/>
      <x:c r="G1974"/>
      <x:c r="H1974"/>
      <x:c r="I1974"/>
      <x:c r="J1974"/>
      <x:c r="K1974"/>
      <x:c r="L1974"/>
      <x:c r="M1974"/>
      <x:c r="N1974"/>
      <x:c r="O1974"/>
      <x:c r="P1974"/>
      <x:c r="Q1974"/>
      <x:c r="R1974"/>
      <x:c r="S1974"/>
      <x:c r="T1974"/>
      <x:c r="U1974"/>
      <x:c r="V1974"/>
      <x:c r="W1974"/>
    </x:row>
    <x:row r="1975">
      <x:c r="A1975"/>
      <x:c r="B1975"/>
      <x:c r="C1975"/>
      <x:c r="D1975"/>
      <x:c r="E1975"/>
      <x:c r="F1975"/>
      <x:c r="G1975"/>
      <x:c r="H1975"/>
      <x:c r="I1975"/>
      <x:c r="J1975"/>
      <x:c r="K1975"/>
      <x:c r="L1975"/>
      <x:c r="M1975"/>
      <x:c r="N1975"/>
      <x:c r="O1975"/>
      <x:c r="P1975"/>
      <x:c r="Q1975"/>
      <x:c r="R1975"/>
      <x:c r="S1975"/>
      <x:c r="T1975"/>
      <x:c r="U1975"/>
      <x:c r="V1975"/>
      <x:c r="W1975"/>
    </x:row>
    <x:row r="1976">
      <x:c r="A1976"/>
      <x:c r="B1976"/>
      <x:c r="C1976"/>
      <x:c r="D1976"/>
      <x:c r="E1976"/>
      <x:c r="F1976"/>
      <x:c r="G1976"/>
      <x:c r="H1976"/>
      <x:c r="I1976"/>
      <x:c r="J1976"/>
      <x:c r="K1976"/>
      <x:c r="L1976"/>
      <x:c r="M1976"/>
      <x:c r="N1976"/>
      <x:c r="O1976"/>
      <x:c r="P1976"/>
      <x:c r="Q1976"/>
      <x:c r="R1976"/>
      <x:c r="S1976"/>
      <x:c r="T1976"/>
      <x:c r="U1976"/>
      <x:c r="V1976"/>
      <x:c r="W1976"/>
    </x:row>
    <x:row r="1977">
      <x:c r="A1977"/>
      <x:c r="B1977"/>
      <x:c r="C1977"/>
      <x:c r="D1977"/>
      <x:c r="E1977"/>
      <x:c r="F1977"/>
      <x:c r="G1977"/>
      <x:c r="H1977"/>
      <x:c r="I1977"/>
      <x:c r="J1977"/>
      <x:c r="K1977"/>
      <x:c r="L1977"/>
      <x:c r="M1977"/>
      <x:c r="N1977"/>
      <x:c r="O1977"/>
      <x:c r="P1977"/>
      <x:c r="Q1977"/>
      <x:c r="R1977"/>
      <x:c r="S1977"/>
      <x:c r="T1977"/>
      <x:c r="U1977"/>
      <x:c r="V1977"/>
      <x:c r="W1977"/>
    </x:row>
    <x:row r="1978">
      <x:c r="A1978"/>
      <x:c r="B1978"/>
      <x:c r="C1978"/>
      <x:c r="D1978"/>
      <x:c r="E1978"/>
      <x:c r="F1978"/>
      <x:c r="G1978"/>
      <x:c r="H1978"/>
      <x:c r="I1978"/>
      <x:c r="J1978"/>
      <x:c r="K1978"/>
      <x:c r="L1978"/>
      <x:c r="M1978"/>
      <x:c r="N1978"/>
      <x:c r="O1978"/>
      <x:c r="P1978"/>
      <x:c r="Q1978"/>
      <x:c r="R1978"/>
      <x:c r="S1978"/>
      <x:c r="T1978"/>
      <x:c r="U1978"/>
      <x:c r="V1978"/>
      <x:c r="W1978"/>
    </x:row>
    <x:row r="1979">
      <x:c r="A1979"/>
      <x:c r="B1979"/>
      <x:c r="C1979"/>
      <x:c r="D1979"/>
      <x:c r="E1979"/>
      <x:c r="F1979"/>
      <x:c r="G1979"/>
      <x:c r="H1979"/>
      <x:c r="I1979"/>
      <x:c r="J1979"/>
      <x:c r="K1979"/>
      <x:c r="L1979"/>
      <x:c r="M1979"/>
      <x:c r="N1979"/>
      <x:c r="O1979"/>
      <x:c r="P1979"/>
      <x:c r="Q1979"/>
      <x:c r="R1979"/>
      <x:c r="S1979"/>
      <x:c r="T1979"/>
      <x:c r="U1979"/>
      <x:c r="V1979"/>
      <x:c r="W1979"/>
    </x:row>
    <x:row r="1980">
      <x:c r="A1980"/>
      <x:c r="B1980"/>
      <x:c r="C1980"/>
      <x:c r="D1980"/>
      <x:c r="E1980"/>
      <x:c r="F1980"/>
      <x:c r="G1980"/>
      <x:c r="H1980"/>
      <x:c r="I1980"/>
      <x:c r="J1980"/>
      <x:c r="K1980"/>
      <x:c r="L1980"/>
      <x:c r="M1980"/>
      <x:c r="N1980"/>
      <x:c r="O1980"/>
      <x:c r="P1980"/>
      <x:c r="Q1980"/>
      <x:c r="R1980"/>
      <x:c r="S1980"/>
      <x:c r="T1980"/>
      <x:c r="U1980"/>
      <x:c r="V1980"/>
      <x:c r="W1980"/>
    </x:row>
    <x:row r="1981">
      <x:c r="A1981"/>
      <x:c r="B1981"/>
      <x:c r="C1981"/>
      <x:c r="D1981"/>
      <x:c r="E1981"/>
      <x:c r="F1981"/>
      <x:c r="G1981"/>
      <x:c r="H1981"/>
      <x:c r="I1981"/>
      <x:c r="J1981"/>
      <x:c r="K1981"/>
      <x:c r="L1981"/>
      <x:c r="M1981"/>
      <x:c r="N1981"/>
      <x:c r="O1981"/>
      <x:c r="P1981"/>
      <x:c r="Q1981"/>
      <x:c r="R1981"/>
      <x:c r="S1981"/>
      <x:c r="T1981"/>
      <x:c r="U1981"/>
      <x:c r="V1981"/>
      <x:c r="W1981"/>
    </x:row>
    <x:row r="1982">
      <x:c r="A1982"/>
      <x:c r="B1982"/>
      <x:c r="C1982"/>
      <x:c r="D1982"/>
      <x:c r="E1982"/>
      <x:c r="F1982"/>
      <x:c r="G1982"/>
      <x:c r="H1982"/>
      <x:c r="I1982"/>
      <x:c r="J1982"/>
      <x:c r="K1982"/>
      <x:c r="L1982"/>
      <x:c r="M1982"/>
      <x:c r="N1982"/>
      <x:c r="O1982"/>
      <x:c r="P1982"/>
      <x:c r="Q1982"/>
      <x:c r="R1982"/>
      <x:c r="S1982"/>
      <x:c r="T1982"/>
      <x:c r="U1982"/>
      <x:c r="V1982"/>
      <x:c r="W1982"/>
    </x:row>
    <x:row r="1983">
      <x:c r="A1983"/>
      <x:c r="B1983"/>
      <x:c r="C1983"/>
      <x:c r="D1983"/>
      <x:c r="E1983"/>
      <x:c r="F1983"/>
      <x:c r="G1983"/>
      <x:c r="H1983"/>
      <x:c r="I1983"/>
      <x:c r="J1983"/>
      <x:c r="K1983"/>
      <x:c r="L1983"/>
      <x:c r="M1983"/>
      <x:c r="N1983"/>
      <x:c r="O1983"/>
      <x:c r="P1983"/>
      <x:c r="Q1983"/>
      <x:c r="R1983"/>
      <x:c r="S1983"/>
      <x:c r="T1983"/>
      <x:c r="U1983"/>
      <x:c r="V1983"/>
      <x:c r="W1983"/>
    </x:row>
    <x:row r="1984">
      <x:c r="A1984"/>
      <x:c r="B1984"/>
      <x:c r="C1984"/>
      <x:c r="D1984"/>
      <x:c r="E1984"/>
      <x:c r="F1984"/>
      <x:c r="G1984"/>
      <x:c r="H1984"/>
      <x:c r="I1984"/>
      <x:c r="J1984"/>
      <x:c r="K1984"/>
      <x:c r="L1984"/>
      <x:c r="M1984"/>
      <x:c r="N1984"/>
      <x:c r="O1984"/>
      <x:c r="P1984"/>
      <x:c r="Q1984"/>
      <x:c r="R1984"/>
      <x:c r="S1984"/>
      <x:c r="T1984"/>
      <x:c r="U1984"/>
      <x:c r="V1984"/>
      <x:c r="W1984"/>
    </x:row>
    <x:row r="1985">
      <x:c r="A1985"/>
      <x:c r="B1985"/>
      <x:c r="C1985"/>
      <x:c r="D1985"/>
      <x:c r="E1985"/>
      <x:c r="F1985"/>
      <x:c r="G1985"/>
      <x:c r="H1985"/>
      <x:c r="I1985"/>
      <x:c r="J1985"/>
      <x:c r="K1985"/>
      <x:c r="L1985"/>
      <x:c r="M1985"/>
      <x:c r="N1985"/>
      <x:c r="O1985"/>
      <x:c r="P1985"/>
      <x:c r="Q1985"/>
      <x:c r="R1985"/>
      <x:c r="S1985"/>
      <x:c r="T1985"/>
      <x:c r="U1985"/>
      <x:c r="V1985"/>
      <x:c r="W1985"/>
    </x:row>
    <x:row r="1986">
      <x:c r="A1986"/>
      <x:c r="B1986"/>
      <x:c r="C1986"/>
      <x:c r="D1986"/>
      <x:c r="E1986"/>
      <x:c r="F1986"/>
      <x:c r="G1986"/>
      <x:c r="H1986"/>
      <x:c r="I1986"/>
      <x:c r="J1986"/>
      <x:c r="K1986"/>
      <x:c r="L1986"/>
      <x:c r="M1986"/>
      <x:c r="N1986"/>
      <x:c r="O1986"/>
      <x:c r="P1986"/>
      <x:c r="Q1986"/>
      <x:c r="R1986"/>
      <x:c r="S1986"/>
      <x:c r="T1986"/>
      <x:c r="U1986"/>
      <x:c r="V1986"/>
      <x:c r="W1986"/>
    </x:row>
    <x:row r="1987">
      <x:c r="A1987"/>
      <x:c r="B1987"/>
      <x:c r="C1987"/>
      <x:c r="D1987"/>
      <x:c r="E1987"/>
      <x:c r="F1987"/>
      <x:c r="G1987"/>
      <x:c r="H1987"/>
      <x:c r="I1987"/>
      <x:c r="J1987"/>
      <x:c r="K1987"/>
      <x:c r="L1987"/>
      <x:c r="M1987"/>
      <x:c r="N1987"/>
      <x:c r="O1987"/>
      <x:c r="P1987"/>
      <x:c r="Q1987"/>
      <x:c r="R1987"/>
      <x:c r="S1987"/>
      <x:c r="T1987"/>
      <x:c r="U1987"/>
      <x:c r="V1987"/>
      <x:c r="W1987"/>
    </x:row>
    <x:row r="1988">
      <x:c r="A1988"/>
      <x:c r="B1988"/>
      <x:c r="C1988"/>
      <x:c r="D1988"/>
      <x:c r="E1988"/>
      <x:c r="F1988"/>
      <x:c r="G1988"/>
      <x:c r="H1988"/>
      <x:c r="I1988"/>
      <x:c r="J1988"/>
      <x:c r="K1988"/>
      <x:c r="L1988"/>
      <x:c r="M1988"/>
      <x:c r="N1988"/>
      <x:c r="O1988"/>
      <x:c r="P1988"/>
      <x:c r="Q1988"/>
      <x:c r="R1988"/>
      <x:c r="S1988"/>
      <x:c r="T1988"/>
      <x:c r="U1988"/>
      <x:c r="V1988"/>
      <x:c r="W1988"/>
    </x:row>
    <x:row r="1989">
      <x:c r="A1989"/>
      <x:c r="B1989"/>
      <x:c r="C1989"/>
      <x:c r="D1989"/>
      <x:c r="E1989"/>
      <x:c r="F1989"/>
      <x:c r="G1989"/>
      <x:c r="H1989"/>
      <x:c r="I1989"/>
      <x:c r="J1989"/>
      <x:c r="K1989"/>
      <x:c r="L1989"/>
      <x:c r="M1989"/>
      <x:c r="N1989"/>
      <x:c r="O1989"/>
      <x:c r="P1989"/>
      <x:c r="Q1989"/>
      <x:c r="R1989"/>
      <x:c r="S1989"/>
      <x:c r="T1989"/>
      <x:c r="U1989"/>
      <x:c r="V1989"/>
      <x:c r="W1989"/>
    </x:row>
    <x:row r="1990">
      <x:c r="A1990"/>
      <x:c r="B1990"/>
      <x:c r="C1990"/>
      <x:c r="D1990"/>
      <x:c r="E1990"/>
      <x:c r="F1990"/>
      <x:c r="G1990"/>
      <x:c r="H1990"/>
      <x:c r="I1990"/>
      <x:c r="J1990"/>
      <x:c r="K1990"/>
      <x:c r="L1990"/>
      <x:c r="M1990"/>
      <x:c r="N1990"/>
      <x:c r="O1990"/>
      <x:c r="P1990"/>
      <x:c r="Q1990"/>
      <x:c r="R1990"/>
      <x:c r="S1990"/>
      <x:c r="T1990"/>
      <x:c r="U1990"/>
      <x:c r="V1990"/>
      <x:c r="W1990"/>
    </x:row>
    <x:row r="1991">
      <x:c r="A1991"/>
      <x:c r="B1991"/>
      <x:c r="C1991"/>
      <x:c r="D1991"/>
      <x:c r="E1991"/>
      <x:c r="F1991"/>
      <x:c r="G1991"/>
      <x:c r="H1991"/>
      <x:c r="I1991"/>
      <x:c r="J1991"/>
      <x:c r="K1991"/>
      <x:c r="L1991"/>
      <x:c r="M1991"/>
      <x:c r="N1991"/>
      <x:c r="O1991"/>
      <x:c r="P1991"/>
      <x:c r="Q1991"/>
      <x:c r="R1991"/>
      <x:c r="S1991"/>
      <x:c r="T1991"/>
      <x:c r="U1991"/>
      <x:c r="V1991"/>
      <x:c r="W1991"/>
    </x:row>
    <x:row r="1992">
      <x:c r="A1992"/>
      <x:c r="B1992"/>
      <x:c r="C1992"/>
      <x:c r="D1992"/>
      <x:c r="E1992"/>
      <x:c r="F1992"/>
      <x:c r="G1992"/>
      <x:c r="H1992"/>
      <x:c r="I1992"/>
      <x:c r="J1992"/>
      <x:c r="K1992"/>
      <x:c r="L1992"/>
      <x:c r="M1992"/>
      <x:c r="N1992"/>
      <x:c r="O1992"/>
      <x:c r="P1992"/>
      <x:c r="Q1992"/>
      <x:c r="R1992"/>
      <x:c r="S1992"/>
      <x:c r="T1992"/>
      <x:c r="U1992"/>
      <x:c r="V1992"/>
      <x:c r="W1992"/>
    </x:row>
    <x:row r="1993">
      <x:c r="A1993"/>
      <x:c r="B1993"/>
      <x:c r="C1993"/>
      <x:c r="D1993"/>
      <x:c r="E1993"/>
      <x:c r="F1993"/>
      <x:c r="G1993"/>
      <x:c r="H1993"/>
      <x:c r="I1993"/>
      <x:c r="J1993"/>
      <x:c r="K1993"/>
      <x:c r="L1993"/>
      <x:c r="M1993"/>
      <x:c r="N1993"/>
      <x:c r="O1993"/>
      <x:c r="P1993"/>
      <x:c r="Q1993"/>
      <x:c r="R1993"/>
      <x:c r="S1993"/>
      <x:c r="T1993"/>
      <x:c r="U1993"/>
      <x:c r="V1993"/>
      <x:c r="W1993"/>
    </x:row>
    <x:row r="1994">
      <x:c r="A1994"/>
      <x:c r="B1994"/>
      <x:c r="C1994"/>
      <x:c r="D1994"/>
      <x:c r="E1994"/>
      <x:c r="F1994"/>
      <x:c r="G1994"/>
      <x:c r="H1994"/>
      <x:c r="I1994"/>
      <x:c r="J1994"/>
      <x:c r="K1994"/>
      <x:c r="L1994"/>
      <x:c r="M1994"/>
      <x:c r="N1994"/>
      <x:c r="O1994"/>
      <x:c r="P1994"/>
      <x:c r="Q1994"/>
      <x:c r="R1994"/>
      <x:c r="S1994"/>
      <x:c r="T1994"/>
      <x:c r="U1994"/>
      <x:c r="V1994"/>
      <x:c r="W1994"/>
    </x:row>
    <x:row r="1995">
      <x:c r="A1995"/>
      <x:c r="B1995"/>
      <x:c r="C1995"/>
      <x:c r="D1995"/>
      <x:c r="E1995"/>
      <x:c r="F1995"/>
      <x:c r="G1995"/>
      <x:c r="H1995"/>
      <x:c r="I1995"/>
      <x:c r="J1995"/>
      <x:c r="K1995"/>
      <x:c r="L1995"/>
      <x:c r="M1995"/>
      <x:c r="N1995"/>
      <x:c r="O1995"/>
      <x:c r="P1995"/>
      <x:c r="Q1995"/>
      <x:c r="R1995"/>
      <x:c r="S1995"/>
      <x:c r="T1995"/>
      <x:c r="U1995"/>
      <x:c r="V1995"/>
      <x:c r="W1995"/>
    </x:row>
    <x:row r="1996">
      <x:c r="A1996"/>
      <x:c r="B1996"/>
      <x:c r="C1996"/>
      <x:c r="D1996"/>
      <x:c r="E1996"/>
      <x:c r="F1996"/>
      <x:c r="G1996"/>
      <x:c r="H1996"/>
      <x:c r="I1996"/>
      <x:c r="J1996"/>
      <x:c r="K1996"/>
      <x:c r="L1996"/>
      <x:c r="M1996"/>
      <x:c r="N1996"/>
      <x:c r="O1996"/>
      <x:c r="P1996"/>
      <x:c r="Q1996"/>
      <x:c r="R1996"/>
      <x:c r="S1996"/>
      <x:c r="T1996"/>
      <x:c r="U1996"/>
      <x:c r="V1996"/>
      <x:c r="W1996"/>
    </x:row>
    <x:row r="1997">
      <x:c r="A1997"/>
      <x:c r="B1997"/>
      <x:c r="C1997"/>
      <x:c r="D1997"/>
      <x:c r="E1997"/>
      <x:c r="F1997"/>
      <x:c r="G1997"/>
      <x:c r="H1997"/>
      <x:c r="I1997"/>
      <x:c r="J1997"/>
      <x:c r="K1997"/>
      <x:c r="L1997"/>
      <x:c r="M1997"/>
      <x:c r="N1997"/>
      <x:c r="O1997"/>
      <x:c r="P1997"/>
      <x:c r="Q1997"/>
      <x:c r="R1997"/>
      <x:c r="S1997"/>
      <x:c r="T1997"/>
      <x:c r="U1997"/>
      <x:c r="V1997"/>
      <x:c r="W1997"/>
    </x:row>
    <x:row r="1998">
      <x:c r="A1998"/>
      <x:c r="B1998"/>
      <x:c r="C1998"/>
      <x:c r="D1998"/>
      <x:c r="E1998"/>
      <x:c r="F1998"/>
      <x:c r="G1998"/>
      <x:c r="H1998"/>
      <x:c r="I1998"/>
      <x:c r="J1998"/>
      <x:c r="K1998"/>
      <x:c r="L1998"/>
      <x:c r="M1998"/>
      <x:c r="N1998"/>
      <x:c r="O1998"/>
      <x:c r="P1998"/>
      <x:c r="Q1998"/>
      <x:c r="R1998"/>
      <x:c r="S1998"/>
      <x:c r="T1998"/>
      <x:c r="U1998"/>
      <x:c r="V1998"/>
      <x:c r="W1998"/>
    </x:row>
    <x:row r="1999">
      <x:c r="A1999"/>
      <x:c r="B1999"/>
      <x:c r="C1999"/>
      <x:c r="D1999"/>
      <x:c r="E1999"/>
      <x:c r="F1999"/>
      <x:c r="G1999"/>
      <x:c r="H1999"/>
      <x:c r="I1999"/>
      <x:c r="J1999"/>
      <x:c r="K1999"/>
      <x:c r="L1999"/>
      <x:c r="M1999"/>
      <x:c r="N1999"/>
      <x:c r="O1999"/>
      <x:c r="P1999"/>
      <x:c r="Q1999"/>
      <x:c r="R1999"/>
      <x:c r="S1999"/>
      <x:c r="T1999"/>
      <x:c r="U1999"/>
      <x:c r="V1999"/>
      <x:c r="W1999"/>
    </x:row>
    <x:row r="2000">
      <x:c r="A2000"/>
      <x:c r="B2000"/>
      <x:c r="C2000"/>
      <x:c r="D2000"/>
      <x:c r="E2000"/>
      <x:c r="F2000"/>
      <x:c r="G2000"/>
      <x:c r="H2000"/>
      <x:c r="I2000"/>
      <x:c r="J2000"/>
      <x:c r="K2000"/>
      <x:c r="L2000"/>
      <x:c r="M2000"/>
      <x:c r="N2000"/>
      <x:c r="O2000"/>
      <x:c r="P2000"/>
      <x:c r="Q2000"/>
      <x:c r="R2000"/>
      <x:c r="S2000"/>
      <x:c r="T2000"/>
      <x:c r="U2000"/>
      <x:c r="V2000"/>
      <x:c r="W2000"/>
    </x:row>
    <x:row r="2001">
      <x:c r="A2001"/>
      <x:c r="B2001"/>
      <x:c r="C2001"/>
      <x:c r="D2001"/>
      <x:c r="E2001"/>
      <x:c r="F2001"/>
      <x:c r="G2001"/>
      <x:c r="H2001"/>
      <x:c r="I2001"/>
      <x:c r="J2001"/>
      <x:c r="K2001"/>
      <x:c r="L2001"/>
      <x:c r="M2001"/>
      <x:c r="N2001"/>
      <x:c r="O2001"/>
      <x:c r="P2001"/>
      <x:c r="Q2001"/>
      <x:c r="R2001"/>
      <x:c r="S2001"/>
      <x:c r="T2001"/>
      <x:c r="U2001"/>
      <x:c r="V2001"/>
      <x:c r="W2001"/>
    </x:row>
    <x:row r="2002">
      <x:c r="A2002"/>
      <x:c r="B2002"/>
      <x:c r="C2002"/>
      <x:c r="D2002"/>
      <x:c r="E2002"/>
      <x:c r="F2002"/>
      <x:c r="G2002"/>
      <x:c r="H2002"/>
      <x:c r="I2002"/>
      <x:c r="J2002"/>
      <x:c r="K2002"/>
      <x:c r="L2002"/>
      <x:c r="M2002"/>
      <x:c r="N2002"/>
      <x:c r="O2002"/>
      <x:c r="P2002"/>
      <x:c r="Q2002"/>
      <x:c r="R2002"/>
      <x:c r="S2002"/>
      <x:c r="T2002"/>
      <x:c r="U2002"/>
      <x:c r="V2002"/>
      <x:c r="W2002"/>
    </x:row>
    <x:row r="2003">
      <x:c r="A2003"/>
      <x:c r="B2003"/>
      <x:c r="C2003"/>
      <x:c r="D2003"/>
      <x:c r="E2003"/>
      <x:c r="F2003"/>
      <x:c r="G2003"/>
      <x:c r="H2003"/>
      <x:c r="I2003"/>
      <x:c r="J2003"/>
      <x:c r="K2003"/>
      <x:c r="L2003"/>
      <x:c r="M2003"/>
      <x:c r="N2003"/>
      <x:c r="O2003"/>
      <x:c r="P2003"/>
      <x:c r="Q2003"/>
      <x:c r="R2003"/>
      <x:c r="S2003"/>
      <x:c r="T2003"/>
      <x:c r="U2003"/>
      <x:c r="V2003"/>
      <x:c r="W2003"/>
    </x:row>
    <x:row r="2004">
      <x:c r="A2004"/>
      <x:c r="B2004"/>
      <x:c r="C2004"/>
      <x:c r="D2004"/>
      <x:c r="E2004"/>
      <x:c r="F2004"/>
      <x:c r="G2004"/>
      <x:c r="H2004"/>
      <x:c r="I2004"/>
      <x:c r="J2004"/>
      <x:c r="K2004"/>
      <x:c r="L2004"/>
      <x:c r="M2004"/>
      <x:c r="N2004"/>
      <x:c r="O2004"/>
      <x:c r="P2004"/>
      <x:c r="Q2004"/>
      <x:c r="R2004"/>
      <x:c r="S2004"/>
      <x:c r="T2004"/>
      <x:c r="U2004"/>
      <x:c r="V2004"/>
      <x:c r="W2004"/>
    </x:row>
    <x:row r="2005">
      <x:c r="A2005"/>
      <x:c r="B2005"/>
      <x:c r="C2005"/>
      <x:c r="D2005"/>
      <x:c r="E2005"/>
      <x:c r="F2005"/>
      <x:c r="G2005"/>
      <x:c r="H2005"/>
      <x:c r="I2005"/>
      <x:c r="J2005"/>
      <x:c r="K2005"/>
      <x:c r="L2005"/>
      <x:c r="M2005"/>
      <x:c r="N2005"/>
      <x:c r="O2005"/>
      <x:c r="P2005"/>
      <x:c r="Q2005"/>
      <x:c r="R2005"/>
      <x:c r="S2005"/>
      <x:c r="T2005"/>
      <x:c r="U2005"/>
      <x:c r="V2005"/>
      <x:c r="W2005"/>
    </x:row>
    <x:row r="2006">
      <x:c r="A2006"/>
      <x:c r="B2006"/>
      <x:c r="C2006"/>
      <x:c r="D2006"/>
      <x:c r="E2006"/>
      <x:c r="F2006"/>
      <x:c r="G2006"/>
      <x:c r="H2006"/>
      <x:c r="I2006"/>
      <x:c r="J2006"/>
      <x:c r="K2006"/>
      <x:c r="L2006"/>
      <x:c r="M2006"/>
      <x:c r="N2006"/>
      <x:c r="O2006"/>
      <x:c r="P2006"/>
      <x:c r="Q2006"/>
      <x:c r="R2006"/>
      <x:c r="S2006"/>
      <x:c r="T2006"/>
      <x:c r="U2006"/>
      <x:c r="V2006"/>
      <x:c r="W2006"/>
    </x:row>
    <x:row r="2007">
      <x:c r="A2007"/>
      <x:c r="B2007"/>
      <x:c r="C2007"/>
      <x:c r="D2007"/>
      <x:c r="E2007"/>
      <x:c r="F2007"/>
      <x:c r="G2007"/>
      <x:c r="H2007"/>
      <x:c r="I2007"/>
      <x:c r="J2007"/>
      <x:c r="K2007"/>
      <x:c r="L2007"/>
      <x:c r="M2007"/>
      <x:c r="N2007"/>
      <x:c r="O2007"/>
      <x:c r="P2007"/>
      <x:c r="Q2007"/>
      <x:c r="R2007"/>
      <x:c r="S2007"/>
      <x:c r="T2007"/>
      <x:c r="U2007"/>
      <x:c r="V2007"/>
      <x:c r="W2007"/>
    </x:row>
    <x:row r="2008">
      <x:c r="A2008"/>
      <x:c r="B2008"/>
      <x:c r="C2008"/>
      <x:c r="D2008"/>
      <x:c r="E2008"/>
      <x:c r="F2008"/>
      <x:c r="G2008"/>
      <x:c r="H2008"/>
      <x:c r="I2008"/>
      <x:c r="J2008"/>
      <x:c r="K2008"/>
      <x:c r="L2008"/>
      <x:c r="M2008"/>
      <x:c r="N2008"/>
      <x:c r="O2008"/>
      <x:c r="P2008"/>
      <x:c r="Q2008"/>
      <x:c r="R2008"/>
      <x:c r="S2008"/>
      <x:c r="T2008"/>
      <x:c r="U2008"/>
      <x:c r="V2008"/>
      <x:c r="W2008"/>
    </x:row>
    <x:row r="2009">
      <x:c r="A2009"/>
      <x:c r="B2009"/>
      <x:c r="C2009"/>
      <x:c r="D2009"/>
      <x:c r="E2009"/>
      <x:c r="F2009"/>
      <x:c r="G2009"/>
      <x:c r="H2009"/>
      <x:c r="I2009"/>
      <x:c r="J2009"/>
      <x:c r="K2009"/>
      <x:c r="L2009"/>
      <x:c r="M2009"/>
      <x:c r="N2009"/>
      <x:c r="O2009"/>
      <x:c r="P2009"/>
      <x:c r="Q2009"/>
      <x:c r="R2009"/>
      <x:c r="S2009"/>
      <x:c r="T2009"/>
      <x:c r="U2009"/>
      <x:c r="V2009"/>
      <x:c r="W2009"/>
    </x:row>
    <x:row r="2010">
      <x:c r="A2010"/>
      <x:c r="B2010"/>
      <x:c r="C2010"/>
      <x:c r="D2010"/>
      <x:c r="E2010"/>
      <x:c r="F2010"/>
      <x:c r="G2010"/>
      <x:c r="H2010"/>
      <x:c r="I2010"/>
      <x:c r="J2010"/>
      <x:c r="K2010"/>
      <x:c r="L2010"/>
      <x:c r="M2010"/>
      <x:c r="N2010"/>
      <x:c r="O2010"/>
      <x:c r="P2010"/>
      <x:c r="Q2010"/>
      <x:c r="R2010"/>
      <x:c r="S2010"/>
      <x:c r="T2010"/>
      <x:c r="U2010"/>
      <x:c r="V2010"/>
      <x:c r="W2010"/>
    </x:row>
    <x:row r="2011">
      <x:c r="A2011"/>
      <x:c r="B2011"/>
      <x:c r="C2011"/>
      <x:c r="D2011"/>
      <x:c r="E2011"/>
      <x:c r="F2011"/>
      <x:c r="G2011"/>
      <x:c r="H2011"/>
      <x:c r="I2011"/>
      <x:c r="J2011"/>
      <x:c r="K2011"/>
      <x:c r="L2011"/>
      <x:c r="M2011"/>
      <x:c r="N2011"/>
      <x:c r="O2011"/>
      <x:c r="P2011"/>
      <x:c r="Q2011"/>
      <x:c r="R2011"/>
      <x:c r="S2011"/>
      <x:c r="T2011"/>
      <x:c r="U2011"/>
      <x:c r="V2011"/>
      <x:c r="W2011"/>
    </x:row>
    <x:row r="2012">
      <x:c r="A2012"/>
      <x:c r="B2012"/>
      <x:c r="C2012"/>
      <x:c r="D2012"/>
      <x:c r="E2012"/>
      <x:c r="F2012"/>
      <x:c r="G2012"/>
      <x:c r="H2012"/>
      <x:c r="I2012"/>
      <x:c r="J2012"/>
      <x:c r="K2012"/>
      <x:c r="L2012"/>
      <x:c r="M2012"/>
      <x:c r="N2012"/>
      <x:c r="O2012"/>
      <x:c r="P2012"/>
      <x:c r="Q2012"/>
      <x:c r="R2012"/>
      <x:c r="S2012"/>
      <x:c r="T2012"/>
      <x:c r="U2012"/>
      <x:c r="V2012"/>
      <x:c r="W2012"/>
    </x:row>
    <x:row r="2013">
      <x:c r="A2013"/>
      <x:c r="B2013"/>
      <x:c r="C2013"/>
      <x:c r="D2013"/>
      <x:c r="E2013"/>
      <x:c r="F2013"/>
      <x:c r="G2013"/>
      <x:c r="H2013"/>
      <x:c r="I2013"/>
      <x:c r="J2013"/>
      <x:c r="K2013"/>
      <x:c r="L2013"/>
      <x:c r="M2013"/>
      <x:c r="N2013"/>
      <x:c r="O2013"/>
      <x:c r="P2013"/>
      <x:c r="Q2013"/>
      <x:c r="R2013"/>
      <x:c r="S2013"/>
      <x:c r="T2013"/>
      <x:c r="U2013"/>
      <x:c r="V2013"/>
      <x:c r="W2013"/>
    </x:row>
    <x:row r="2014">
      <x:c r="A2014"/>
      <x:c r="B2014"/>
      <x:c r="C2014"/>
      <x:c r="D2014"/>
      <x:c r="E2014"/>
      <x:c r="F2014"/>
      <x:c r="G2014"/>
      <x:c r="H2014"/>
      <x:c r="I2014"/>
      <x:c r="J2014"/>
      <x:c r="K2014"/>
      <x:c r="L2014"/>
      <x:c r="M2014"/>
      <x:c r="N2014"/>
      <x:c r="O2014"/>
      <x:c r="P2014"/>
      <x:c r="Q2014"/>
      <x:c r="R2014"/>
      <x:c r="S2014"/>
      <x:c r="T2014"/>
      <x:c r="U2014"/>
      <x:c r="V2014"/>
      <x:c r="W2014"/>
    </x:row>
    <x:row r="2015">
      <x:c r="A2015"/>
      <x:c r="B2015"/>
      <x:c r="C2015"/>
      <x:c r="D2015"/>
      <x:c r="E2015"/>
      <x:c r="F2015"/>
      <x:c r="G2015"/>
      <x:c r="H2015"/>
      <x:c r="I2015"/>
      <x:c r="J2015"/>
      <x:c r="K2015"/>
      <x:c r="L2015"/>
      <x:c r="M2015"/>
      <x:c r="N2015"/>
      <x:c r="O2015"/>
      <x:c r="P2015"/>
      <x:c r="Q2015"/>
      <x:c r="R2015"/>
      <x:c r="S2015"/>
      <x:c r="T2015"/>
      <x:c r="U2015"/>
      <x:c r="V2015"/>
      <x:c r="W2015"/>
    </x:row>
    <x:row r="2016">
      <x:c r="A2016"/>
      <x:c r="B2016"/>
      <x:c r="C2016"/>
      <x:c r="D2016"/>
      <x:c r="E2016"/>
      <x:c r="F2016"/>
      <x:c r="G2016"/>
      <x:c r="H2016"/>
      <x:c r="I2016"/>
      <x:c r="J2016"/>
      <x:c r="K2016"/>
      <x:c r="L2016"/>
      <x:c r="M2016"/>
      <x:c r="N2016"/>
      <x:c r="O2016"/>
      <x:c r="P2016"/>
      <x:c r="Q2016"/>
      <x:c r="R2016"/>
      <x:c r="S2016"/>
      <x:c r="T2016"/>
      <x:c r="U2016"/>
      <x:c r="V2016"/>
      <x:c r="W2016"/>
    </x:row>
    <x:row r="2017">
      <x:c r="A2017"/>
      <x:c r="B2017"/>
      <x:c r="C2017"/>
      <x:c r="D2017"/>
      <x:c r="E2017"/>
      <x:c r="F2017"/>
      <x:c r="G2017"/>
      <x:c r="H2017"/>
      <x:c r="I2017"/>
      <x:c r="J2017"/>
      <x:c r="K2017"/>
      <x:c r="L2017"/>
      <x:c r="M2017"/>
      <x:c r="N2017"/>
      <x:c r="O2017"/>
      <x:c r="P2017"/>
      <x:c r="Q2017"/>
      <x:c r="R2017"/>
      <x:c r="S2017"/>
      <x:c r="T2017"/>
      <x:c r="U2017"/>
      <x:c r="V2017"/>
      <x:c r="W2017"/>
    </x:row>
    <x:row r="2018">
      <x:c r="A2018"/>
      <x:c r="B2018"/>
      <x:c r="C2018"/>
      <x:c r="D2018"/>
      <x:c r="E2018"/>
      <x:c r="F2018"/>
      <x:c r="G2018"/>
      <x:c r="H2018"/>
      <x:c r="I2018"/>
      <x:c r="J2018"/>
      <x:c r="K2018"/>
      <x:c r="L2018"/>
      <x:c r="M2018"/>
      <x:c r="N2018"/>
      <x:c r="O2018"/>
      <x:c r="P2018"/>
      <x:c r="Q2018"/>
      <x:c r="R2018"/>
      <x:c r="S2018"/>
      <x:c r="T2018"/>
      <x:c r="U2018"/>
      <x:c r="V2018"/>
      <x:c r="W2018"/>
    </x:row>
    <x:row r="2019">
      <x:c r="A2019"/>
      <x:c r="B2019"/>
      <x:c r="C2019"/>
      <x:c r="D2019"/>
      <x:c r="E2019"/>
      <x:c r="F2019"/>
      <x:c r="G2019"/>
      <x:c r="H2019"/>
      <x:c r="I2019"/>
      <x:c r="J2019"/>
      <x:c r="K2019"/>
      <x:c r="L2019"/>
      <x:c r="M2019"/>
      <x:c r="N2019"/>
      <x:c r="O2019"/>
      <x:c r="P2019"/>
      <x:c r="Q2019"/>
      <x:c r="R2019"/>
      <x:c r="S2019"/>
      <x:c r="T2019"/>
      <x:c r="U2019"/>
      <x:c r="V2019"/>
      <x:c r="W2019"/>
    </x:row>
    <x:row r="2020">
      <x:c r="A2020"/>
      <x:c r="B2020"/>
      <x:c r="C2020"/>
      <x:c r="D2020"/>
      <x:c r="E2020"/>
      <x:c r="F2020"/>
      <x:c r="G2020"/>
      <x:c r="H2020"/>
      <x:c r="I2020"/>
      <x:c r="J2020"/>
      <x:c r="K2020"/>
      <x:c r="L2020"/>
      <x:c r="M2020"/>
      <x:c r="N2020"/>
      <x:c r="O2020"/>
      <x:c r="P2020"/>
      <x:c r="Q2020"/>
      <x:c r="R2020"/>
      <x:c r="S2020"/>
      <x:c r="T2020"/>
      <x:c r="U2020"/>
      <x:c r="V2020"/>
      <x:c r="W2020"/>
    </x:row>
    <x:row r="2021">
      <x:c r="A2021"/>
      <x:c r="B2021"/>
      <x:c r="C2021"/>
      <x:c r="D2021"/>
      <x:c r="E2021"/>
      <x:c r="F2021"/>
      <x:c r="G2021"/>
      <x:c r="H2021"/>
      <x:c r="I2021"/>
      <x:c r="J2021"/>
      <x:c r="K2021"/>
      <x:c r="L2021"/>
      <x:c r="M2021"/>
      <x:c r="N2021"/>
      <x:c r="O2021"/>
      <x:c r="P2021"/>
      <x:c r="Q2021"/>
      <x:c r="R2021"/>
      <x:c r="S2021"/>
      <x:c r="T2021"/>
      <x:c r="U2021"/>
      <x:c r="V2021"/>
      <x:c r="W2021"/>
    </x:row>
    <x:row r="2022">
      <x:c r="A2022"/>
      <x:c r="B2022"/>
      <x:c r="C2022"/>
      <x:c r="D2022"/>
      <x:c r="E2022"/>
      <x:c r="F2022"/>
      <x:c r="G2022"/>
      <x:c r="H2022"/>
      <x:c r="I2022"/>
      <x:c r="J2022"/>
      <x:c r="K2022"/>
      <x:c r="L2022"/>
      <x:c r="M2022"/>
      <x:c r="N2022"/>
      <x:c r="O2022"/>
      <x:c r="P2022"/>
      <x:c r="Q2022"/>
      <x:c r="R2022"/>
      <x:c r="S2022"/>
      <x:c r="T2022"/>
      <x:c r="U2022"/>
      <x:c r="V2022"/>
      <x:c r="W2022"/>
    </x:row>
    <x:row r="2023">
      <x:c r="A2023"/>
      <x:c r="B2023"/>
      <x:c r="C2023"/>
      <x:c r="D2023"/>
      <x:c r="E2023"/>
      <x:c r="F2023"/>
      <x:c r="G2023"/>
      <x:c r="H2023"/>
      <x:c r="I2023"/>
      <x:c r="J2023"/>
      <x:c r="K2023"/>
      <x:c r="L2023"/>
      <x:c r="M2023"/>
      <x:c r="N2023"/>
      <x:c r="O2023"/>
      <x:c r="P2023"/>
      <x:c r="Q2023"/>
      <x:c r="R2023"/>
      <x:c r="S2023"/>
      <x:c r="T2023"/>
      <x:c r="U2023"/>
      <x:c r="V2023"/>
      <x:c r="W2023"/>
    </x:row>
    <x:row r="2024">
      <x:c r="A2024"/>
      <x:c r="B2024"/>
      <x:c r="C2024"/>
      <x:c r="D2024"/>
      <x:c r="E2024"/>
      <x:c r="F2024"/>
      <x:c r="G2024"/>
      <x:c r="H2024"/>
      <x:c r="I2024"/>
      <x:c r="J2024"/>
      <x:c r="K2024"/>
      <x:c r="L2024"/>
      <x:c r="M2024"/>
      <x:c r="N2024"/>
      <x:c r="O2024"/>
      <x:c r="P2024"/>
      <x:c r="Q2024"/>
      <x:c r="R2024"/>
      <x:c r="S2024"/>
      <x:c r="T2024"/>
      <x:c r="U2024"/>
      <x:c r="V2024"/>
      <x:c r="W2024"/>
    </x:row>
    <x:row r="2025">
      <x:c r="A2025"/>
      <x:c r="B2025"/>
      <x:c r="C2025"/>
      <x:c r="D2025"/>
      <x:c r="E2025"/>
      <x:c r="F2025"/>
      <x:c r="G2025"/>
      <x:c r="H2025"/>
      <x:c r="I2025"/>
      <x:c r="J2025"/>
      <x:c r="K2025"/>
      <x:c r="L2025"/>
      <x:c r="M2025"/>
      <x:c r="N2025"/>
      <x:c r="O2025"/>
      <x:c r="P2025"/>
      <x:c r="Q2025"/>
      <x:c r="R2025"/>
      <x:c r="S2025"/>
      <x:c r="T2025"/>
      <x:c r="U2025"/>
      <x:c r="V2025"/>
      <x:c r="W2025"/>
    </x:row>
    <x:row r="2026">
      <x:c r="A2026"/>
      <x:c r="B2026"/>
      <x:c r="C2026"/>
      <x:c r="D2026"/>
      <x:c r="E2026"/>
      <x:c r="F2026"/>
      <x:c r="G2026"/>
      <x:c r="H2026"/>
      <x:c r="I2026"/>
      <x:c r="J2026"/>
      <x:c r="K2026"/>
      <x:c r="L2026"/>
      <x:c r="M2026"/>
      <x:c r="N2026"/>
      <x:c r="O2026"/>
      <x:c r="P2026"/>
      <x:c r="Q2026"/>
      <x:c r="R2026"/>
      <x:c r="S2026"/>
      <x:c r="T2026"/>
      <x:c r="U2026"/>
      <x:c r="V2026"/>
      <x:c r="W2026"/>
    </x:row>
    <x:row r="2027">
      <x:c r="A2027"/>
      <x:c r="B2027"/>
      <x:c r="C2027"/>
      <x:c r="D2027"/>
      <x:c r="E2027"/>
      <x:c r="F2027"/>
      <x:c r="G2027"/>
      <x:c r="H2027"/>
      <x:c r="I2027"/>
      <x:c r="J2027"/>
      <x:c r="K2027"/>
      <x:c r="L2027"/>
      <x:c r="M2027"/>
      <x:c r="N2027"/>
      <x:c r="O2027"/>
      <x:c r="P2027"/>
      <x:c r="Q2027"/>
      <x:c r="R2027"/>
      <x:c r="S2027"/>
      <x:c r="T2027"/>
      <x:c r="U2027"/>
      <x:c r="V2027"/>
      <x:c r="W2027"/>
    </x:row>
    <x:row r="2028">
      <x:c r="A2028"/>
      <x:c r="B2028"/>
      <x:c r="C2028"/>
      <x:c r="D2028"/>
      <x:c r="E2028"/>
      <x:c r="F2028"/>
      <x:c r="G2028"/>
      <x:c r="H2028"/>
      <x:c r="I2028"/>
      <x:c r="J2028"/>
      <x:c r="K2028"/>
      <x:c r="L2028"/>
      <x:c r="M2028"/>
      <x:c r="N2028"/>
      <x:c r="O2028"/>
      <x:c r="P2028"/>
      <x:c r="Q2028"/>
      <x:c r="R2028"/>
      <x:c r="S2028"/>
      <x:c r="T2028"/>
      <x:c r="U2028"/>
      <x:c r="V2028"/>
      <x:c r="W2028"/>
    </x:row>
    <x:row r="2029">
      <x:c r="A2029"/>
      <x:c r="B2029"/>
      <x:c r="C2029"/>
      <x:c r="D2029"/>
      <x:c r="E2029"/>
      <x:c r="F2029"/>
      <x:c r="G2029"/>
      <x:c r="H2029"/>
      <x:c r="I2029"/>
      <x:c r="J2029"/>
      <x:c r="K2029"/>
      <x:c r="L2029"/>
      <x:c r="M2029"/>
      <x:c r="N2029"/>
      <x:c r="O2029"/>
      <x:c r="P2029"/>
      <x:c r="Q2029"/>
      <x:c r="R2029"/>
      <x:c r="S2029"/>
      <x:c r="T2029"/>
      <x:c r="U2029"/>
      <x:c r="V2029"/>
      <x:c r="W2029"/>
    </x:row>
    <x:row r="2030">
      <x:c r="A2030"/>
      <x:c r="B2030"/>
      <x:c r="C2030"/>
      <x:c r="D2030"/>
      <x:c r="E2030"/>
      <x:c r="F2030"/>
      <x:c r="G2030"/>
      <x:c r="H2030"/>
      <x:c r="I2030"/>
      <x:c r="J2030"/>
      <x:c r="K2030"/>
      <x:c r="L2030"/>
      <x:c r="M2030"/>
      <x:c r="N2030"/>
      <x:c r="O2030"/>
      <x:c r="P2030"/>
      <x:c r="Q2030"/>
      <x:c r="R2030"/>
      <x:c r="S2030"/>
      <x:c r="T2030"/>
      <x:c r="U2030"/>
      <x:c r="V2030"/>
      <x:c r="W2030"/>
    </x:row>
    <x:row r="2031">
      <x:c r="A2031"/>
      <x:c r="B2031"/>
      <x:c r="C2031"/>
      <x:c r="D2031"/>
      <x:c r="E2031"/>
      <x:c r="F2031"/>
      <x:c r="G2031"/>
      <x:c r="H2031"/>
      <x:c r="I2031"/>
      <x:c r="J2031"/>
      <x:c r="K2031"/>
      <x:c r="L2031"/>
      <x:c r="M2031"/>
      <x:c r="N2031"/>
      <x:c r="O2031"/>
      <x:c r="P2031"/>
      <x:c r="Q2031"/>
      <x:c r="R2031"/>
      <x:c r="S2031"/>
      <x:c r="T2031"/>
      <x:c r="U2031"/>
      <x:c r="V2031"/>
      <x:c r="W2031"/>
    </x:row>
    <x:row r="2032">
      <x:c r="A2032"/>
      <x:c r="B2032"/>
      <x:c r="C2032"/>
      <x:c r="D2032"/>
      <x:c r="E2032"/>
      <x:c r="F2032"/>
      <x:c r="G2032"/>
      <x:c r="H2032"/>
      <x:c r="I2032"/>
      <x:c r="J2032"/>
      <x:c r="K2032"/>
      <x:c r="L2032"/>
      <x:c r="M2032"/>
      <x:c r="N2032"/>
      <x:c r="O2032"/>
      <x:c r="P2032"/>
      <x:c r="Q2032"/>
      <x:c r="R2032"/>
      <x:c r="S2032"/>
      <x:c r="T2032"/>
      <x:c r="U2032"/>
      <x:c r="V2032"/>
      <x:c r="W2032"/>
    </x:row>
    <x:row r="2033">
      <x:c r="A2033"/>
      <x:c r="B2033"/>
      <x:c r="C2033"/>
      <x:c r="D2033"/>
      <x:c r="E2033"/>
      <x:c r="F2033"/>
      <x:c r="G2033"/>
      <x:c r="H2033"/>
      <x:c r="I2033"/>
      <x:c r="J2033"/>
      <x:c r="K2033"/>
      <x:c r="L2033"/>
      <x:c r="M2033"/>
      <x:c r="N2033"/>
      <x:c r="O2033"/>
      <x:c r="P2033"/>
      <x:c r="Q2033"/>
      <x:c r="R2033"/>
      <x:c r="S2033"/>
      <x:c r="T2033"/>
      <x:c r="U2033"/>
      <x:c r="V2033"/>
      <x:c r="W2033"/>
    </x:row>
    <x:row r="2034">
      <x:c r="A2034"/>
      <x:c r="B2034"/>
      <x:c r="C2034"/>
      <x:c r="D2034"/>
      <x:c r="E2034"/>
      <x:c r="F2034"/>
      <x:c r="G2034"/>
      <x:c r="H2034"/>
      <x:c r="I2034"/>
      <x:c r="J2034"/>
      <x:c r="K2034"/>
      <x:c r="L2034"/>
      <x:c r="M2034"/>
      <x:c r="N2034"/>
      <x:c r="O2034"/>
      <x:c r="P2034"/>
      <x:c r="Q2034"/>
      <x:c r="R2034"/>
      <x:c r="S2034"/>
      <x:c r="T2034"/>
      <x:c r="U2034"/>
      <x:c r="V2034"/>
      <x:c r="W2034"/>
    </x:row>
    <x:row r="2035">
      <x:c r="A2035"/>
      <x:c r="B2035"/>
      <x:c r="C2035"/>
      <x:c r="D2035"/>
      <x:c r="E2035"/>
      <x:c r="F2035"/>
      <x:c r="G2035"/>
      <x:c r="H2035"/>
      <x:c r="I2035"/>
      <x:c r="J2035"/>
      <x:c r="K2035"/>
      <x:c r="L2035"/>
      <x:c r="M2035"/>
      <x:c r="N2035"/>
      <x:c r="O2035"/>
      <x:c r="P2035"/>
      <x:c r="Q2035"/>
      <x:c r="R2035"/>
      <x:c r="S2035"/>
      <x:c r="T2035"/>
      <x:c r="U2035"/>
      <x:c r="V2035"/>
      <x:c r="W2035"/>
    </x:row>
    <x:row r="2036">
      <x:c r="A2036"/>
      <x:c r="B2036"/>
      <x:c r="C2036"/>
      <x:c r="D2036"/>
      <x:c r="E2036"/>
      <x:c r="F2036"/>
      <x:c r="G2036"/>
      <x:c r="H2036"/>
      <x:c r="I2036"/>
      <x:c r="J2036"/>
      <x:c r="K2036"/>
      <x:c r="L2036"/>
      <x:c r="M2036"/>
      <x:c r="N2036"/>
      <x:c r="O2036"/>
      <x:c r="P2036"/>
      <x:c r="Q2036"/>
      <x:c r="R2036"/>
      <x:c r="S2036"/>
      <x:c r="T2036"/>
      <x:c r="U2036"/>
      <x:c r="V2036"/>
      <x:c r="W2036"/>
    </x:row>
    <x:row r="2037">
      <x:c r="A2037"/>
      <x:c r="B2037"/>
      <x:c r="C2037"/>
      <x:c r="D2037"/>
      <x:c r="E2037"/>
      <x:c r="F2037"/>
      <x:c r="G2037"/>
      <x:c r="H2037"/>
      <x:c r="I2037"/>
      <x:c r="J2037"/>
      <x:c r="K2037"/>
      <x:c r="L2037"/>
      <x:c r="M2037"/>
      <x:c r="N2037"/>
      <x:c r="O2037"/>
      <x:c r="P2037"/>
      <x:c r="Q2037"/>
      <x:c r="R2037"/>
      <x:c r="S2037"/>
      <x:c r="T2037"/>
      <x:c r="U2037"/>
      <x:c r="V2037"/>
      <x:c r="W2037"/>
    </x:row>
    <x:row r="2038">
      <x:c r="A2038"/>
      <x:c r="B2038"/>
      <x:c r="C2038"/>
      <x:c r="D2038"/>
      <x:c r="E2038"/>
      <x:c r="F2038"/>
      <x:c r="G2038"/>
      <x:c r="H2038"/>
      <x:c r="I2038"/>
      <x:c r="J2038"/>
      <x:c r="K2038"/>
      <x:c r="L2038"/>
      <x:c r="M2038"/>
      <x:c r="N2038"/>
      <x:c r="O2038"/>
      <x:c r="P2038"/>
      <x:c r="Q2038"/>
      <x:c r="R2038"/>
      <x:c r="S2038"/>
      <x:c r="T2038"/>
      <x:c r="U2038"/>
      <x:c r="V2038"/>
      <x:c r="W2038"/>
    </x:row>
    <x:row r="2039">
      <x:c r="A2039"/>
      <x:c r="B2039"/>
      <x:c r="C2039"/>
      <x:c r="D2039"/>
      <x:c r="E2039"/>
      <x:c r="F2039"/>
      <x:c r="G2039"/>
      <x:c r="H2039"/>
      <x:c r="I2039"/>
      <x:c r="J2039"/>
      <x:c r="K2039"/>
      <x:c r="L2039"/>
      <x:c r="M2039"/>
      <x:c r="N2039"/>
      <x:c r="O2039"/>
      <x:c r="P2039"/>
      <x:c r="Q2039"/>
      <x:c r="R2039"/>
      <x:c r="S2039"/>
      <x:c r="T2039"/>
      <x:c r="U2039"/>
      <x:c r="V2039"/>
      <x:c r="W2039"/>
    </x:row>
    <x:row r="2040">
      <x:c r="A2040"/>
      <x:c r="B2040"/>
      <x:c r="C2040"/>
      <x:c r="D2040"/>
      <x:c r="E2040"/>
      <x:c r="F2040"/>
      <x:c r="G2040"/>
      <x:c r="H2040"/>
      <x:c r="I2040"/>
      <x:c r="J2040"/>
      <x:c r="K2040"/>
      <x:c r="L2040"/>
      <x:c r="M2040"/>
      <x:c r="N2040"/>
      <x:c r="O2040"/>
      <x:c r="P2040"/>
      <x:c r="Q2040"/>
      <x:c r="R2040"/>
      <x:c r="S2040"/>
      <x:c r="T2040"/>
      <x:c r="U2040"/>
      <x:c r="V2040"/>
      <x:c r="W2040"/>
    </x:row>
    <x:row r="2041">
      <x:c r="A2041"/>
      <x:c r="B2041"/>
      <x:c r="C2041"/>
      <x:c r="D2041"/>
      <x:c r="E2041"/>
      <x:c r="F2041"/>
      <x:c r="G2041"/>
      <x:c r="H2041"/>
      <x:c r="I2041"/>
      <x:c r="J2041"/>
      <x:c r="K2041"/>
      <x:c r="L2041"/>
      <x:c r="M2041"/>
      <x:c r="N2041"/>
      <x:c r="O2041"/>
      <x:c r="P2041"/>
      <x:c r="Q2041"/>
      <x:c r="R2041"/>
      <x:c r="S2041"/>
      <x:c r="T2041"/>
      <x:c r="U2041"/>
      <x:c r="V2041"/>
      <x:c r="W2041"/>
    </x:row>
    <x:row r="2042">
      <x:c r="A2042"/>
      <x:c r="B2042"/>
      <x:c r="C2042"/>
      <x:c r="D2042"/>
      <x:c r="E2042"/>
      <x:c r="F2042"/>
      <x:c r="G2042"/>
      <x:c r="H2042"/>
      <x:c r="I2042"/>
      <x:c r="J2042"/>
      <x:c r="K2042"/>
      <x:c r="L2042"/>
      <x:c r="M2042"/>
      <x:c r="N2042"/>
      <x:c r="O2042"/>
      <x:c r="P2042"/>
      <x:c r="Q2042"/>
      <x:c r="R2042"/>
      <x:c r="S2042"/>
      <x:c r="T2042"/>
      <x:c r="U2042"/>
      <x:c r="V2042"/>
      <x:c r="W2042"/>
    </x:row>
    <x:row r="2043">
      <x:c r="A2043"/>
      <x:c r="B2043"/>
      <x:c r="C2043"/>
      <x:c r="D2043"/>
      <x:c r="E2043"/>
      <x:c r="F2043"/>
      <x:c r="G2043"/>
      <x:c r="H2043"/>
      <x:c r="I2043"/>
      <x:c r="J2043"/>
      <x:c r="K2043"/>
      <x:c r="L2043"/>
      <x:c r="M2043"/>
      <x:c r="N2043"/>
      <x:c r="O2043"/>
      <x:c r="P2043"/>
      <x:c r="Q2043"/>
      <x:c r="R2043"/>
      <x:c r="S2043"/>
      <x:c r="T2043"/>
      <x:c r="U2043"/>
      <x:c r="V2043"/>
      <x:c r="W2043"/>
    </x:row>
    <x:row r="2044">
      <x:c r="A2044"/>
      <x:c r="B2044"/>
      <x:c r="C2044"/>
      <x:c r="D2044"/>
      <x:c r="E2044"/>
      <x:c r="F2044"/>
      <x:c r="G2044"/>
      <x:c r="H2044"/>
      <x:c r="I2044"/>
      <x:c r="J2044"/>
      <x:c r="K2044"/>
      <x:c r="L2044"/>
      <x:c r="M2044"/>
      <x:c r="N2044"/>
      <x:c r="O2044"/>
      <x:c r="P2044"/>
      <x:c r="Q2044"/>
      <x:c r="R2044"/>
      <x:c r="S2044"/>
      <x:c r="T2044"/>
      <x:c r="U2044"/>
      <x:c r="V2044"/>
      <x:c r="W2044"/>
    </x:row>
    <x:row r="2045">
      <x:c r="A2045"/>
      <x:c r="B2045"/>
      <x:c r="C2045"/>
      <x:c r="D2045"/>
      <x:c r="E2045"/>
      <x:c r="F2045"/>
      <x:c r="G2045"/>
      <x:c r="H2045"/>
      <x:c r="I2045"/>
      <x:c r="J2045"/>
      <x:c r="K2045"/>
      <x:c r="L2045"/>
      <x:c r="M2045"/>
      <x:c r="N2045"/>
      <x:c r="O2045"/>
      <x:c r="P2045"/>
      <x:c r="Q2045"/>
      <x:c r="R2045"/>
      <x:c r="S2045"/>
      <x:c r="T2045"/>
      <x:c r="U2045"/>
      <x:c r="V2045"/>
      <x:c r="W2045"/>
    </x:row>
    <x:row r="2046">
      <x:c r="A2046"/>
      <x:c r="B2046"/>
      <x:c r="C2046"/>
      <x:c r="D2046"/>
      <x:c r="E2046"/>
      <x:c r="F2046"/>
      <x:c r="G2046"/>
      <x:c r="H2046"/>
      <x:c r="I2046"/>
      <x:c r="J2046"/>
      <x:c r="K2046"/>
      <x:c r="L2046"/>
      <x:c r="M2046"/>
      <x:c r="N2046"/>
      <x:c r="O2046"/>
      <x:c r="P2046"/>
      <x:c r="Q2046"/>
      <x:c r="R2046"/>
      <x:c r="S2046"/>
      <x:c r="T2046"/>
      <x:c r="U2046"/>
      <x:c r="V2046"/>
      <x:c r="W2046"/>
    </x:row>
    <x:row r="2047">
      <x:c r="A2047"/>
      <x:c r="B2047"/>
      <x:c r="C2047"/>
      <x:c r="D2047"/>
      <x:c r="E2047"/>
      <x:c r="F2047"/>
      <x:c r="G2047"/>
      <x:c r="H2047"/>
      <x:c r="I2047"/>
      <x:c r="J2047"/>
      <x:c r="K2047"/>
      <x:c r="L2047"/>
      <x:c r="M2047"/>
      <x:c r="N2047"/>
      <x:c r="O2047"/>
      <x:c r="P2047"/>
      <x:c r="Q2047"/>
      <x:c r="R2047"/>
      <x:c r="S2047"/>
      <x:c r="T2047"/>
      <x:c r="U2047"/>
      <x:c r="V2047"/>
      <x:c r="W2047"/>
    </x:row>
    <x:row r="2048">
      <x:c r="A2048"/>
      <x:c r="B2048"/>
      <x:c r="C2048"/>
      <x:c r="D2048"/>
      <x:c r="E2048"/>
      <x:c r="F2048"/>
      <x:c r="G2048"/>
      <x:c r="H2048"/>
      <x:c r="I2048"/>
      <x:c r="J2048"/>
      <x:c r="K2048"/>
      <x:c r="L2048"/>
      <x:c r="M2048"/>
      <x:c r="N2048"/>
      <x:c r="O2048"/>
      <x:c r="P2048"/>
      <x:c r="Q2048"/>
      <x:c r="R2048"/>
      <x:c r="S2048"/>
      <x:c r="T2048"/>
      <x:c r="U2048"/>
      <x:c r="V2048"/>
      <x:c r="W2048"/>
    </x:row>
    <x:row r="2049">
      <x:c r="A2049"/>
      <x:c r="B2049"/>
      <x:c r="C2049"/>
      <x:c r="D2049"/>
      <x:c r="E2049"/>
      <x:c r="F2049"/>
      <x:c r="G2049"/>
      <x:c r="H2049"/>
      <x:c r="I2049"/>
      <x:c r="J2049"/>
      <x:c r="K2049"/>
      <x:c r="L2049"/>
      <x:c r="M2049"/>
      <x:c r="N2049"/>
      <x:c r="O2049"/>
      <x:c r="P2049"/>
      <x:c r="Q2049"/>
      <x:c r="R2049"/>
      <x:c r="S2049"/>
      <x:c r="T2049"/>
      <x:c r="U2049"/>
      <x:c r="V2049"/>
      <x:c r="W2049"/>
    </x:row>
    <x:row r="2050">
      <x:c r="A2050"/>
      <x:c r="B2050"/>
      <x:c r="C2050"/>
      <x:c r="D2050"/>
      <x:c r="E2050"/>
      <x:c r="F2050"/>
      <x:c r="G2050"/>
      <x:c r="H2050"/>
      <x:c r="I2050"/>
      <x:c r="J2050"/>
      <x:c r="K2050"/>
      <x:c r="L2050"/>
      <x:c r="M2050"/>
      <x:c r="N2050"/>
      <x:c r="O2050"/>
      <x:c r="P2050"/>
      <x:c r="Q2050"/>
      <x:c r="R2050"/>
      <x:c r="S2050"/>
      <x:c r="T2050"/>
      <x:c r="U2050"/>
      <x:c r="V2050"/>
      <x:c r="W2050"/>
    </x:row>
    <x:row r="2051">
      <x:c r="A2051"/>
      <x:c r="B2051"/>
      <x:c r="C2051"/>
      <x:c r="D2051"/>
      <x:c r="E2051"/>
      <x:c r="F2051"/>
      <x:c r="G2051"/>
      <x:c r="H2051"/>
      <x:c r="I2051"/>
      <x:c r="J2051"/>
      <x:c r="K2051"/>
      <x:c r="L2051"/>
      <x:c r="M2051"/>
      <x:c r="N2051"/>
      <x:c r="O2051"/>
      <x:c r="P2051"/>
      <x:c r="Q2051"/>
      <x:c r="R2051"/>
      <x:c r="S2051"/>
      <x:c r="T2051"/>
      <x:c r="U2051"/>
      <x:c r="V2051"/>
      <x:c r="W2051"/>
    </x:row>
    <x:row r="2052">
      <x:c r="A2052"/>
      <x:c r="B2052"/>
      <x:c r="C2052"/>
      <x:c r="D2052"/>
      <x:c r="E2052"/>
      <x:c r="F2052"/>
      <x:c r="G2052"/>
      <x:c r="H2052"/>
      <x:c r="I2052"/>
      <x:c r="J2052"/>
      <x:c r="K2052"/>
      <x:c r="L2052"/>
      <x:c r="M2052"/>
      <x:c r="N2052"/>
      <x:c r="O2052"/>
      <x:c r="P2052"/>
      <x:c r="Q2052"/>
      <x:c r="R2052"/>
      <x:c r="S2052"/>
      <x:c r="T2052"/>
      <x:c r="U2052"/>
      <x:c r="V2052"/>
      <x:c r="W2052"/>
    </x:row>
    <x:row r="2053">
      <x:c r="A2053"/>
      <x:c r="B2053"/>
      <x:c r="C2053"/>
      <x:c r="D2053"/>
      <x:c r="E2053"/>
      <x:c r="F2053"/>
      <x:c r="G2053"/>
      <x:c r="H2053"/>
      <x:c r="I2053"/>
      <x:c r="J2053"/>
      <x:c r="K2053"/>
      <x:c r="L2053"/>
      <x:c r="M2053"/>
      <x:c r="N2053"/>
      <x:c r="O2053"/>
      <x:c r="P2053"/>
      <x:c r="Q2053"/>
      <x:c r="R2053"/>
      <x:c r="S2053"/>
      <x:c r="T2053"/>
      <x:c r="U2053"/>
      <x:c r="V2053"/>
      <x:c r="W2053"/>
    </x:row>
    <x:row r="2054">
      <x:c r="A2054"/>
      <x:c r="B2054"/>
      <x:c r="C2054"/>
      <x:c r="D2054"/>
      <x:c r="E2054"/>
      <x:c r="F2054"/>
      <x:c r="G2054"/>
      <x:c r="H2054"/>
      <x:c r="I2054"/>
      <x:c r="J2054"/>
      <x:c r="K2054"/>
      <x:c r="L2054"/>
      <x:c r="M2054"/>
      <x:c r="N2054"/>
      <x:c r="O2054"/>
      <x:c r="P2054"/>
      <x:c r="Q2054"/>
      <x:c r="R2054"/>
      <x:c r="S2054"/>
      <x:c r="T2054"/>
      <x:c r="U2054"/>
      <x:c r="V2054"/>
      <x:c r="W2054"/>
    </x:row>
    <x:row r="2055">
      <x:c r="A2055"/>
      <x:c r="B2055"/>
      <x:c r="C2055"/>
      <x:c r="D2055"/>
      <x:c r="E2055"/>
      <x:c r="F2055"/>
      <x:c r="G2055"/>
      <x:c r="H2055"/>
      <x:c r="I2055"/>
      <x:c r="J2055"/>
      <x:c r="K2055"/>
      <x:c r="L2055"/>
      <x:c r="M2055"/>
      <x:c r="N2055"/>
      <x:c r="O2055"/>
      <x:c r="P2055"/>
      <x:c r="Q2055"/>
      <x:c r="R2055"/>
      <x:c r="S2055"/>
      <x:c r="T2055"/>
      <x:c r="U2055"/>
      <x:c r="V2055"/>
      <x:c r="W2055"/>
    </x:row>
    <x:row r="2056">
      <x:c r="A2056"/>
      <x:c r="B2056"/>
      <x:c r="C2056"/>
      <x:c r="D2056"/>
      <x:c r="E2056"/>
      <x:c r="F2056"/>
      <x:c r="G2056"/>
      <x:c r="H2056"/>
      <x:c r="I2056"/>
      <x:c r="J2056"/>
      <x:c r="K2056"/>
      <x:c r="L2056"/>
      <x:c r="M2056"/>
      <x:c r="N2056"/>
      <x:c r="O2056"/>
      <x:c r="P2056"/>
      <x:c r="Q2056"/>
      <x:c r="R2056"/>
      <x:c r="S2056"/>
      <x:c r="T2056"/>
      <x:c r="U2056"/>
      <x:c r="V2056"/>
      <x:c r="W2056"/>
    </x:row>
    <x:row r="2057">
      <x:c r="A2057"/>
      <x:c r="B2057"/>
      <x:c r="C2057"/>
      <x:c r="D2057"/>
      <x:c r="E2057"/>
      <x:c r="F2057"/>
      <x:c r="G2057"/>
      <x:c r="H2057"/>
      <x:c r="I2057"/>
      <x:c r="J2057"/>
      <x:c r="K2057"/>
      <x:c r="L2057"/>
      <x:c r="M2057"/>
      <x:c r="N2057"/>
      <x:c r="O2057"/>
      <x:c r="P2057"/>
      <x:c r="Q2057"/>
      <x:c r="R2057"/>
      <x:c r="S2057"/>
      <x:c r="T2057"/>
      <x:c r="U2057"/>
      <x:c r="V2057"/>
      <x:c r="W2057"/>
    </x:row>
    <x:row r="2058">
      <x:c r="A2058"/>
      <x:c r="B2058"/>
      <x:c r="C2058"/>
      <x:c r="D2058"/>
      <x:c r="E2058"/>
      <x:c r="F2058"/>
      <x:c r="G2058"/>
      <x:c r="H2058"/>
      <x:c r="I2058"/>
      <x:c r="J2058"/>
      <x:c r="K2058"/>
      <x:c r="L2058"/>
      <x:c r="M2058"/>
      <x:c r="N2058"/>
      <x:c r="O2058"/>
      <x:c r="P2058"/>
      <x:c r="Q2058"/>
      <x:c r="R2058"/>
      <x:c r="S2058"/>
      <x:c r="T2058"/>
      <x:c r="U2058"/>
      <x:c r="V2058"/>
      <x:c r="W2058"/>
    </x:row>
    <x:row r="2059">
      <x:c r="A2059"/>
      <x:c r="B2059"/>
      <x:c r="C2059"/>
      <x:c r="D2059"/>
      <x:c r="E2059"/>
      <x:c r="F2059"/>
      <x:c r="G2059"/>
      <x:c r="H2059"/>
      <x:c r="I2059"/>
      <x:c r="J2059"/>
      <x:c r="K2059"/>
      <x:c r="L2059"/>
      <x:c r="M2059"/>
      <x:c r="N2059"/>
      <x:c r="O2059"/>
      <x:c r="P2059"/>
      <x:c r="Q2059"/>
      <x:c r="R2059"/>
      <x:c r="S2059"/>
      <x:c r="T2059"/>
      <x:c r="U2059"/>
      <x:c r="V2059"/>
      <x:c r="W2059"/>
    </x:row>
    <x:row r="2060">
      <x:c r="A2060"/>
      <x:c r="B2060"/>
      <x:c r="C2060"/>
      <x:c r="D2060"/>
      <x:c r="E2060"/>
      <x:c r="F2060"/>
      <x:c r="G2060"/>
      <x:c r="H2060"/>
      <x:c r="I2060"/>
      <x:c r="J2060"/>
      <x:c r="K2060"/>
      <x:c r="L2060"/>
      <x:c r="M2060"/>
      <x:c r="N2060"/>
      <x:c r="O2060"/>
      <x:c r="P2060"/>
      <x:c r="Q2060"/>
      <x:c r="R2060"/>
      <x:c r="S2060"/>
      <x:c r="T2060"/>
      <x:c r="U2060"/>
      <x:c r="V2060"/>
      <x:c r="W2060"/>
    </x:row>
    <x:row r="2061">
      <x:c r="A2061"/>
      <x:c r="B2061"/>
      <x:c r="C2061"/>
      <x:c r="D2061"/>
      <x:c r="E2061"/>
      <x:c r="F2061"/>
      <x:c r="G2061"/>
      <x:c r="H2061"/>
      <x:c r="I2061"/>
      <x:c r="J2061"/>
      <x:c r="K2061"/>
      <x:c r="L2061"/>
      <x:c r="M2061"/>
      <x:c r="N2061"/>
      <x:c r="O2061"/>
      <x:c r="P2061"/>
      <x:c r="Q2061"/>
      <x:c r="R2061"/>
      <x:c r="S2061"/>
      <x:c r="T2061"/>
      <x:c r="U2061"/>
      <x:c r="V2061"/>
      <x:c r="W2061"/>
    </x:row>
    <x:row r="2062">
      <x:c r="A2062"/>
      <x:c r="B2062"/>
      <x:c r="C2062"/>
      <x:c r="D2062"/>
      <x:c r="E2062"/>
      <x:c r="F2062"/>
      <x:c r="G2062"/>
      <x:c r="H2062"/>
      <x:c r="I2062"/>
      <x:c r="J2062"/>
      <x:c r="K2062"/>
      <x:c r="L2062"/>
      <x:c r="M2062"/>
      <x:c r="N2062"/>
      <x:c r="O2062"/>
      <x:c r="P2062"/>
      <x:c r="Q2062"/>
      <x:c r="R2062"/>
      <x:c r="S2062"/>
      <x:c r="T2062"/>
      <x:c r="U2062"/>
      <x:c r="V2062"/>
      <x:c r="W2062"/>
    </x:row>
    <x:row r="2063">
      <x:c r="A2063"/>
      <x:c r="B2063"/>
      <x:c r="C2063"/>
      <x:c r="D2063"/>
      <x:c r="E2063"/>
      <x:c r="F2063"/>
      <x:c r="G2063"/>
      <x:c r="H2063"/>
      <x:c r="I2063"/>
      <x:c r="J2063"/>
      <x:c r="K2063"/>
      <x:c r="L2063"/>
      <x:c r="M2063"/>
      <x:c r="N2063"/>
      <x:c r="O2063"/>
      <x:c r="P2063"/>
      <x:c r="Q2063"/>
      <x:c r="R2063"/>
      <x:c r="S2063"/>
      <x:c r="T2063"/>
      <x:c r="U2063"/>
      <x:c r="V2063"/>
      <x:c r="W2063"/>
    </x:row>
    <x:row r="2064">
      <x:c r="A2064"/>
      <x:c r="B2064"/>
      <x:c r="C2064"/>
      <x:c r="D2064"/>
      <x:c r="E2064"/>
      <x:c r="F2064"/>
      <x:c r="G2064"/>
      <x:c r="H2064"/>
      <x:c r="I2064"/>
      <x:c r="J2064"/>
      <x:c r="K2064"/>
      <x:c r="L2064"/>
      <x:c r="M2064"/>
      <x:c r="N2064"/>
      <x:c r="O2064"/>
      <x:c r="P2064"/>
      <x:c r="Q2064"/>
      <x:c r="R2064"/>
      <x:c r="S2064"/>
      <x:c r="T2064"/>
      <x:c r="U2064"/>
      <x:c r="V2064"/>
      <x:c r="W2064"/>
    </x:row>
    <x:row r="2065">
      <x:c r="A2065"/>
      <x:c r="B2065"/>
      <x:c r="C2065"/>
      <x:c r="D2065"/>
      <x:c r="E2065"/>
      <x:c r="F2065"/>
      <x:c r="G2065"/>
      <x:c r="H2065"/>
      <x:c r="I2065"/>
      <x:c r="J2065"/>
      <x:c r="K2065"/>
      <x:c r="L2065"/>
      <x:c r="M2065"/>
      <x:c r="N2065"/>
      <x:c r="O2065"/>
      <x:c r="P2065"/>
      <x:c r="Q2065"/>
      <x:c r="R2065"/>
      <x:c r="S2065"/>
      <x:c r="T2065"/>
      <x:c r="U2065"/>
      <x:c r="V2065"/>
      <x:c r="W2065"/>
    </x:row>
    <x:row r="2066">
      <x:c r="A2066"/>
      <x:c r="B2066"/>
      <x:c r="C2066"/>
      <x:c r="D2066"/>
      <x:c r="E2066"/>
      <x:c r="F2066"/>
      <x:c r="G2066"/>
      <x:c r="H2066"/>
      <x:c r="I2066"/>
      <x:c r="J2066"/>
      <x:c r="K2066"/>
      <x:c r="L2066"/>
      <x:c r="M2066"/>
      <x:c r="N2066"/>
      <x:c r="O2066"/>
      <x:c r="P2066"/>
      <x:c r="Q2066"/>
      <x:c r="R2066"/>
      <x:c r="S2066"/>
      <x:c r="T2066"/>
      <x:c r="U2066"/>
      <x:c r="V2066"/>
      <x:c r="W2066"/>
    </x:row>
    <x:row r="2067">
      <x:c r="A2067"/>
      <x:c r="B2067"/>
      <x:c r="C2067"/>
      <x:c r="D2067"/>
      <x:c r="E2067"/>
      <x:c r="F2067"/>
      <x:c r="G2067"/>
      <x:c r="H2067"/>
      <x:c r="I2067"/>
      <x:c r="J2067"/>
      <x:c r="K2067"/>
      <x:c r="L2067"/>
      <x:c r="M2067"/>
      <x:c r="N2067"/>
      <x:c r="O2067"/>
      <x:c r="P2067"/>
      <x:c r="Q2067"/>
      <x:c r="R2067"/>
      <x:c r="S2067"/>
      <x:c r="T2067"/>
      <x:c r="U2067"/>
      <x:c r="V2067"/>
      <x:c r="W2067"/>
    </x:row>
    <x:row r="2068">
      <x:c r="A2068"/>
      <x:c r="B2068"/>
      <x:c r="C2068"/>
      <x:c r="D2068"/>
      <x:c r="E2068"/>
      <x:c r="F2068"/>
      <x:c r="G2068"/>
      <x:c r="H2068"/>
      <x:c r="I2068"/>
      <x:c r="J2068"/>
      <x:c r="K2068"/>
      <x:c r="L2068"/>
      <x:c r="M2068"/>
      <x:c r="N2068"/>
      <x:c r="O2068"/>
      <x:c r="P2068"/>
      <x:c r="Q2068"/>
      <x:c r="R2068"/>
      <x:c r="S2068"/>
      <x:c r="T2068"/>
      <x:c r="U2068"/>
      <x:c r="V2068"/>
      <x:c r="W2068"/>
    </x:row>
    <x:row r="2069">
      <x:c r="A2069"/>
      <x:c r="B2069"/>
      <x:c r="C2069"/>
      <x:c r="D2069"/>
      <x:c r="E2069"/>
      <x:c r="F2069"/>
      <x:c r="G2069"/>
      <x:c r="H2069"/>
      <x:c r="I2069"/>
      <x:c r="J2069"/>
      <x:c r="K2069"/>
      <x:c r="L2069"/>
      <x:c r="M2069"/>
      <x:c r="N2069"/>
      <x:c r="O2069"/>
      <x:c r="P2069"/>
      <x:c r="Q2069"/>
      <x:c r="R2069"/>
      <x:c r="S2069"/>
      <x:c r="T2069"/>
      <x:c r="U2069"/>
      <x:c r="V2069"/>
      <x:c r="W2069"/>
    </x:row>
    <x:row r="2070">
      <x:c r="A2070"/>
      <x:c r="B2070"/>
      <x:c r="C2070"/>
      <x:c r="D2070"/>
      <x:c r="E2070"/>
      <x:c r="F2070"/>
      <x:c r="G2070"/>
      <x:c r="H2070"/>
      <x:c r="I2070"/>
      <x:c r="J2070"/>
      <x:c r="K2070"/>
      <x:c r="L2070"/>
      <x:c r="M2070"/>
      <x:c r="N2070"/>
      <x:c r="O2070"/>
      <x:c r="P2070"/>
      <x:c r="Q2070"/>
      <x:c r="R2070"/>
      <x:c r="S2070"/>
      <x:c r="T2070"/>
      <x:c r="U2070"/>
      <x:c r="V2070"/>
      <x:c r="W2070"/>
    </x:row>
    <x:row r="2071">
      <x:c r="A2071"/>
      <x:c r="B2071"/>
      <x:c r="C2071"/>
      <x:c r="D2071"/>
      <x:c r="E2071"/>
      <x:c r="F2071"/>
      <x:c r="G2071"/>
      <x:c r="H2071"/>
      <x:c r="I2071"/>
      <x:c r="J2071"/>
      <x:c r="K2071"/>
      <x:c r="L2071"/>
      <x:c r="M2071"/>
      <x:c r="N2071"/>
      <x:c r="O2071"/>
      <x:c r="P2071"/>
      <x:c r="Q2071"/>
      <x:c r="R2071"/>
      <x:c r="S2071"/>
      <x:c r="T2071"/>
      <x:c r="U2071"/>
      <x:c r="V2071"/>
      <x:c r="W2071"/>
    </x:row>
    <x:row r="2072">
      <x:c r="A2072"/>
      <x:c r="B2072"/>
      <x:c r="C2072"/>
      <x:c r="D2072"/>
      <x:c r="E2072"/>
      <x:c r="F2072"/>
      <x:c r="G2072"/>
      <x:c r="H2072"/>
      <x:c r="I2072"/>
      <x:c r="J2072"/>
      <x:c r="K2072"/>
      <x:c r="L2072"/>
      <x:c r="M2072"/>
      <x:c r="N2072"/>
      <x:c r="O2072"/>
      <x:c r="P2072"/>
      <x:c r="Q2072"/>
      <x:c r="R2072"/>
      <x:c r="S2072"/>
      <x:c r="T2072"/>
      <x:c r="U2072"/>
      <x:c r="V2072"/>
      <x:c r="W2072"/>
    </x:row>
    <x:row r="2073">
      <x:c r="A2073"/>
      <x:c r="B2073"/>
      <x:c r="C2073"/>
      <x:c r="D2073"/>
      <x:c r="E2073"/>
      <x:c r="F2073"/>
      <x:c r="G2073"/>
      <x:c r="H2073"/>
      <x:c r="I2073"/>
      <x:c r="J2073"/>
      <x:c r="K2073"/>
      <x:c r="L2073"/>
      <x:c r="M2073"/>
      <x:c r="N2073"/>
      <x:c r="O2073"/>
      <x:c r="P2073"/>
      <x:c r="Q2073"/>
      <x:c r="R2073"/>
      <x:c r="S2073"/>
      <x:c r="T2073"/>
      <x:c r="U2073"/>
      <x:c r="V2073"/>
      <x:c r="W2073"/>
    </x:row>
    <x:row r="2074">
      <x:c r="A2074"/>
      <x:c r="B2074"/>
      <x:c r="C2074"/>
      <x:c r="D2074"/>
      <x:c r="E2074"/>
      <x:c r="F2074"/>
      <x:c r="G2074"/>
      <x:c r="H2074"/>
      <x:c r="I2074"/>
      <x:c r="J2074"/>
      <x:c r="K2074"/>
      <x:c r="L2074"/>
      <x:c r="M2074"/>
      <x:c r="N2074"/>
      <x:c r="O2074"/>
      <x:c r="P2074"/>
      <x:c r="Q2074"/>
      <x:c r="R2074"/>
      <x:c r="S2074"/>
      <x:c r="T2074"/>
      <x:c r="U2074"/>
      <x:c r="V2074"/>
      <x:c r="W2074"/>
    </x:row>
    <x:row r="2075">
      <x:c r="A2075"/>
      <x:c r="B2075"/>
      <x:c r="C2075"/>
      <x:c r="D2075"/>
      <x:c r="E2075"/>
      <x:c r="F2075"/>
      <x:c r="G2075"/>
      <x:c r="H2075"/>
      <x:c r="I2075"/>
      <x:c r="J2075"/>
      <x:c r="K2075"/>
      <x:c r="L2075"/>
      <x:c r="M2075"/>
      <x:c r="N2075"/>
      <x:c r="O2075"/>
      <x:c r="P2075"/>
      <x:c r="Q2075"/>
      <x:c r="R2075"/>
      <x:c r="S2075"/>
      <x:c r="T2075"/>
      <x:c r="U2075"/>
      <x:c r="V2075"/>
      <x:c r="W2075"/>
    </x:row>
    <x:row r="2076">
      <x:c r="A2076"/>
      <x:c r="B2076"/>
      <x:c r="C2076"/>
      <x:c r="D2076"/>
      <x:c r="E2076"/>
      <x:c r="F2076"/>
      <x:c r="G2076"/>
      <x:c r="H2076"/>
      <x:c r="I2076"/>
      <x:c r="J2076"/>
      <x:c r="K2076"/>
      <x:c r="L2076"/>
      <x:c r="M2076"/>
      <x:c r="N2076"/>
      <x:c r="O2076"/>
      <x:c r="P2076"/>
      <x:c r="Q2076"/>
      <x:c r="R2076"/>
      <x:c r="S2076"/>
      <x:c r="T2076"/>
      <x:c r="U2076"/>
      <x:c r="V2076"/>
      <x:c r="W2076"/>
    </x:row>
    <x:row r="2077">
      <x:c r="A2077"/>
      <x:c r="B2077"/>
      <x:c r="C2077"/>
      <x:c r="D2077"/>
      <x:c r="E2077"/>
      <x:c r="F2077"/>
      <x:c r="G2077"/>
      <x:c r="H2077"/>
      <x:c r="I2077"/>
      <x:c r="J2077"/>
      <x:c r="K2077"/>
      <x:c r="L2077"/>
      <x:c r="M2077"/>
      <x:c r="N2077"/>
      <x:c r="O2077"/>
      <x:c r="P2077"/>
      <x:c r="Q2077"/>
      <x:c r="R2077"/>
      <x:c r="S2077"/>
      <x:c r="T2077"/>
      <x:c r="U2077"/>
      <x:c r="V2077"/>
      <x:c r="W2077"/>
    </x:row>
    <x:row r="2078">
      <x:c r="A2078"/>
      <x:c r="B2078"/>
      <x:c r="C2078"/>
      <x:c r="D2078"/>
      <x:c r="E2078"/>
      <x:c r="F2078"/>
      <x:c r="G2078"/>
      <x:c r="H2078"/>
      <x:c r="I2078"/>
      <x:c r="J2078"/>
      <x:c r="K2078"/>
      <x:c r="L2078"/>
      <x:c r="M2078"/>
      <x:c r="N2078"/>
      <x:c r="O2078"/>
      <x:c r="P2078"/>
      <x:c r="Q2078"/>
      <x:c r="R2078"/>
      <x:c r="S2078"/>
      <x:c r="T2078"/>
      <x:c r="U2078"/>
      <x:c r="V2078"/>
      <x:c r="W2078"/>
    </x:row>
    <x:row r="2079">
      <x:c r="A2079"/>
      <x:c r="B2079"/>
      <x:c r="C2079"/>
      <x:c r="D2079"/>
      <x:c r="E2079"/>
      <x:c r="F2079"/>
      <x:c r="G2079"/>
      <x:c r="H2079"/>
      <x:c r="I2079"/>
      <x:c r="J2079"/>
      <x:c r="K2079"/>
      <x:c r="L2079"/>
      <x:c r="M2079"/>
      <x:c r="N2079"/>
      <x:c r="O2079"/>
      <x:c r="P2079"/>
      <x:c r="Q2079"/>
      <x:c r="R2079"/>
      <x:c r="S2079"/>
      <x:c r="T2079"/>
      <x:c r="U2079"/>
      <x:c r="V2079"/>
      <x:c r="W2079"/>
    </x:row>
    <x:row r="2080">
      <x:c r="A2080"/>
      <x:c r="B2080"/>
      <x:c r="C2080"/>
      <x:c r="D2080"/>
      <x:c r="E2080"/>
      <x:c r="F2080"/>
      <x:c r="G2080"/>
      <x:c r="H2080"/>
      <x:c r="I2080"/>
      <x:c r="J2080"/>
      <x:c r="K2080"/>
      <x:c r="L2080"/>
      <x:c r="M2080"/>
      <x:c r="N2080"/>
      <x:c r="O2080"/>
      <x:c r="P2080"/>
      <x:c r="Q2080"/>
      <x:c r="R2080"/>
      <x:c r="S2080"/>
      <x:c r="T2080"/>
      <x:c r="U2080"/>
      <x:c r="V2080"/>
      <x:c r="W2080"/>
    </x:row>
    <x:row r="2081">
      <x:c r="A2081"/>
      <x:c r="B2081"/>
      <x:c r="C2081"/>
      <x:c r="D2081"/>
      <x:c r="E2081"/>
      <x:c r="F2081"/>
      <x:c r="G2081"/>
      <x:c r="H2081"/>
      <x:c r="I2081"/>
      <x:c r="J2081"/>
      <x:c r="K2081"/>
      <x:c r="L2081"/>
      <x:c r="M2081"/>
      <x:c r="N2081"/>
      <x:c r="O2081"/>
      <x:c r="P2081"/>
      <x:c r="Q2081"/>
      <x:c r="R2081"/>
      <x:c r="S2081"/>
      <x:c r="T2081"/>
      <x:c r="U2081"/>
      <x:c r="V2081"/>
      <x:c r="W2081"/>
    </x:row>
    <x:row r="2082">
      <x:c r="A2082"/>
      <x:c r="B2082"/>
      <x:c r="C2082"/>
      <x:c r="D2082"/>
      <x:c r="E2082"/>
      <x:c r="F2082"/>
      <x:c r="G2082"/>
      <x:c r="H2082"/>
      <x:c r="I2082"/>
      <x:c r="J2082"/>
      <x:c r="K2082"/>
      <x:c r="L2082"/>
      <x:c r="M2082"/>
      <x:c r="N2082"/>
      <x:c r="O2082"/>
      <x:c r="P2082"/>
      <x:c r="Q2082"/>
      <x:c r="R2082"/>
      <x:c r="S2082"/>
      <x:c r="T2082"/>
      <x:c r="U2082"/>
      <x:c r="V2082"/>
      <x:c r="W2082"/>
    </x:row>
    <x:row r="2083">
      <x:c r="A2083"/>
      <x:c r="B2083"/>
      <x:c r="C2083"/>
      <x:c r="D2083"/>
      <x:c r="E2083"/>
      <x:c r="F2083"/>
      <x:c r="G2083"/>
      <x:c r="H2083"/>
      <x:c r="I2083"/>
      <x:c r="J2083"/>
      <x:c r="K2083"/>
      <x:c r="L2083"/>
      <x:c r="M2083"/>
      <x:c r="N2083"/>
      <x:c r="O2083"/>
      <x:c r="P2083"/>
      <x:c r="Q2083"/>
      <x:c r="R2083"/>
      <x:c r="S2083"/>
      <x:c r="T2083"/>
      <x:c r="U2083"/>
      <x:c r="V2083"/>
      <x:c r="W2083"/>
    </x:row>
    <x:row r="2084">
      <x:c r="A2084"/>
      <x:c r="B2084"/>
      <x:c r="C2084"/>
      <x:c r="D2084"/>
      <x:c r="E2084"/>
      <x:c r="F2084"/>
      <x:c r="G2084"/>
      <x:c r="H2084"/>
      <x:c r="I2084"/>
      <x:c r="J2084"/>
      <x:c r="K2084"/>
      <x:c r="L2084"/>
      <x:c r="M2084"/>
      <x:c r="N2084"/>
      <x:c r="O2084"/>
      <x:c r="P2084"/>
      <x:c r="Q2084"/>
      <x:c r="R2084"/>
      <x:c r="S2084"/>
      <x:c r="T2084"/>
      <x:c r="U2084"/>
      <x:c r="V2084"/>
      <x:c r="W2084"/>
    </x:row>
    <x:row r="2085">
      <x:c r="A2085"/>
      <x:c r="B2085"/>
      <x:c r="C2085"/>
      <x:c r="D2085"/>
      <x:c r="E2085"/>
      <x:c r="F2085"/>
      <x:c r="G2085"/>
      <x:c r="H2085"/>
      <x:c r="I2085"/>
      <x:c r="J2085"/>
      <x:c r="K2085"/>
      <x:c r="L2085"/>
      <x:c r="M2085"/>
      <x:c r="N2085"/>
      <x:c r="O2085"/>
      <x:c r="P2085"/>
      <x:c r="Q2085"/>
      <x:c r="R2085"/>
      <x:c r="S2085"/>
      <x:c r="T2085"/>
      <x:c r="U2085"/>
      <x:c r="V2085"/>
      <x:c r="W2085"/>
    </x:row>
    <x:row r="2086">
      <x:c r="A2086"/>
      <x:c r="B2086"/>
      <x:c r="C2086"/>
      <x:c r="D2086"/>
      <x:c r="E2086"/>
      <x:c r="F2086"/>
      <x:c r="G2086"/>
      <x:c r="H2086"/>
      <x:c r="I2086"/>
      <x:c r="J2086"/>
      <x:c r="K2086"/>
      <x:c r="L2086"/>
      <x:c r="M2086"/>
      <x:c r="N2086"/>
      <x:c r="O2086"/>
      <x:c r="P2086"/>
      <x:c r="Q2086"/>
      <x:c r="R2086"/>
      <x:c r="S2086"/>
      <x:c r="T2086"/>
      <x:c r="U2086"/>
      <x:c r="V2086"/>
      <x:c r="W2086"/>
    </x:row>
    <x:row r="2087">
      <x:c r="A2087"/>
      <x:c r="B2087"/>
      <x:c r="C2087"/>
      <x:c r="D2087"/>
      <x:c r="E2087"/>
      <x:c r="F2087"/>
      <x:c r="G2087"/>
      <x:c r="H2087"/>
      <x:c r="I2087"/>
      <x:c r="J2087"/>
      <x:c r="K2087"/>
      <x:c r="L2087"/>
      <x:c r="M2087"/>
      <x:c r="N2087"/>
      <x:c r="O2087"/>
      <x:c r="P2087"/>
      <x:c r="Q2087"/>
      <x:c r="R2087"/>
      <x:c r="S2087"/>
      <x:c r="T2087"/>
      <x:c r="U2087"/>
      <x:c r="V2087"/>
      <x:c r="W2087"/>
    </x:row>
    <x:row r="2088">
      <x:c r="A2088"/>
      <x:c r="B2088"/>
      <x:c r="C2088"/>
      <x:c r="D2088"/>
      <x:c r="E2088"/>
      <x:c r="F2088"/>
      <x:c r="G2088"/>
      <x:c r="H2088"/>
      <x:c r="I2088"/>
      <x:c r="J2088"/>
      <x:c r="K2088"/>
      <x:c r="L2088"/>
      <x:c r="M2088"/>
      <x:c r="N2088"/>
      <x:c r="O2088"/>
      <x:c r="P2088"/>
      <x:c r="Q2088"/>
      <x:c r="R2088"/>
      <x:c r="S2088"/>
      <x:c r="T2088"/>
      <x:c r="U2088"/>
      <x:c r="V2088"/>
      <x:c r="W2088"/>
    </x:row>
    <x:row r="2089">
      <x:c r="A2089"/>
      <x:c r="B2089"/>
      <x:c r="C2089"/>
      <x:c r="D2089"/>
      <x:c r="E2089"/>
      <x:c r="F2089"/>
      <x:c r="G2089"/>
      <x:c r="H2089"/>
      <x:c r="I2089"/>
      <x:c r="J2089"/>
      <x:c r="K2089"/>
      <x:c r="L2089"/>
      <x:c r="M2089"/>
      <x:c r="N2089"/>
      <x:c r="O2089"/>
      <x:c r="P2089"/>
      <x:c r="Q2089"/>
      <x:c r="R2089"/>
      <x:c r="S2089"/>
      <x:c r="T2089"/>
      <x:c r="U2089"/>
      <x:c r="V2089"/>
      <x:c r="W2089"/>
    </x:row>
    <x:row r="2090">
      <x:c r="A2090"/>
      <x:c r="B2090"/>
      <x:c r="C2090"/>
      <x:c r="D2090"/>
      <x:c r="E2090"/>
      <x:c r="F2090"/>
      <x:c r="G2090"/>
      <x:c r="H2090"/>
      <x:c r="I2090"/>
      <x:c r="J2090"/>
      <x:c r="K2090"/>
      <x:c r="L2090"/>
      <x:c r="M2090"/>
      <x:c r="N2090"/>
      <x:c r="O2090"/>
      <x:c r="P2090"/>
      <x:c r="Q2090"/>
      <x:c r="R2090"/>
      <x:c r="S2090"/>
      <x:c r="T2090"/>
      <x:c r="U2090"/>
      <x:c r="V2090"/>
      <x:c r="W2090"/>
    </x:row>
    <x:row r="2091">
      <x:c r="A2091"/>
      <x:c r="B2091"/>
      <x:c r="C2091"/>
      <x:c r="D2091"/>
      <x:c r="E2091"/>
      <x:c r="F2091"/>
      <x:c r="G2091"/>
      <x:c r="H2091"/>
      <x:c r="I2091"/>
      <x:c r="J2091"/>
      <x:c r="K2091"/>
      <x:c r="L2091"/>
      <x:c r="M2091"/>
      <x:c r="N2091"/>
      <x:c r="O2091"/>
      <x:c r="P2091"/>
      <x:c r="Q2091"/>
      <x:c r="R2091"/>
      <x:c r="S2091"/>
      <x:c r="T2091"/>
      <x:c r="U2091"/>
      <x:c r="V2091"/>
      <x:c r="W2091"/>
    </x:row>
    <x:row r="2092">
      <x:c r="A2092"/>
      <x:c r="B2092"/>
      <x:c r="C2092"/>
      <x:c r="D2092"/>
      <x:c r="E2092"/>
      <x:c r="F2092"/>
      <x:c r="G2092"/>
      <x:c r="H2092"/>
      <x:c r="I2092"/>
      <x:c r="J2092"/>
      <x:c r="K2092"/>
      <x:c r="L2092"/>
      <x:c r="M2092"/>
      <x:c r="N2092"/>
      <x:c r="O2092"/>
      <x:c r="P2092"/>
      <x:c r="Q2092"/>
      <x:c r="R2092"/>
      <x:c r="S2092"/>
      <x:c r="T2092"/>
      <x:c r="U2092"/>
      <x:c r="V2092"/>
      <x:c r="W2092"/>
    </x:row>
    <x:row r="2093">
      <x:c r="A2093"/>
      <x:c r="B2093"/>
      <x:c r="C2093"/>
      <x:c r="D2093"/>
      <x:c r="E2093"/>
      <x:c r="F2093"/>
      <x:c r="G2093"/>
      <x:c r="H2093"/>
      <x:c r="I2093"/>
      <x:c r="J2093"/>
      <x:c r="K2093"/>
      <x:c r="L2093"/>
      <x:c r="M2093"/>
      <x:c r="N2093"/>
      <x:c r="O2093"/>
      <x:c r="P2093"/>
      <x:c r="Q2093"/>
      <x:c r="R2093"/>
      <x:c r="S2093"/>
      <x:c r="T2093"/>
      <x:c r="U2093"/>
      <x:c r="V2093"/>
      <x:c r="W2093"/>
    </x:row>
    <x:row r="2094">
      <x:c r="A2094"/>
      <x:c r="B2094"/>
      <x:c r="C2094"/>
      <x:c r="D2094"/>
      <x:c r="E2094"/>
      <x:c r="F2094"/>
      <x:c r="G2094"/>
      <x:c r="H2094"/>
      <x:c r="I2094"/>
      <x:c r="J2094"/>
      <x:c r="K2094"/>
      <x:c r="L2094"/>
      <x:c r="M2094"/>
      <x:c r="N2094"/>
      <x:c r="O2094"/>
      <x:c r="P2094"/>
      <x:c r="Q2094"/>
      <x:c r="R2094"/>
      <x:c r="S2094"/>
      <x:c r="T2094"/>
      <x:c r="U2094"/>
      <x:c r="V2094"/>
      <x:c r="W2094"/>
    </x:row>
    <x:row r="2095">
      <x:c r="A2095"/>
      <x:c r="B2095"/>
      <x:c r="C2095"/>
      <x:c r="D2095"/>
      <x:c r="E2095"/>
      <x:c r="F2095"/>
      <x:c r="G2095"/>
      <x:c r="H2095"/>
      <x:c r="I2095"/>
      <x:c r="J2095"/>
      <x:c r="K2095"/>
      <x:c r="L2095"/>
      <x:c r="M2095"/>
      <x:c r="N2095"/>
      <x:c r="O2095"/>
      <x:c r="P2095"/>
      <x:c r="Q2095"/>
      <x:c r="R2095"/>
      <x:c r="S2095"/>
      <x:c r="T2095"/>
      <x:c r="U2095"/>
      <x:c r="V2095"/>
      <x:c r="W2095"/>
    </x:row>
    <x:row r="2096">
      <x:c r="A2096"/>
      <x:c r="B2096"/>
      <x:c r="C2096"/>
      <x:c r="D2096"/>
      <x:c r="E2096"/>
      <x:c r="F2096"/>
      <x:c r="G2096"/>
      <x:c r="H2096"/>
      <x:c r="I2096"/>
      <x:c r="J2096"/>
      <x:c r="K2096"/>
      <x:c r="L2096"/>
      <x:c r="M2096"/>
      <x:c r="N2096"/>
      <x:c r="O2096"/>
      <x:c r="P2096"/>
      <x:c r="Q2096"/>
      <x:c r="R2096"/>
      <x:c r="S2096"/>
      <x:c r="T2096"/>
      <x:c r="U2096"/>
      <x:c r="V2096"/>
      <x:c r="W2096"/>
    </x:row>
    <x:row r="2097">
      <x:c r="A2097"/>
      <x:c r="B2097"/>
      <x:c r="C2097"/>
      <x:c r="D2097"/>
      <x:c r="E2097"/>
      <x:c r="F2097"/>
      <x:c r="G2097"/>
      <x:c r="H2097"/>
      <x:c r="I2097"/>
      <x:c r="J2097"/>
      <x:c r="K2097"/>
      <x:c r="L2097"/>
      <x:c r="M2097"/>
      <x:c r="N2097"/>
      <x:c r="O2097"/>
      <x:c r="P2097"/>
      <x:c r="Q2097"/>
      <x:c r="R2097"/>
      <x:c r="S2097"/>
      <x:c r="T2097"/>
      <x:c r="U2097"/>
      <x:c r="V2097"/>
      <x:c r="W2097"/>
    </x:row>
    <x:row r="2098">
      <x:c r="A2098"/>
      <x:c r="B2098"/>
      <x:c r="C2098"/>
      <x:c r="D2098"/>
      <x:c r="E2098"/>
      <x:c r="F2098"/>
      <x:c r="G2098"/>
      <x:c r="H2098"/>
      <x:c r="I2098"/>
      <x:c r="J2098"/>
      <x:c r="K2098"/>
      <x:c r="L2098"/>
      <x:c r="M2098"/>
      <x:c r="N2098"/>
      <x:c r="O2098"/>
      <x:c r="P2098"/>
      <x:c r="Q2098"/>
      <x:c r="R2098"/>
      <x:c r="S2098"/>
      <x:c r="T2098"/>
      <x:c r="U2098"/>
      <x:c r="V2098"/>
      <x:c r="W2098"/>
    </x:row>
    <x:row r="2099">
      <x:c r="A2099"/>
      <x:c r="B2099"/>
      <x:c r="C2099"/>
      <x:c r="D2099"/>
      <x:c r="E2099"/>
      <x:c r="F2099"/>
      <x:c r="G2099"/>
      <x:c r="H2099"/>
      <x:c r="I2099"/>
      <x:c r="J2099"/>
      <x:c r="K2099"/>
      <x:c r="L2099"/>
      <x:c r="M2099"/>
      <x:c r="N2099"/>
      <x:c r="O2099"/>
      <x:c r="P2099"/>
      <x:c r="Q2099"/>
      <x:c r="R2099"/>
      <x:c r="S2099"/>
      <x:c r="T2099"/>
      <x:c r="U2099"/>
      <x:c r="V2099"/>
      <x:c r="W2099"/>
    </x:row>
    <x:row r="2100">
      <x:c r="A2100"/>
      <x:c r="B2100"/>
      <x:c r="C2100"/>
      <x:c r="D2100"/>
      <x:c r="E2100"/>
      <x:c r="F2100"/>
      <x:c r="G2100"/>
      <x:c r="H2100"/>
      <x:c r="I2100"/>
      <x:c r="J2100"/>
      <x:c r="K2100"/>
      <x:c r="L2100"/>
      <x:c r="M2100"/>
      <x:c r="N2100"/>
      <x:c r="O2100"/>
      <x:c r="P2100"/>
      <x:c r="Q2100"/>
      <x:c r="R2100"/>
      <x:c r="S2100"/>
      <x:c r="T2100"/>
      <x:c r="U2100"/>
      <x:c r="V2100"/>
      <x:c r="W2100"/>
    </x:row>
    <x:row r="2101">
      <x:c r="A2101"/>
      <x:c r="B2101"/>
      <x:c r="C2101"/>
      <x:c r="D2101"/>
      <x:c r="E2101"/>
      <x:c r="F2101"/>
      <x:c r="G2101"/>
      <x:c r="H2101"/>
      <x:c r="I2101"/>
      <x:c r="J2101"/>
      <x:c r="K2101"/>
      <x:c r="L2101"/>
      <x:c r="M2101"/>
      <x:c r="N2101"/>
      <x:c r="O2101"/>
      <x:c r="P2101"/>
      <x:c r="Q2101"/>
      <x:c r="R2101"/>
      <x:c r="S2101"/>
      <x:c r="T2101"/>
      <x:c r="U2101"/>
      <x:c r="V2101"/>
      <x:c r="W2101"/>
    </x:row>
    <x:row r="2102">
      <x:c r="A2102"/>
      <x:c r="B2102"/>
      <x:c r="C2102"/>
      <x:c r="D2102"/>
      <x:c r="E2102"/>
      <x:c r="F2102"/>
      <x:c r="G2102"/>
      <x:c r="H2102"/>
      <x:c r="I2102"/>
      <x:c r="J2102"/>
      <x:c r="K2102"/>
      <x:c r="L2102"/>
      <x:c r="M2102"/>
      <x:c r="N2102"/>
      <x:c r="O2102"/>
      <x:c r="P2102"/>
      <x:c r="Q2102"/>
      <x:c r="R2102"/>
      <x:c r="S2102"/>
      <x:c r="T2102"/>
      <x:c r="U2102"/>
      <x:c r="V2102"/>
      <x:c r="W2102"/>
    </x:row>
    <x:row r="2103">
      <x:c r="A2103"/>
      <x:c r="B2103"/>
      <x:c r="C2103"/>
      <x:c r="D2103"/>
      <x:c r="E2103"/>
      <x:c r="F2103"/>
      <x:c r="G2103"/>
      <x:c r="H2103"/>
      <x:c r="I2103"/>
      <x:c r="J2103"/>
      <x:c r="K2103"/>
      <x:c r="L2103"/>
      <x:c r="M2103"/>
      <x:c r="N2103"/>
      <x:c r="O2103"/>
      <x:c r="P2103"/>
      <x:c r="Q2103"/>
      <x:c r="R2103"/>
      <x:c r="S2103"/>
      <x:c r="T2103"/>
      <x:c r="U2103"/>
      <x:c r="V2103"/>
      <x:c r="W2103"/>
    </x:row>
    <x:row r="2104">
      <x:c r="A2104"/>
      <x:c r="B2104"/>
      <x:c r="C2104"/>
      <x:c r="D2104"/>
      <x:c r="E2104"/>
      <x:c r="F2104"/>
      <x:c r="G2104"/>
      <x:c r="H2104"/>
      <x:c r="I2104"/>
      <x:c r="J2104"/>
      <x:c r="K2104"/>
      <x:c r="L2104"/>
      <x:c r="M2104"/>
      <x:c r="N2104"/>
      <x:c r="O2104"/>
      <x:c r="P2104"/>
      <x:c r="Q2104"/>
      <x:c r="R2104"/>
      <x:c r="S2104"/>
      <x:c r="T2104"/>
      <x:c r="U2104"/>
      <x:c r="V2104"/>
      <x:c r="W2104"/>
    </x:row>
    <x:row r="2105">
      <x:c r="A2105"/>
      <x:c r="B2105"/>
      <x:c r="C2105"/>
      <x:c r="D2105"/>
      <x:c r="E2105"/>
      <x:c r="F2105"/>
      <x:c r="G2105"/>
      <x:c r="H2105"/>
      <x:c r="I2105"/>
      <x:c r="J2105"/>
      <x:c r="K2105"/>
      <x:c r="L2105"/>
      <x:c r="M2105"/>
      <x:c r="N2105"/>
      <x:c r="O2105"/>
      <x:c r="P2105"/>
      <x:c r="Q2105"/>
      <x:c r="R2105"/>
      <x:c r="S2105"/>
      <x:c r="T2105"/>
      <x:c r="U2105"/>
      <x:c r="V2105"/>
      <x:c r="W2105"/>
    </x:row>
    <x:row r="2106">
      <x:c r="A2106"/>
      <x:c r="B2106"/>
      <x:c r="C2106"/>
      <x:c r="D2106"/>
      <x:c r="E2106"/>
      <x:c r="F2106"/>
      <x:c r="G2106"/>
      <x:c r="H2106"/>
      <x:c r="I2106"/>
      <x:c r="J2106"/>
      <x:c r="K2106"/>
      <x:c r="L2106"/>
      <x:c r="M2106"/>
      <x:c r="N2106"/>
      <x:c r="O2106"/>
      <x:c r="P2106"/>
      <x:c r="Q2106"/>
      <x:c r="R2106"/>
      <x:c r="S2106"/>
      <x:c r="T2106"/>
      <x:c r="U2106"/>
      <x:c r="V2106"/>
      <x:c r="W2106"/>
    </x:row>
    <x:row r="2107">
      <x:c r="A2107"/>
      <x:c r="B2107"/>
      <x:c r="C2107"/>
      <x:c r="D2107"/>
      <x:c r="E2107"/>
      <x:c r="F2107"/>
      <x:c r="G2107"/>
      <x:c r="H2107"/>
      <x:c r="I2107"/>
      <x:c r="J2107"/>
      <x:c r="K2107"/>
      <x:c r="L2107"/>
      <x:c r="M2107"/>
      <x:c r="N2107"/>
      <x:c r="O2107"/>
      <x:c r="P2107"/>
      <x:c r="Q2107"/>
      <x:c r="R2107"/>
      <x:c r="S2107"/>
      <x:c r="T2107"/>
      <x:c r="U2107"/>
      <x:c r="V2107"/>
      <x:c r="W2107"/>
    </x:row>
    <x:row r="2108">
      <x:c r="A2108"/>
      <x:c r="B2108"/>
      <x:c r="C2108"/>
      <x:c r="D2108"/>
      <x:c r="E2108"/>
      <x:c r="F2108"/>
      <x:c r="G2108"/>
      <x:c r="H2108"/>
      <x:c r="I2108"/>
      <x:c r="J2108"/>
      <x:c r="K2108"/>
      <x:c r="L2108"/>
      <x:c r="M2108"/>
      <x:c r="N2108"/>
      <x:c r="O2108"/>
      <x:c r="P2108"/>
      <x:c r="Q2108"/>
      <x:c r="R2108"/>
      <x:c r="S2108"/>
      <x:c r="T2108"/>
      <x:c r="U2108"/>
      <x:c r="V2108"/>
      <x:c r="W2108"/>
    </x:row>
    <x:row r="2109">
      <x:c r="A2109"/>
      <x:c r="B2109"/>
      <x:c r="C2109"/>
      <x:c r="D2109"/>
      <x:c r="E2109"/>
      <x:c r="F2109"/>
      <x:c r="G2109"/>
      <x:c r="H2109"/>
      <x:c r="I2109"/>
      <x:c r="J2109"/>
      <x:c r="K2109"/>
      <x:c r="L2109"/>
      <x:c r="M2109"/>
      <x:c r="N2109"/>
      <x:c r="O2109"/>
      <x:c r="P2109"/>
      <x:c r="Q2109"/>
      <x:c r="R2109"/>
      <x:c r="S2109"/>
      <x:c r="T2109"/>
      <x:c r="U2109"/>
      <x:c r="V2109"/>
      <x:c r="W2109"/>
    </x:row>
    <x:row r="2110">
      <x:c r="A2110"/>
      <x:c r="B2110"/>
      <x:c r="C2110"/>
      <x:c r="D2110"/>
      <x:c r="E2110"/>
      <x:c r="F2110"/>
      <x:c r="G2110"/>
      <x:c r="H2110"/>
      <x:c r="I2110"/>
      <x:c r="J2110"/>
      <x:c r="K2110"/>
      <x:c r="L2110"/>
      <x:c r="M2110"/>
      <x:c r="N2110"/>
      <x:c r="O2110"/>
      <x:c r="P2110"/>
      <x:c r="Q2110"/>
      <x:c r="R2110"/>
      <x:c r="S2110"/>
      <x:c r="T2110"/>
      <x:c r="U2110"/>
      <x:c r="V2110"/>
      <x:c r="W2110"/>
    </x:row>
    <x:row r="2111">
      <x:c r="A2111"/>
      <x:c r="B2111"/>
      <x:c r="C2111"/>
      <x:c r="D2111"/>
      <x:c r="E2111"/>
      <x:c r="F2111"/>
      <x:c r="G2111"/>
      <x:c r="H2111"/>
      <x:c r="I2111"/>
      <x:c r="J2111"/>
      <x:c r="K2111"/>
      <x:c r="L2111"/>
      <x:c r="M2111"/>
      <x:c r="N2111"/>
      <x:c r="O2111"/>
      <x:c r="P2111"/>
      <x:c r="Q2111"/>
      <x:c r="R2111"/>
      <x:c r="S2111"/>
      <x:c r="T2111"/>
      <x:c r="U2111"/>
      <x:c r="V2111"/>
      <x:c r="W2111"/>
    </x:row>
    <x:row r="2112">
      <x:c r="A2112"/>
      <x:c r="B2112"/>
      <x:c r="C2112"/>
      <x:c r="D2112"/>
      <x:c r="E2112"/>
      <x:c r="F2112"/>
      <x:c r="G2112"/>
      <x:c r="H2112"/>
      <x:c r="I2112"/>
      <x:c r="J2112"/>
      <x:c r="K2112"/>
      <x:c r="L2112"/>
      <x:c r="M2112"/>
      <x:c r="N2112"/>
      <x:c r="O2112"/>
      <x:c r="P2112"/>
      <x:c r="Q2112"/>
      <x:c r="R2112"/>
      <x:c r="S2112"/>
      <x:c r="T2112"/>
      <x:c r="U2112"/>
      <x:c r="V2112"/>
      <x:c r="W2112"/>
    </x:row>
    <x:row r="2113">
      <x:c r="A2113"/>
      <x:c r="B2113"/>
      <x:c r="C2113"/>
      <x:c r="D2113"/>
      <x:c r="E2113"/>
      <x:c r="F2113"/>
      <x:c r="G2113"/>
      <x:c r="H2113"/>
      <x:c r="I2113"/>
      <x:c r="J2113"/>
      <x:c r="K2113"/>
      <x:c r="L2113"/>
      <x:c r="M2113"/>
      <x:c r="N2113"/>
      <x:c r="O2113"/>
      <x:c r="P2113"/>
      <x:c r="Q2113"/>
      <x:c r="R2113"/>
      <x:c r="S2113"/>
      <x:c r="T2113"/>
      <x:c r="U2113"/>
      <x:c r="V2113"/>
      <x:c r="W2113"/>
    </x:row>
    <x:row r="2114">
      <x:c r="A2114"/>
      <x:c r="B2114"/>
      <x:c r="C2114"/>
      <x:c r="D2114"/>
      <x:c r="E2114"/>
      <x:c r="F2114"/>
      <x:c r="G2114"/>
      <x:c r="H2114"/>
      <x:c r="I2114"/>
      <x:c r="J2114"/>
      <x:c r="K2114"/>
      <x:c r="L2114"/>
      <x:c r="M2114"/>
      <x:c r="N2114"/>
      <x:c r="O2114"/>
      <x:c r="P2114"/>
      <x:c r="Q2114"/>
      <x:c r="R2114"/>
      <x:c r="S2114"/>
      <x:c r="T2114"/>
      <x:c r="U2114"/>
      <x:c r="V2114"/>
      <x:c r="W2114"/>
    </x:row>
    <x:row r="2115">
      <x:c r="A2115"/>
      <x:c r="B2115"/>
      <x:c r="C2115"/>
      <x:c r="D2115"/>
      <x:c r="E2115"/>
      <x:c r="F2115"/>
      <x:c r="G2115"/>
      <x:c r="H2115"/>
      <x:c r="I2115"/>
      <x:c r="J2115"/>
      <x:c r="K2115"/>
      <x:c r="L2115"/>
      <x:c r="M2115"/>
      <x:c r="N2115"/>
      <x:c r="O2115"/>
      <x:c r="P2115"/>
      <x:c r="Q2115"/>
      <x:c r="R2115"/>
      <x:c r="S2115"/>
      <x:c r="T2115"/>
      <x:c r="U2115"/>
      <x:c r="V2115"/>
      <x:c r="W2115"/>
    </x:row>
    <x:row r="2116">
      <x:c r="A2116"/>
      <x:c r="B2116"/>
      <x:c r="C2116"/>
      <x:c r="D2116"/>
      <x:c r="E2116"/>
      <x:c r="F2116"/>
      <x:c r="G2116"/>
      <x:c r="H2116"/>
      <x:c r="I2116"/>
      <x:c r="J2116"/>
      <x:c r="K2116"/>
      <x:c r="L2116"/>
      <x:c r="M2116"/>
      <x:c r="N2116"/>
      <x:c r="O2116"/>
      <x:c r="P2116"/>
      <x:c r="Q2116"/>
      <x:c r="R2116"/>
      <x:c r="S2116"/>
      <x:c r="T2116"/>
      <x:c r="U2116"/>
      <x:c r="V2116"/>
      <x:c r="W2116"/>
    </x:row>
    <x:row r="2117">
      <x:c r="A2117"/>
      <x:c r="B2117"/>
      <x:c r="C2117"/>
      <x:c r="D2117"/>
      <x:c r="E2117"/>
      <x:c r="F2117"/>
      <x:c r="G2117"/>
      <x:c r="H2117"/>
      <x:c r="I2117"/>
      <x:c r="J2117"/>
      <x:c r="K2117"/>
      <x:c r="L2117"/>
      <x:c r="M2117"/>
      <x:c r="N2117"/>
      <x:c r="O2117"/>
      <x:c r="P2117"/>
      <x:c r="Q2117"/>
      <x:c r="R2117"/>
      <x:c r="S2117"/>
      <x:c r="T2117"/>
      <x:c r="U2117"/>
      <x:c r="V2117"/>
      <x:c r="W2117"/>
    </x:row>
    <x:row r="2118">
      <x:c r="A2118"/>
      <x:c r="B2118"/>
      <x:c r="C2118"/>
      <x:c r="D2118"/>
      <x:c r="E2118"/>
      <x:c r="F2118"/>
      <x:c r="G2118"/>
      <x:c r="H2118"/>
      <x:c r="I2118"/>
      <x:c r="J2118"/>
      <x:c r="K2118"/>
      <x:c r="L2118"/>
      <x:c r="M2118"/>
      <x:c r="N2118"/>
      <x:c r="O2118"/>
      <x:c r="P2118"/>
      <x:c r="Q2118"/>
      <x:c r="R2118"/>
      <x:c r="S2118"/>
      <x:c r="T2118"/>
      <x:c r="U2118"/>
      <x:c r="V2118"/>
      <x:c r="W2118"/>
    </x:row>
    <x:row r="2119">
      <x:c r="A2119"/>
      <x:c r="B2119"/>
      <x:c r="C2119"/>
      <x:c r="D2119"/>
      <x:c r="E2119"/>
      <x:c r="F2119"/>
      <x:c r="G2119"/>
      <x:c r="H2119"/>
      <x:c r="I2119"/>
      <x:c r="J2119"/>
      <x:c r="K2119"/>
      <x:c r="L2119"/>
      <x:c r="M2119"/>
      <x:c r="N2119"/>
      <x:c r="O2119"/>
      <x:c r="P2119"/>
      <x:c r="Q2119"/>
      <x:c r="R2119"/>
      <x:c r="S2119"/>
      <x:c r="T2119"/>
      <x:c r="U2119"/>
      <x:c r="V2119"/>
      <x:c r="W2119"/>
    </x:row>
    <x:row r="2120">
      <x:c r="A2120"/>
      <x:c r="B2120"/>
      <x:c r="C2120"/>
      <x:c r="D2120"/>
      <x:c r="E2120"/>
      <x:c r="F2120"/>
      <x:c r="G2120"/>
      <x:c r="H2120"/>
      <x:c r="I2120"/>
      <x:c r="J2120"/>
      <x:c r="K2120"/>
      <x:c r="L2120"/>
      <x:c r="M2120"/>
      <x:c r="N2120"/>
      <x:c r="O2120"/>
      <x:c r="P2120"/>
      <x:c r="Q2120"/>
      <x:c r="R2120"/>
      <x:c r="S2120"/>
      <x:c r="T2120"/>
      <x:c r="U2120"/>
      <x:c r="V2120"/>
      <x:c r="W2120"/>
    </x:row>
    <x:row r="2121">
      <x:c r="A2121"/>
      <x:c r="B2121"/>
      <x:c r="C2121"/>
      <x:c r="D2121"/>
      <x:c r="E2121"/>
      <x:c r="F2121"/>
      <x:c r="G2121"/>
      <x:c r="H2121"/>
      <x:c r="I2121"/>
      <x:c r="J2121"/>
      <x:c r="K2121"/>
      <x:c r="L2121"/>
      <x:c r="M2121"/>
      <x:c r="N2121"/>
      <x:c r="O2121"/>
      <x:c r="P2121"/>
      <x:c r="Q2121"/>
      <x:c r="R2121"/>
      <x:c r="S2121"/>
      <x:c r="T2121"/>
      <x:c r="U2121"/>
      <x:c r="V2121"/>
      <x:c r="W2121"/>
    </x:row>
    <x:row r="2122">
      <x:c r="A2122"/>
      <x:c r="B2122"/>
      <x:c r="C2122"/>
      <x:c r="D2122"/>
      <x:c r="E2122"/>
      <x:c r="F2122"/>
      <x:c r="G2122"/>
      <x:c r="H2122"/>
      <x:c r="I2122"/>
      <x:c r="J2122"/>
      <x:c r="K2122"/>
      <x:c r="L2122"/>
      <x:c r="M2122"/>
      <x:c r="N2122"/>
      <x:c r="O2122"/>
      <x:c r="P2122"/>
      <x:c r="Q2122"/>
      <x:c r="R2122"/>
      <x:c r="S2122"/>
      <x:c r="T2122"/>
      <x:c r="U2122"/>
      <x:c r="V2122"/>
      <x:c r="W2122"/>
    </x:row>
    <x:row r="2123">
      <x:c r="A2123"/>
      <x:c r="B2123"/>
      <x:c r="C2123"/>
      <x:c r="D2123"/>
      <x:c r="E2123"/>
      <x:c r="F2123"/>
      <x:c r="G2123"/>
      <x:c r="H2123"/>
      <x:c r="I2123"/>
      <x:c r="J2123"/>
      <x:c r="K2123"/>
      <x:c r="L2123"/>
      <x:c r="M2123"/>
      <x:c r="N2123"/>
      <x:c r="O2123"/>
      <x:c r="P2123"/>
      <x:c r="Q2123"/>
      <x:c r="R2123"/>
      <x:c r="S2123"/>
      <x:c r="T2123"/>
      <x:c r="U2123"/>
      <x:c r="V2123"/>
      <x:c r="W2123"/>
    </x:row>
    <x:row r="2124">
      <x:c r="A2124"/>
      <x:c r="B2124"/>
      <x:c r="C2124"/>
      <x:c r="D2124"/>
      <x:c r="E2124"/>
      <x:c r="F2124"/>
      <x:c r="G2124"/>
      <x:c r="H2124"/>
      <x:c r="I2124"/>
      <x:c r="J2124"/>
      <x:c r="K2124"/>
      <x:c r="L2124"/>
      <x:c r="M2124"/>
      <x:c r="N2124"/>
      <x:c r="O2124"/>
      <x:c r="P2124"/>
      <x:c r="Q2124"/>
      <x:c r="R2124"/>
      <x:c r="S2124"/>
      <x:c r="T2124"/>
      <x:c r="U2124"/>
      <x:c r="V2124"/>
      <x:c r="W2124"/>
    </x:row>
    <x:row r="2125">
      <x:c r="A2125"/>
      <x:c r="B2125"/>
      <x:c r="C2125"/>
      <x:c r="D2125"/>
      <x:c r="E2125"/>
      <x:c r="F2125"/>
      <x:c r="G2125"/>
      <x:c r="H2125"/>
      <x:c r="I2125"/>
      <x:c r="J2125"/>
      <x:c r="K2125"/>
      <x:c r="L2125"/>
      <x:c r="M2125"/>
      <x:c r="N2125"/>
      <x:c r="O2125"/>
      <x:c r="P2125"/>
      <x:c r="Q2125"/>
      <x:c r="R2125"/>
      <x:c r="S2125"/>
      <x:c r="T2125"/>
      <x:c r="U2125"/>
      <x:c r="V2125"/>
      <x:c r="W2125"/>
    </x:row>
    <x:row r="2126">
      <x:c r="A2126"/>
      <x:c r="B2126"/>
      <x:c r="C2126"/>
      <x:c r="D2126"/>
      <x:c r="E2126"/>
      <x:c r="F2126"/>
      <x:c r="G2126"/>
      <x:c r="H2126"/>
      <x:c r="I2126"/>
      <x:c r="J2126"/>
      <x:c r="K2126"/>
      <x:c r="L2126"/>
      <x:c r="M2126"/>
      <x:c r="N2126"/>
      <x:c r="O2126"/>
      <x:c r="P2126"/>
      <x:c r="Q2126"/>
      <x:c r="R2126"/>
      <x:c r="S2126"/>
      <x:c r="T2126"/>
      <x:c r="U2126"/>
      <x:c r="V2126"/>
      <x:c r="W2126"/>
    </x:row>
    <x:row r="2127">
      <x:c r="A2127"/>
      <x:c r="B2127"/>
      <x:c r="C2127"/>
      <x:c r="D2127"/>
      <x:c r="E2127"/>
      <x:c r="F2127"/>
      <x:c r="G2127"/>
      <x:c r="H2127"/>
      <x:c r="I2127"/>
      <x:c r="J2127"/>
      <x:c r="K2127"/>
      <x:c r="L2127"/>
      <x:c r="M2127"/>
      <x:c r="N2127"/>
      <x:c r="O2127"/>
      <x:c r="P2127"/>
      <x:c r="Q2127"/>
      <x:c r="R2127"/>
      <x:c r="S2127"/>
      <x:c r="T2127"/>
      <x:c r="U2127"/>
      <x:c r="V2127"/>
      <x:c r="W2127"/>
    </x:row>
    <x:row r="2128">
      <x:c r="A2128"/>
      <x:c r="B2128"/>
      <x:c r="C2128"/>
      <x:c r="D2128"/>
      <x:c r="E2128"/>
      <x:c r="F2128"/>
      <x:c r="G2128"/>
      <x:c r="H2128"/>
      <x:c r="I2128"/>
      <x:c r="J2128"/>
      <x:c r="K2128"/>
      <x:c r="L2128"/>
      <x:c r="M2128"/>
      <x:c r="N2128"/>
      <x:c r="O2128"/>
      <x:c r="P2128"/>
      <x:c r="Q2128"/>
      <x:c r="R2128"/>
      <x:c r="S2128"/>
      <x:c r="T2128"/>
      <x:c r="U2128"/>
      <x:c r="V2128"/>
      <x:c r="W2128"/>
    </x:row>
    <x:row r="2129">
      <x:c r="A2129"/>
      <x:c r="B2129"/>
      <x:c r="C2129"/>
      <x:c r="D2129"/>
      <x:c r="E2129"/>
      <x:c r="F2129"/>
      <x:c r="G2129"/>
      <x:c r="H2129"/>
      <x:c r="I2129"/>
      <x:c r="J2129"/>
      <x:c r="K2129"/>
      <x:c r="L2129"/>
      <x:c r="M2129"/>
      <x:c r="N2129"/>
      <x:c r="O2129"/>
      <x:c r="P2129"/>
      <x:c r="Q2129"/>
      <x:c r="R2129"/>
      <x:c r="S2129"/>
      <x:c r="T2129"/>
      <x:c r="U2129"/>
      <x:c r="V2129"/>
      <x:c r="W2129"/>
    </x:row>
    <x:row r="2130">
      <x:c r="A2130"/>
      <x:c r="B2130"/>
      <x:c r="C2130"/>
      <x:c r="D2130"/>
      <x:c r="E2130"/>
      <x:c r="F2130"/>
      <x:c r="G2130"/>
      <x:c r="H2130"/>
      <x:c r="I2130"/>
      <x:c r="J2130"/>
      <x:c r="K2130"/>
      <x:c r="L2130"/>
      <x:c r="M2130"/>
      <x:c r="N2130"/>
      <x:c r="O2130"/>
      <x:c r="P2130"/>
      <x:c r="Q2130"/>
      <x:c r="R2130"/>
      <x:c r="S2130"/>
      <x:c r="T2130"/>
      <x:c r="U2130"/>
      <x:c r="V2130"/>
      <x:c r="W2130"/>
    </x:row>
    <x:row r="2131">
      <x:c r="A2131"/>
      <x:c r="B2131"/>
      <x:c r="C2131"/>
      <x:c r="D2131"/>
      <x:c r="E2131"/>
      <x:c r="F2131"/>
      <x:c r="G2131"/>
      <x:c r="H2131"/>
      <x:c r="I2131"/>
      <x:c r="J2131"/>
      <x:c r="K2131"/>
      <x:c r="L2131"/>
      <x:c r="M2131"/>
      <x:c r="N2131"/>
      <x:c r="O2131"/>
      <x:c r="P2131"/>
      <x:c r="Q2131"/>
      <x:c r="R2131"/>
      <x:c r="S2131"/>
      <x:c r="T2131"/>
      <x:c r="U2131"/>
      <x:c r="V2131"/>
      <x:c r="W2131"/>
    </x:row>
    <x:row r="2132">
      <x:c r="A2132"/>
      <x:c r="B2132"/>
      <x:c r="C2132"/>
      <x:c r="D2132"/>
      <x:c r="E2132"/>
      <x:c r="F2132"/>
      <x:c r="G2132"/>
      <x:c r="H2132"/>
      <x:c r="I2132"/>
      <x:c r="J2132"/>
      <x:c r="K2132"/>
      <x:c r="L2132"/>
      <x:c r="M2132"/>
      <x:c r="N2132"/>
      <x:c r="O2132"/>
      <x:c r="P2132"/>
      <x:c r="Q2132"/>
      <x:c r="R2132"/>
      <x:c r="S2132"/>
      <x:c r="T2132"/>
      <x:c r="U2132"/>
      <x:c r="V2132"/>
      <x:c r="W2132"/>
    </x:row>
    <x:row r="2133">
      <x:c r="A2133"/>
      <x:c r="B2133"/>
      <x:c r="C2133"/>
      <x:c r="D2133"/>
      <x:c r="E2133"/>
      <x:c r="F2133"/>
      <x:c r="G2133"/>
      <x:c r="H2133"/>
      <x:c r="I2133"/>
      <x:c r="J2133"/>
      <x:c r="K2133"/>
      <x:c r="L2133"/>
      <x:c r="M2133"/>
      <x:c r="N2133"/>
      <x:c r="O2133"/>
      <x:c r="P2133"/>
      <x:c r="Q2133"/>
      <x:c r="R2133"/>
      <x:c r="S2133"/>
      <x:c r="T2133"/>
      <x:c r="U2133"/>
      <x:c r="V2133"/>
      <x:c r="W2133"/>
    </x:row>
    <x:row r="2134">
      <x:c r="A2134"/>
      <x:c r="B2134"/>
      <x:c r="C2134"/>
      <x:c r="D2134"/>
      <x:c r="E2134"/>
      <x:c r="F2134"/>
      <x:c r="G2134"/>
      <x:c r="H2134"/>
      <x:c r="I2134"/>
      <x:c r="J2134"/>
      <x:c r="K2134"/>
      <x:c r="L2134"/>
      <x:c r="M2134"/>
      <x:c r="N2134"/>
      <x:c r="O2134"/>
      <x:c r="P2134"/>
      <x:c r="Q2134"/>
      <x:c r="R2134"/>
      <x:c r="S2134"/>
      <x:c r="T2134"/>
      <x:c r="U2134"/>
      <x:c r="V2134"/>
      <x:c r="W2134"/>
    </x:row>
    <x:row r="2135">
      <x:c r="A2135"/>
      <x:c r="B2135"/>
      <x:c r="C2135"/>
      <x:c r="D2135"/>
      <x:c r="E2135"/>
      <x:c r="F2135"/>
      <x:c r="G2135"/>
      <x:c r="H2135"/>
      <x:c r="I2135"/>
      <x:c r="J2135"/>
      <x:c r="K2135"/>
      <x:c r="L2135"/>
      <x:c r="M2135"/>
      <x:c r="N2135"/>
      <x:c r="O2135"/>
      <x:c r="P2135"/>
      <x:c r="Q2135"/>
      <x:c r="R2135"/>
      <x:c r="S2135"/>
      <x:c r="T2135"/>
      <x:c r="U2135"/>
      <x:c r="V2135"/>
      <x:c r="W2135"/>
    </x:row>
    <x:row r="2136">
      <x:c r="A2136"/>
      <x:c r="B2136"/>
      <x:c r="C2136"/>
      <x:c r="D2136"/>
      <x:c r="E2136"/>
      <x:c r="F2136"/>
      <x:c r="G2136"/>
      <x:c r="H2136"/>
      <x:c r="I2136"/>
      <x:c r="J2136"/>
      <x:c r="K2136"/>
      <x:c r="L2136"/>
      <x:c r="M2136"/>
      <x:c r="N2136"/>
      <x:c r="O2136"/>
      <x:c r="P2136"/>
      <x:c r="Q2136"/>
      <x:c r="R2136"/>
      <x:c r="S2136"/>
      <x:c r="T2136"/>
      <x:c r="U2136"/>
      <x:c r="V2136"/>
      <x:c r="W2136"/>
    </x:row>
    <x:row r="2137">
      <x:c r="A2137"/>
      <x:c r="B2137"/>
      <x:c r="C2137"/>
      <x:c r="D2137"/>
      <x:c r="E2137"/>
      <x:c r="F2137"/>
      <x:c r="G2137"/>
      <x:c r="H2137"/>
      <x:c r="I2137"/>
      <x:c r="J2137"/>
      <x:c r="K2137"/>
      <x:c r="L2137"/>
      <x:c r="M2137"/>
      <x:c r="N2137"/>
      <x:c r="O2137"/>
      <x:c r="P2137"/>
      <x:c r="Q2137"/>
      <x:c r="R2137"/>
      <x:c r="S2137"/>
      <x:c r="T2137"/>
      <x:c r="U2137"/>
      <x:c r="V2137"/>
      <x:c r="W2137"/>
    </x:row>
    <x:row r="2138">
      <x:c r="A2138"/>
      <x:c r="B2138"/>
      <x:c r="C2138"/>
      <x:c r="D2138"/>
      <x:c r="E2138"/>
      <x:c r="F2138"/>
      <x:c r="G2138"/>
      <x:c r="H2138"/>
      <x:c r="I2138"/>
      <x:c r="J2138"/>
      <x:c r="K2138"/>
      <x:c r="L2138"/>
      <x:c r="M2138"/>
      <x:c r="N2138"/>
      <x:c r="O2138"/>
      <x:c r="P2138"/>
      <x:c r="Q2138"/>
      <x:c r="R2138"/>
      <x:c r="S2138"/>
      <x:c r="T2138"/>
      <x:c r="U2138"/>
      <x:c r="V2138"/>
      <x:c r="W2138"/>
    </x:row>
    <x:row r="2139">
      <x:c r="A2139"/>
      <x:c r="B2139"/>
      <x:c r="C2139"/>
      <x:c r="D2139"/>
      <x:c r="E2139"/>
      <x:c r="F2139"/>
      <x:c r="G2139"/>
      <x:c r="H2139"/>
      <x:c r="I2139"/>
      <x:c r="J2139"/>
      <x:c r="K2139"/>
      <x:c r="L2139"/>
      <x:c r="M2139"/>
      <x:c r="N2139"/>
      <x:c r="O2139"/>
      <x:c r="P2139"/>
      <x:c r="Q2139"/>
      <x:c r="R2139"/>
      <x:c r="S2139"/>
      <x:c r="T2139"/>
      <x:c r="U2139"/>
      <x:c r="V2139"/>
      <x:c r="W2139"/>
    </x:row>
    <x:row r="2140">
      <x:c r="A2140"/>
      <x:c r="B2140"/>
      <x:c r="C2140"/>
      <x:c r="D2140"/>
      <x:c r="E2140"/>
      <x:c r="F2140"/>
      <x:c r="G2140"/>
      <x:c r="H2140"/>
      <x:c r="I2140"/>
      <x:c r="J2140"/>
      <x:c r="K2140"/>
      <x:c r="L2140"/>
      <x:c r="M2140"/>
      <x:c r="N2140"/>
      <x:c r="O2140"/>
      <x:c r="P2140"/>
      <x:c r="Q2140"/>
      <x:c r="R2140"/>
      <x:c r="S2140"/>
      <x:c r="T2140"/>
      <x:c r="U2140"/>
      <x:c r="V2140"/>
      <x:c r="W2140"/>
    </x:row>
    <x:row r="2141">
      <x:c r="A2141"/>
      <x:c r="B2141"/>
      <x:c r="C2141"/>
      <x:c r="D2141"/>
      <x:c r="E2141"/>
      <x:c r="F2141"/>
      <x:c r="G2141"/>
      <x:c r="H2141"/>
      <x:c r="I2141"/>
      <x:c r="J2141"/>
      <x:c r="K2141"/>
      <x:c r="L2141"/>
      <x:c r="M2141"/>
      <x:c r="N2141"/>
      <x:c r="O2141"/>
      <x:c r="P2141"/>
      <x:c r="Q2141"/>
      <x:c r="R2141"/>
      <x:c r="S2141"/>
      <x:c r="T2141"/>
      <x:c r="U2141"/>
      <x:c r="V2141"/>
      <x:c r="W2141"/>
    </x:row>
    <x:row r="2142">
      <x:c r="A2142"/>
      <x:c r="B2142"/>
      <x:c r="C2142"/>
      <x:c r="D2142"/>
      <x:c r="E2142"/>
      <x:c r="F2142"/>
      <x:c r="G2142"/>
      <x:c r="H2142"/>
      <x:c r="I2142"/>
      <x:c r="J2142"/>
      <x:c r="K2142"/>
      <x:c r="L2142"/>
      <x:c r="M2142"/>
      <x:c r="N2142"/>
      <x:c r="O2142"/>
      <x:c r="P2142"/>
      <x:c r="Q2142"/>
      <x:c r="R2142"/>
      <x:c r="S2142"/>
      <x:c r="T2142"/>
      <x:c r="U2142"/>
      <x:c r="V2142"/>
      <x:c r="W2142"/>
    </x:row>
    <x:row r="2143">
      <x:c r="A2143"/>
      <x:c r="B2143"/>
      <x:c r="C2143"/>
      <x:c r="D2143"/>
      <x:c r="E2143"/>
      <x:c r="F2143"/>
      <x:c r="G2143"/>
      <x:c r="H2143"/>
      <x:c r="I2143"/>
      <x:c r="J2143"/>
      <x:c r="K2143"/>
      <x:c r="L2143"/>
      <x:c r="M2143"/>
      <x:c r="N2143"/>
      <x:c r="O2143"/>
      <x:c r="P2143"/>
      <x:c r="Q2143"/>
      <x:c r="R2143"/>
      <x:c r="S2143"/>
      <x:c r="T2143"/>
      <x:c r="U2143"/>
      <x:c r="V2143"/>
      <x:c r="W2143"/>
    </x:row>
    <x:row r="2144">
      <x:c r="A2144"/>
      <x:c r="B2144"/>
      <x:c r="C2144"/>
      <x:c r="D2144"/>
      <x:c r="E2144"/>
      <x:c r="F2144"/>
      <x:c r="G2144"/>
      <x:c r="H2144"/>
      <x:c r="I2144"/>
      <x:c r="J2144"/>
      <x:c r="K2144"/>
      <x:c r="L2144"/>
      <x:c r="M2144"/>
      <x:c r="N2144"/>
      <x:c r="O2144"/>
      <x:c r="P2144"/>
      <x:c r="Q2144"/>
      <x:c r="R2144"/>
      <x:c r="S2144"/>
      <x:c r="T2144"/>
      <x:c r="U2144"/>
      <x:c r="V2144"/>
      <x:c r="W2144"/>
    </x:row>
    <x:row r="2145">
      <x:c r="A2145"/>
      <x:c r="B2145"/>
      <x:c r="C2145"/>
      <x:c r="D2145"/>
      <x:c r="E2145"/>
      <x:c r="F2145"/>
      <x:c r="G2145"/>
      <x:c r="H2145"/>
      <x:c r="I2145"/>
      <x:c r="J2145"/>
      <x:c r="K2145"/>
      <x:c r="L2145"/>
      <x:c r="M2145"/>
      <x:c r="N2145"/>
      <x:c r="O2145"/>
      <x:c r="P2145"/>
      <x:c r="Q2145"/>
      <x:c r="R2145"/>
      <x:c r="S2145"/>
      <x:c r="T2145"/>
      <x:c r="U2145"/>
      <x:c r="V2145"/>
      <x:c r="W2145"/>
    </x:row>
    <x:row r="2146">
      <x:c r="A2146"/>
      <x:c r="B2146"/>
      <x:c r="C2146"/>
      <x:c r="D2146"/>
      <x:c r="E2146"/>
      <x:c r="F2146"/>
      <x:c r="G2146"/>
      <x:c r="H2146"/>
      <x:c r="I2146"/>
      <x:c r="J2146"/>
      <x:c r="K2146"/>
      <x:c r="L2146"/>
      <x:c r="M2146"/>
      <x:c r="N2146"/>
      <x:c r="O2146"/>
      <x:c r="P2146"/>
      <x:c r="Q2146"/>
      <x:c r="R2146"/>
      <x:c r="S2146"/>
      <x:c r="T2146"/>
      <x:c r="U2146"/>
      <x:c r="V2146"/>
      <x:c r="W2146"/>
    </x:row>
    <x:row r="2147">
      <x:c r="A2147"/>
      <x:c r="B2147"/>
      <x:c r="C2147"/>
      <x:c r="D2147"/>
      <x:c r="E2147"/>
      <x:c r="F2147"/>
      <x:c r="G2147"/>
      <x:c r="H2147"/>
      <x:c r="I2147"/>
      <x:c r="J2147"/>
      <x:c r="K2147"/>
      <x:c r="L2147"/>
      <x:c r="M2147"/>
      <x:c r="N2147"/>
      <x:c r="O2147"/>
      <x:c r="P2147"/>
      <x:c r="Q2147"/>
      <x:c r="R2147"/>
      <x:c r="S2147"/>
      <x:c r="T2147"/>
      <x:c r="U2147"/>
      <x:c r="V2147"/>
      <x:c r="W2147"/>
    </x:row>
    <x:row r="2148">
      <x:c r="A2148"/>
      <x:c r="B2148"/>
      <x:c r="C2148"/>
      <x:c r="D2148"/>
      <x:c r="E2148"/>
      <x:c r="F2148"/>
      <x:c r="G2148"/>
      <x:c r="H2148"/>
      <x:c r="I2148"/>
      <x:c r="J2148"/>
      <x:c r="K2148"/>
      <x:c r="L2148"/>
      <x:c r="M2148"/>
      <x:c r="N2148"/>
      <x:c r="O2148"/>
      <x:c r="P2148"/>
      <x:c r="Q2148"/>
      <x:c r="R2148"/>
      <x:c r="S2148"/>
      <x:c r="T2148"/>
      <x:c r="U2148"/>
      <x:c r="V2148"/>
      <x:c r="W2148"/>
    </x:row>
    <x:row r="2149">
      <x:c r="A2149"/>
      <x:c r="B2149"/>
      <x:c r="C2149"/>
      <x:c r="D2149"/>
      <x:c r="E2149"/>
      <x:c r="F2149"/>
      <x:c r="G2149"/>
      <x:c r="H2149"/>
      <x:c r="I2149"/>
      <x:c r="J2149"/>
      <x:c r="K2149"/>
      <x:c r="L2149"/>
      <x:c r="M2149"/>
      <x:c r="N2149"/>
      <x:c r="O2149"/>
      <x:c r="P2149"/>
      <x:c r="Q2149"/>
      <x:c r="R2149"/>
      <x:c r="S2149"/>
      <x:c r="T2149"/>
      <x:c r="U2149"/>
      <x:c r="V2149"/>
      <x:c r="W2149"/>
    </x:row>
    <x:row r="2150">
      <x:c r="A2150"/>
      <x:c r="B2150"/>
      <x:c r="C2150"/>
      <x:c r="D2150"/>
      <x:c r="E2150"/>
      <x:c r="F2150"/>
      <x:c r="G2150"/>
      <x:c r="H2150"/>
      <x:c r="I2150"/>
      <x:c r="J2150"/>
      <x:c r="K2150"/>
      <x:c r="L2150"/>
      <x:c r="M2150"/>
      <x:c r="N2150"/>
      <x:c r="O2150"/>
      <x:c r="P2150"/>
      <x:c r="Q2150"/>
      <x:c r="R2150"/>
      <x:c r="S2150"/>
      <x:c r="T2150"/>
      <x:c r="U2150"/>
      <x:c r="V2150"/>
      <x:c r="W2150"/>
    </x:row>
    <x:row r="2151">
      <x:c r="A2151"/>
      <x:c r="B2151"/>
      <x:c r="C2151"/>
      <x:c r="D2151"/>
      <x:c r="E2151"/>
      <x:c r="F2151"/>
      <x:c r="G2151"/>
      <x:c r="H2151"/>
      <x:c r="I2151"/>
      <x:c r="J2151"/>
      <x:c r="K2151"/>
      <x:c r="L2151"/>
      <x:c r="M2151"/>
      <x:c r="N2151"/>
      <x:c r="O2151"/>
      <x:c r="P2151"/>
      <x:c r="Q2151"/>
      <x:c r="R2151"/>
      <x:c r="S2151"/>
      <x:c r="T2151"/>
      <x:c r="U2151"/>
      <x:c r="V2151"/>
      <x:c r="W2151"/>
    </x:row>
    <x:row r="2152">
      <x:c r="A2152"/>
      <x:c r="B2152"/>
      <x:c r="C2152"/>
      <x:c r="D2152"/>
      <x:c r="E2152"/>
      <x:c r="F2152"/>
      <x:c r="G2152"/>
      <x:c r="H2152"/>
      <x:c r="I2152"/>
      <x:c r="J2152"/>
      <x:c r="K2152"/>
      <x:c r="L2152"/>
      <x:c r="M2152"/>
      <x:c r="N2152"/>
      <x:c r="O2152"/>
      <x:c r="P2152"/>
      <x:c r="Q2152"/>
      <x:c r="R2152"/>
      <x:c r="S2152"/>
      <x:c r="T2152"/>
      <x:c r="U2152"/>
      <x:c r="V2152"/>
      <x:c r="W2152"/>
    </x:row>
    <x:row r="2153">
      <x:c r="A2153"/>
      <x:c r="B2153"/>
      <x:c r="C2153"/>
      <x:c r="D2153"/>
      <x:c r="E2153"/>
      <x:c r="F2153"/>
      <x:c r="G2153"/>
      <x:c r="H2153"/>
      <x:c r="I2153"/>
      <x:c r="J2153"/>
      <x:c r="K2153"/>
      <x:c r="L2153"/>
      <x:c r="M2153"/>
      <x:c r="N2153"/>
      <x:c r="O2153"/>
      <x:c r="P2153"/>
      <x:c r="Q2153"/>
      <x:c r="R2153"/>
      <x:c r="S2153"/>
      <x:c r="T2153"/>
      <x:c r="U2153"/>
      <x:c r="V2153"/>
      <x:c r="W2153"/>
    </x:row>
    <x:row r="2154">
      <x:c r="A2154"/>
      <x:c r="B2154"/>
      <x:c r="C2154"/>
      <x:c r="D2154"/>
      <x:c r="E2154"/>
      <x:c r="F2154"/>
      <x:c r="G2154"/>
      <x:c r="H2154"/>
      <x:c r="I2154"/>
      <x:c r="J2154"/>
      <x:c r="K2154"/>
      <x:c r="L2154"/>
      <x:c r="M2154"/>
      <x:c r="N2154"/>
      <x:c r="O2154"/>
      <x:c r="P2154"/>
      <x:c r="Q2154"/>
      <x:c r="R2154"/>
      <x:c r="S2154"/>
      <x:c r="T2154"/>
      <x:c r="U2154"/>
      <x:c r="V2154"/>
      <x:c r="W2154"/>
    </x:row>
    <x:row r="2155">
      <x:c r="A2155"/>
      <x:c r="B2155"/>
      <x:c r="C2155"/>
      <x:c r="D2155"/>
      <x:c r="E2155"/>
      <x:c r="F2155"/>
      <x:c r="G2155"/>
      <x:c r="H2155"/>
      <x:c r="I2155"/>
      <x:c r="J2155"/>
      <x:c r="K2155"/>
      <x:c r="L2155"/>
      <x:c r="M2155"/>
      <x:c r="N2155"/>
      <x:c r="O2155"/>
      <x:c r="P2155"/>
      <x:c r="Q2155"/>
      <x:c r="R2155"/>
      <x:c r="S2155"/>
      <x:c r="T2155"/>
      <x:c r="U2155"/>
      <x:c r="V2155"/>
      <x:c r="W2155"/>
    </x:row>
    <x:row r="2156">
      <x:c r="A2156"/>
      <x:c r="B2156"/>
      <x:c r="C2156"/>
      <x:c r="D2156"/>
      <x:c r="E2156"/>
      <x:c r="F2156"/>
      <x:c r="G2156"/>
      <x:c r="H2156"/>
      <x:c r="I2156"/>
      <x:c r="J2156"/>
      <x:c r="K2156"/>
      <x:c r="L2156"/>
      <x:c r="M2156"/>
      <x:c r="N2156"/>
      <x:c r="O2156"/>
      <x:c r="P2156"/>
      <x:c r="Q2156"/>
      <x:c r="R2156"/>
      <x:c r="S2156"/>
      <x:c r="T2156"/>
      <x:c r="U2156"/>
      <x:c r="V2156"/>
      <x:c r="W2156"/>
    </x:row>
    <x:row r="2157">
      <x:c r="A2157"/>
      <x:c r="B2157"/>
      <x:c r="C2157"/>
      <x:c r="D2157"/>
      <x:c r="E2157"/>
      <x:c r="F2157"/>
      <x:c r="G2157"/>
      <x:c r="H2157"/>
      <x:c r="I2157"/>
      <x:c r="J2157"/>
      <x:c r="K2157"/>
      <x:c r="L2157"/>
      <x:c r="M2157"/>
      <x:c r="N2157"/>
      <x:c r="O2157"/>
      <x:c r="P2157"/>
      <x:c r="Q2157"/>
      <x:c r="R2157"/>
      <x:c r="S2157"/>
      <x:c r="T2157"/>
      <x:c r="U2157"/>
      <x:c r="V2157"/>
      <x:c r="W2157"/>
    </x:row>
    <x:row r="2158">
      <x:c r="A2158"/>
      <x:c r="B2158"/>
      <x:c r="C2158"/>
      <x:c r="D2158"/>
      <x:c r="E2158"/>
      <x:c r="F2158"/>
      <x:c r="G2158"/>
      <x:c r="H2158"/>
      <x:c r="I2158"/>
      <x:c r="J2158"/>
      <x:c r="K2158"/>
      <x:c r="L2158"/>
      <x:c r="M2158"/>
      <x:c r="N2158"/>
      <x:c r="O2158"/>
      <x:c r="P2158"/>
      <x:c r="Q2158"/>
      <x:c r="R2158"/>
      <x:c r="S2158"/>
      <x:c r="T2158"/>
      <x:c r="U2158"/>
      <x:c r="V2158"/>
      <x:c r="W2158"/>
    </x:row>
    <x:row r="2159">
      <x:c r="A2159"/>
      <x:c r="B2159"/>
      <x:c r="C2159"/>
      <x:c r="D2159"/>
      <x:c r="E2159"/>
      <x:c r="F2159"/>
      <x:c r="G2159"/>
      <x:c r="H2159"/>
      <x:c r="I2159"/>
      <x:c r="J2159"/>
      <x:c r="K2159"/>
      <x:c r="L2159"/>
      <x:c r="M2159"/>
      <x:c r="N2159"/>
      <x:c r="O2159"/>
      <x:c r="P2159"/>
      <x:c r="Q2159"/>
      <x:c r="R2159"/>
      <x:c r="S2159"/>
      <x:c r="T2159"/>
      <x:c r="U2159"/>
      <x:c r="V2159"/>
      <x:c r="W2159"/>
    </x:row>
    <x:row r="2160">
      <x:c r="A2160"/>
      <x:c r="B2160"/>
      <x:c r="C2160"/>
      <x:c r="D2160"/>
      <x:c r="E2160"/>
      <x:c r="F2160"/>
      <x:c r="G2160"/>
      <x:c r="H2160"/>
      <x:c r="I2160"/>
      <x:c r="J2160"/>
      <x:c r="K2160"/>
      <x:c r="L2160"/>
      <x:c r="M2160"/>
      <x:c r="N2160"/>
      <x:c r="O2160"/>
      <x:c r="P2160"/>
      <x:c r="Q2160"/>
      <x:c r="R2160"/>
      <x:c r="S2160"/>
      <x:c r="T2160"/>
      <x:c r="U2160"/>
      <x:c r="V2160"/>
      <x:c r="W2160"/>
    </x:row>
    <x:row r="2161">
      <x:c r="A2161"/>
      <x:c r="B2161"/>
      <x:c r="C2161"/>
      <x:c r="D2161"/>
      <x:c r="E2161"/>
      <x:c r="F2161"/>
      <x:c r="G2161"/>
      <x:c r="H2161"/>
      <x:c r="I2161"/>
      <x:c r="J2161"/>
      <x:c r="K2161"/>
      <x:c r="L2161"/>
      <x:c r="M2161"/>
      <x:c r="N2161"/>
      <x:c r="O2161"/>
      <x:c r="P2161"/>
      <x:c r="Q2161"/>
      <x:c r="R2161"/>
      <x:c r="S2161"/>
      <x:c r="T2161"/>
      <x:c r="U2161"/>
      <x:c r="V2161"/>
      <x:c r="W2161"/>
    </x:row>
    <x:row r="2162">
      <x:c r="A2162"/>
      <x:c r="B2162"/>
      <x:c r="C2162"/>
      <x:c r="D2162"/>
      <x:c r="E2162"/>
      <x:c r="F2162"/>
      <x:c r="G2162"/>
      <x:c r="H2162"/>
      <x:c r="I2162"/>
      <x:c r="J2162"/>
      <x:c r="K2162"/>
      <x:c r="L2162"/>
      <x:c r="M2162"/>
      <x:c r="N2162"/>
      <x:c r="O2162"/>
      <x:c r="P2162"/>
      <x:c r="Q2162"/>
      <x:c r="R2162"/>
      <x:c r="S2162"/>
      <x:c r="T2162"/>
      <x:c r="U2162"/>
      <x:c r="V2162"/>
      <x:c r="W2162"/>
    </x:row>
    <x:row r="2163">
      <x:c r="A2163"/>
      <x:c r="B2163"/>
      <x:c r="C2163"/>
      <x:c r="D2163"/>
      <x:c r="E2163"/>
      <x:c r="F2163"/>
      <x:c r="G2163"/>
      <x:c r="H2163"/>
      <x:c r="I2163"/>
      <x:c r="J2163"/>
      <x:c r="K2163"/>
      <x:c r="L2163"/>
      <x:c r="M2163"/>
      <x:c r="N2163"/>
      <x:c r="O2163"/>
      <x:c r="P2163"/>
      <x:c r="Q2163"/>
      <x:c r="R2163"/>
      <x:c r="S2163"/>
      <x:c r="T2163"/>
      <x:c r="U2163"/>
      <x:c r="V2163"/>
      <x:c r="W2163"/>
    </x:row>
    <x:row r="2164">
      <x:c r="A2164"/>
      <x:c r="B2164"/>
      <x:c r="C2164"/>
      <x:c r="D2164"/>
      <x:c r="E2164"/>
      <x:c r="F2164"/>
      <x:c r="G2164"/>
      <x:c r="H2164"/>
      <x:c r="I2164"/>
      <x:c r="J2164"/>
      <x:c r="K2164"/>
      <x:c r="L2164"/>
      <x:c r="M2164"/>
      <x:c r="N2164"/>
      <x:c r="O2164"/>
      <x:c r="P2164"/>
      <x:c r="Q2164"/>
      <x:c r="R2164"/>
      <x:c r="S2164"/>
      <x:c r="T2164"/>
      <x:c r="U2164"/>
      <x:c r="V2164"/>
      <x:c r="W2164"/>
    </x:row>
    <x:row r="2165">
      <x:c r="A2165"/>
      <x:c r="B2165"/>
      <x:c r="C2165"/>
      <x:c r="D2165"/>
      <x:c r="E2165"/>
      <x:c r="F2165"/>
      <x:c r="G2165"/>
      <x:c r="H2165"/>
      <x:c r="I2165"/>
      <x:c r="J2165"/>
      <x:c r="K2165"/>
      <x:c r="L2165"/>
      <x:c r="M2165"/>
      <x:c r="N2165"/>
      <x:c r="O2165"/>
      <x:c r="P2165"/>
      <x:c r="Q2165"/>
      <x:c r="R2165"/>
      <x:c r="S2165"/>
      <x:c r="T2165"/>
      <x:c r="U2165"/>
      <x:c r="V2165"/>
      <x:c r="W2165"/>
    </x:row>
    <x:row r="2166">
      <x:c r="A2166"/>
      <x:c r="B2166"/>
      <x:c r="C2166"/>
      <x:c r="D2166"/>
      <x:c r="E2166"/>
      <x:c r="F2166"/>
      <x:c r="G2166"/>
      <x:c r="H2166"/>
      <x:c r="I2166"/>
      <x:c r="J2166"/>
      <x:c r="K2166"/>
      <x:c r="L2166"/>
      <x:c r="M2166"/>
      <x:c r="N2166"/>
      <x:c r="O2166"/>
      <x:c r="P2166"/>
      <x:c r="Q2166"/>
      <x:c r="R2166"/>
      <x:c r="S2166"/>
      <x:c r="T2166"/>
      <x:c r="U2166"/>
      <x:c r="V2166"/>
      <x:c r="W2166"/>
    </x:row>
    <x:row r="2167">
      <x:c r="A2167"/>
      <x:c r="B2167"/>
      <x:c r="C2167"/>
      <x:c r="D2167"/>
      <x:c r="E2167"/>
      <x:c r="F2167"/>
      <x:c r="G2167"/>
      <x:c r="H2167"/>
      <x:c r="I2167"/>
      <x:c r="J2167"/>
      <x:c r="K2167"/>
      <x:c r="L2167"/>
      <x:c r="M2167"/>
      <x:c r="N2167"/>
      <x:c r="O2167"/>
      <x:c r="P2167"/>
      <x:c r="Q2167"/>
      <x:c r="R2167"/>
      <x:c r="S2167"/>
      <x:c r="T2167"/>
      <x:c r="U2167"/>
      <x:c r="V2167"/>
      <x:c r="W2167"/>
    </x:row>
    <x:row r="2168">
      <x:c r="A2168"/>
      <x:c r="B2168"/>
      <x:c r="C2168"/>
      <x:c r="D2168"/>
      <x:c r="E2168"/>
      <x:c r="F2168"/>
      <x:c r="G2168"/>
      <x:c r="H2168"/>
      <x:c r="I2168"/>
      <x:c r="J2168"/>
      <x:c r="K2168"/>
      <x:c r="L2168"/>
      <x:c r="M2168"/>
      <x:c r="N2168"/>
      <x:c r="O2168"/>
      <x:c r="P2168"/>
      <x:c r="Q2168"/>
      <x:c r="R2168"/>
      <x:c r="S2168"/>
      <x:c r="T2168"/>
      <x:c r="U2168"/>
      <x:c r="V2168"/>
      <x:c r="W2168"/>
    </x:row>
    <x:row r="2169">
      <x:c r="A2169"/>
      <x:c r="B2169"/>
      <x:c r="C2169"/>
      <x:c r="D2169"/>
      <x:c r="E2169"/>
      <x:c r="F2169"/>
      <x:c r="G2169"/>
      <x:c r="H2169"/>
      <x:c r="I2169"/>
      <x:c r="J2169"/>
      <x:c r="K2169"/>
      <x:c r="L2169"/>
      <x:c r="M2169"/>
      <x:c r="N2169"/>
      <x:c r="O2169"/>
      <x:c r="P2169"/>
      <x:c r="Q2169"/>
      <x:c r="R2169"/>
      <x:c r="S2169"/>
      <x:c r="T2169"/>
      <x:c r="U2169"/>
      <x:c r="V2169"/>
      <x:c r="W2169"/>
    </x:row>
    <x:row r="2170">
      <x:c r="A2170"/>
      <x:c r="B2170"/>
      <x:c r="C2170"/>
      <x:c r="D2170"/>
      <x:c r="E2170"/>
      <x:c r="F2170"/>
      <x:c r="G2170"/>
      <x:c r="H2170"/>
      <x:c r="I2170"/>
      <x:c r="J2170"/>
      <x:c r="K2170"/>
      <x:c r="L2170"/>
      <x:c r="M2170"/>
      <x:c r="N2170"/>
      <x:c r="O2170"/>
      <x:c r="P2170"/>
      <x:c r="Q2170"/>
      <x:c r="R2170"/>
      <x:c r="S2170"/>
      <x:c r="T2170"/>
      <x:c r="U2170"/>
      <x:c r="V2170"/>
      <x:c r="W2170"/>
    </x:row>
    <x:row r="2171">
      <x:c r="A2171"/>
      <x:c r="B2171"/>
      <x:c r="C2171"/>
      <x:c r="D2171"/>
      <x:c r="E2171"/>
      <x:c r="F2171"/>
      <x:c r="G2171"/>
      <x:c r="H2171"/>
      <x:c r="I2171"/>
      <x:c r="J2171"/>
      <x:c r="K2171"/>
      <x:c r="L2171"/>
      <x:c r="M2171"/>
      <x:c r="N2171"/>
      <x:c r="O2171"/>
      <x:c r="P2171"/>
      <x:c r="Q2171"/>
      <x:c r="R2171"/>
      <x:c r="S2171"/>
      <x:c r="T2171"/>
      <x:c r="U2171"/>
      <x:c r="V2171"/>
      <x:c r="W2171"/>
    </x:row>
    <x:row r="2172">
      <x:c r="A2172"/>
      <x:c r="B2172"/>
      <x:c r="C2172"/>
      <x:c r="D2172"/>
      <x:c r="E2172"/>
      <x:c r="F2172"/>
      <x:c r="G2172"/>
      <x:c r="H2172"/>
      <x:c r="I2172"/>
      <x:c r="J2172"/>
      <x:c r="K2172"/>
      <x:c r="L2172"/>
      <x:c r="M2172"/>
      <x:c r="N2172"/>
      <x:c r="O2172"/>
      <x:c r="P2172"/>
      <x:c r="Q2172"/>
      <x:c r="R2172"/>
      <x:c r="S2172"/>
      <x:c r="T2172"/>
      <x:c r="U2172"/>
      <x:c r="V2172"/>
      <x:c r="W2172"/>
    </x:row>
    <x:row r="2173">
      <x:c r="A2173"/>
      <x:c r="B2173"/>
      <x:c r="C2173"/>
      <x:c r="D2173"/>
      <x:c r="E2173"/>
      <x:c r="F2173"/>
      <x:c r="G2173"/>
      <x:c r="H2173"/>
      <x:c r="I2173"/>
      <x:c r="J2173"/>
      <x:c r="K2173"/>
      <x:c r="L2173"/>
      <x:c r="M2173"/>
      <x:c r="N2173"/>
      <x:c r="O2173"/>
      <x:c r="P2173"/>
      <x:c r="Q2173"/>
      <x:c r="R2173"/>
      <x:c r="S2173"/>
      <x:c r="T2173"/>
      <x:c r="U2173"/>
      <x:c r="V2173"/>
      <x:c r="W2173"/>
    </x:row>
    <x:row r="2174">
      <x:c r="A2174"/>
      <x:c r="B2174"/>
      <x:c r="C2174"/>
      <x:c r="D2174"/>
      <x:c r="E2174"/>
      <x:c r="F2174"/>
      <x:c r="G2174"/>
      <x:c r="H2174"/>
      <x:c r="I2174"/>
      <x:c r="J2174"/>
      <x:c r="K2174"/>
      <x:c r="L2174"/>
      <x:c r="M2174"/>
      <x:c r="N2174"/>
      <x:c r="O2174"/>
      <x:c r="P2174"/>
      <x:c r="Q2174"/>
      <x:c r="R2174"/>
      <x:c r="S2174"/>
      <x:c r="T2174"/>
      <x:c r="U2174"/>
      <x:c r="V2174"/>
      <x:c r="W2174"/>
    </x:row>
    <x:row r="2175">
      <x:c r="A2175"/>
      <x:c r="B2175"/>
      <x:c r="C2175"/>
      <x:c r="D2175"/>
      <x:c r="E2175"/>
      <x:c r="F2175"/>
      <x:c r="G2175"/>
      <x:c r="H2175"/>
      <x:c r="I2175"/>
      <x:c r="J2175"/>
      <x:c r="K2175"/>
      <x:c r="L2175"/>
      <x:c r="M2175"/>
      <x:c r="N2175"/>
      <x:c r="O2175"/>
      <x:c r="P2175"/>
      <x:c r="Q2175"/>
      <x:c r="R2175"/>
      <x:c r="S2175"/>
      <x:c r="T2175"/>
      <x:c r="U2175"/>
      <x:c r="V2175"/>
      <x:c r="W2175"/>
    </x:row>
    <x:row r="2176">
      <x:c r="A2176"/>
      <x:c r="B2176"/>
      <x:c r="C2176"/>
      <x:c r="D2176"/>
      <x:c r="E2176"/>
      <x:c r="F2176"/>
      <x:c r="G2176"/>
      <x:c r="H2176"/>
      <x:c r="I2176"/>
      <x:c r="J2176"/>
      <x:c r="K2176"/>
      <x:c r="L2176"/>
      <x:c r="M2176"/>
      <x:c r="N2176"/>
      <x:c r="O2176"/>
      <x:c r="P2176"/>
      <x:c r="Q2176"/>
      <x:c r="R2176"/>
      <x:c r="S2176"/>
      <x:c r="T2176"/>
      <x:c r="U2176"/>
      <x:c r="V2176"/>
      <x:c r="W2176"/>
    </x:row>
    <x:row r="2177">
      <x:c r="A2177"/>
      <x:c r="B2177"/>
      <x:c r="C2177"/>
      <x:c r="D2177"/>
      <x:c r="E2177"/>
      <x:c r="F2177"/>
      <x:c r="G2177"/>
      <x:c r="H2177"/>
      <x:c r="I2177"/>
      <x:c r="J2177"/>
      <x:c r="K2177"/>
      <x:c r="L2177"/>
      <x:c r="M2177"/>
      <x:c r="N2177"/>
      <x:c r="O2177"/>
      <x:c r="P2177"/>
      <x:c r="Q2177"/>
      <x:c r="R2177"/>
      <x:c r="S2177"/>
      <x:c r="T2177"/>
      <x:c r="U2177"/>
      <x:c r="V2177"/>
      <x:c r="W2177"/>
    </x:row>
    <x:row r="2178">
      <x:c r="A2178"/>
      <x:c r="B2178"/>
      <x:c r="C2178"/>
      <x:c r="D2178"/>
      <x:c r="E2178"/>
      <x:c r="F2178"/>
      <x:c r="G2178"/>
      <x:c r="H2178"/>
      <x:c r="I2178"/>
      <x:c r="J2178"/>
      <x:c r="K2178"/>
      <x:c r="L2178"/>
      <x:c r="M2178"/>
      <x:c r="N2178"/>
      <x:c r="O2178"/>
      <x:c r="P2178"/>
      <x:c r="Q2178"/>
      <x:c r="R2178"/>
      <x:c r="S2178"/>
      <x:c r="T2178"/>
      <x:c r="U2178"/>
      <x:c r="V2178"/>
      <x:c r="W2178"/>
    </x:row>
    <x:row r="2179">
      <x:c r="A2179"/>
      <x:c r="B2179"/>
      <x:c r="C2179"/>
      <x:c r="D2179"/>
      <x:c r="E2179"/>
      <x:c r="F2179"/>
      <x:c r="G2179"/>
      <x:c r="H2179"/>
      <x:c r="I2179"/>
      <x:c r="J2179"/>
      <x:c r="K2179"/>
      <x:c r="L2179"/>
      <x:c r="M2179"/>
      <x:c r="N2179"/>
      <x:c r="O2179"/>
      <x:c r="P2179"/>
      <x:c r="Q2179"/>
      <x:c r="R2179"/>
      <x:c r="S2179"/>
      <x:c r="T2179"/>
      <x:c r="U2179"/>
      <x:c r="V2179"/>
      <x:c r="W2179"/>
    </x:row>
    <x:row r="2180">
      <x:c r="A2180"/>
      <x:c r="B2180"/>
      <x:c r="C2180"/>
      <x:c r="D2180"/>
      <x:c r="E2180"/>
      <x:c r="F2180"/>
      <x:c r="G2180"/>
      <x:c r="H2180"/>
      <x:c r="I2180"/>
      <x:c r="J2180"/>
      <x:c r="K2180"/>
      <x:c r="L2180"/>
      <x:c r="M2180"/>
      <x:c r="N2180"/>
      <x:c r="O2180"/>
      <x:c r="P2180"/>
      <x:c r="Q2180"/>
      <x:c r="R2180"/>
      <x:c r="S2180"/>
      <x:c r="T2180"/>
      <x:c r="U2180"/>
      <x:c r="V2180"/>
      <x:c r="W2180"/>
    </x:row>
    <x:row r="2181">
      <x:c r="A2181"/>
      <x:c r="B2181"/>
      <x:c r="C2181"/>
      <x:c r="D2181"/>
      <x:c r="E2181"/>
      <x:c r="F2181"/>
      <x:c r="G2181"/>
      <x:c r="H2181"/>
      <x:c r="I2181"/>
      <x:c r="J2181"/>
      <x:c r="K2181"/>
      <x:c r="L2181"/>
      <x:c r="M2181"/>
      <x:c r="N2181"/>
      <x:c r="O2181"/>
      <x:c r="P2181"/>
      <x:c r="Q2181"/>
      <x:c r="R2181"/>
      <x:c r="S2181"/>
      <x:c r="T2181"/>
      <x:c r="U2181"/>
      <x:c r="V2181"/>
      <x:c r="W2181"/>
    </x:row>
    <x:row r="2182">
      <x:c r="A2182"/>
      <x:c r="B2182"/>
      <x:c r="C2182"/>
      <x:c r="D2182"/>
      <x:c r="E2182"/>
      <x:c r="F2182"/>
      <x:c r="G2182"/>
      <x:c r="H2182"/>
      <x:c r="I2182"/>
      <x:c r="J2182"/>
      <x:c r="K2182"/>
      <x:c r="L2182"/>
      <x:c r="M2182"/>
      <x:c r="N2182"/>
      <x:c r="O2182"/>
      <x:c r="P2182"/>
      <x:c r="Q2182"/>
      <x:c r="R2182"/>
      <x:c r="S2182"/>
      <x:c r="T2182"/>
      <x:c r="U2182"/>
      <x:c r="V2182"/>
      <x:c r="W2182"/>
    </x:row>
    <x:row r="2183">
      <x:c r="A2183"/>
      <x:c r="B2183"/>
      <x:c r="C2183"/>
      <x:c r="D2183"/>
      <x:c r="E2183"/>
      <x:c r="F2183"/>
      <x:c r="G2183"/>
      <x:c r="H2183"/>
      <x:c r="I2183"/>
      <x:c r="J2183"/>
      <x:c r="K2183"/>
      <x:c r="L2183"/>
      <x:c r="M2183"/>
      <x:c r="N2183"/>
      <x:c r="O2183"/>
      <x:c r="P2183"/>
      <x:c r="Q2183"/>
      <x:c r="R2183"/>
      <x:c r="S2183"/>
      <x:c r="T2183"/>
      <x:c r="U2183"/>
      <x:c r="V2183"/>
      <x:c r="W2183"/>
    </x:row>
    <x:row r="2184">
      <x:c r="A2184"/>
      <x:c r="B2184"/>
      <x:c r="C2184"/>
      <x:c r="D2184"/>
      <x:c r="E2184"/>
      <x:c r="F2184"/>
      <x:c r="G2184"/>
      <x:c r="H2184"/>
      <x:c r="I2184"/>
      <x:c r="J2184"/>
      <x:c r="K2184"/>
      <x:c r="L2184"/>
      <x:c r="M2184"/>
      <x:c r="N2184"/>
      <x:c r="O2184"/>
      <x:c r="P2184"/>
      <x:c r="Q2184"/>
      <x:c r="R2184"/>
      <x:c r="S2184"/>
      <x:c r="T2184"/>
      <x:c r="U2184"/>
      <x:c r="V2184"/>
      <x:c r="W2184"/>
    </x:row>
    <x:row r="2185">
      <x:c r="A2185"/>
      <x:c r="B2185"/>
      <x:c r="C2185"/>
      <x:c r="D2185"/>
      <x:c r="E2185"/>
      <x:c r="F2185"/>
      <x:c r="G2185"/>
      <x:c r="H2185"/>
      <x:c r="I2185"/>
      <x:c r="J2185"/>
      <x:c r="K2185"/>
      <x:c r="L2185"/>
      <x:c r="M2185"/>
      <x:c r="N2185"/>
      <x:c r="O2185"/>
      <x:c r="P2185"/>
      <x:c r="Q2185"/>
      <x:c r="R2185"/>
      <x:c r="S2185"/>
      <x:c r="T2185"/>
      <x:c r="U2185"/>
      <x:c r="V2185"/>
      <x:c r="W2185"/>
    </x:row>
    <x:row r="2186">
      <x:c r="A2186"/>
      <x:c r="B2186"/>
      <x:c r="C2186"/>
      <x:c r="D2186"/>
      <x:c r="E2186"/>
      <x:c r="F2186"/>
      <x:c r="G2186"/>
      <x:c r="H2186"/>
      <x:c r="I2186"/>
      <x:c r="J2186"/>
      <x:c r="K2186"/>
      <x:c r="L2186"/>
      <x:c r="M2186"/>
      <x:c r="N2186"/>
      <x:c r="O2186"/>
      <x:c r="P2186"/>
      <x:c r="Q2186"/>
      <x:c r="R2186"/>
      <x:c r="S2186"/>
      <x:c r="T2186"/>
      <x:c r="U2186"/>
      <x:c r="V2186"/>
      <x:c r="W2186"/>
    </x:row>
    <x:row r="2187">
      <x:c r="A2187"/>
      <x:c r="B2187"/>
      <x:c r="C2187"/>
      <x:c r="D2187"/>
      <x:c r="E2187"/>
      <x:c r="F2187"/>
      <x:c r="G2187"/>
      <x:c r="H2187"/>
      <x:c r="I2187"/>
      <x:c r="J2187"/>
      <x:c r="K2187"/>
      <x:c r="L2187"/>
      <x:c r="M2187"/>
      <x:c r="N2187"/>
      <x:c r="O2187"/>
      <x:c r="P2187"/>
      <x:c r="Q2187"/>
      <x:c r="R2187"/>
      <x:c r="S2187"/>
      <x:c r="T2187"/>
      <x:c r="U2187"/>
      <x:c r="V2187"/>
      <x:c r="W2187"/>
    </x:row>
    <x:row r="2188">
      <x:c r="A2188"/>
      <x:c r="B2188"/>
      <x:c r="C2188"/>
      <x:c r="D2188"/>
      <x:c r="E2188"/>
      <x:c r="F2188"/>
      <x:c r="G2188"/>
      <x:c r="H2188"/>
      <x:c r="I2188"/>
      <x:c r="J2188"/>
      <x:c r="K2188"/>
      <x:c r="L2188"/>
      <x:c r="M2188"/>
      <x:c r="N2188"/>
      <x:c r="O2188"/>
      <x:c r="P2188"/>
      <x:c r="Q2188"/>
      <x:c r="R2188"/>
      <x:c r="S2188"/>
      <x:c r="T2188"/>
      <x:c r="U2188"/>
      <x:c r="V2188"/>
      <x:c r="W2188"/>
    </x:row>
    <x:row r="2189">
      <x:c r="A2189"/>
      <x:c r="B2189"/>
      <x:c r="C2189"/>
      <x:c r="D2189"/>
      <x:c r="E2189"/>
      <x:c r="F2189"/>
      <x:c r="G2189"/>
      <x:c r="H2189"/>
      <x:c r="I2189"/>
      <x:c r="J2189"/>
      <x:c r="K2189"/>
      <x:c r="L2189"/>
      <x:c r="M2189"/>
      <x:c r="N2189"/>
      <x:c r="O2189"/>
      <x:c r="P2189"/>
      <x:c r="Q2189"/>
      <x:c r="R2189"/>
      <x:c r="S2189"/>
      <x:c r="T2189"/>
      <x:c r="U2189"/>
      <x:c r="V2189"/>
      <x:c r="W2189"/>
    </x:row>
    <x:row r="2190">
      <x:c r="A2190"/>
      <x:c r="B2190"/>
      <x:c r="C2190"/>
      <x:c r="D2190"/>
      <x:c r="E2190"/>
      <x:c r="F2190"/>
      <x:c r="G2190"/>
      <x:c r="H2190"/>
      <x:c r="I2190"/>
      <x:c r="J2190"/>
      <x:c r="K2190"/>
      <x:c r="L2190"/>
      <x:c r="M2190"/>
      <x:c r="N2190"/>
      <x:c r="O2190"/>
      <x:c r="P2190"/>
      <x:c r="Q2190"/>
      <x:c r="R2190"/>
      <x:c r="S2190"/>
      <x:c r="T2190"/>
      <x:c r="U2190"/>
      <x:c r="V2190"/>
      <x:c r="W2190"/>
    </x:row>
    <x:row r="2191">
      <x:c r="A2191"/>
      <x:c r="B2191"/>
      <x:c r="C2191"/>
      <x:c r="D2191"/>
      <x:c r="E2191"/>
      <x:c r="F2191"/>
      <x:c r="G2191"/>
      <x:c r="H2191"/>
      <x:c r="I2191"/>
      <x:c r="J2191"/>
      <x:c r="K2191"/>
      <x:c r="L2191"/>
      <x:c r="M2191"/>
      <x:c r="N2191"/>
      <x:c r="O2191"/>
      <x:c r="P2191"/>
      <x:c r="Q2191"/>
      <x:c r="R2191"/>
      <x:c r="S2191"/>
      <x:c r="T2191"/>
      <x:c r="U2191"/>
      <x:c r="V2191"/>
      <x:c r="W2191"/>
    </x:row>
    <x:row r="2192">
      <x:c r="A2192"/>
      <x:c r="B2192"/>
      <x:c r="C2192"/>
      <x:c r="D2192"/>
      <x:c r="E2192"/>
      <x:c r="F2192"/>
      <x:c r="G2192"/>
      <x:c r="H2192"/>
      <x:c r="I2192"/>
      <x:c r="J2192"/>
      <x:c r="K2192"/>
      <x:c r="L2192"/>
      <x:c r="M2192"/>
      <x:c r="N2192"/>
      <x:c r="O2192"/>
      <x:c r="P2192"/>
      <x:c r="Q2192"/>
      <x:c r="R2192"/>
      <x:c r="S2192"/>
      <x:c r="T2192"/>
      <x:c r="U2192"/>
      <x:c r="V2192"/>
      <x:c r="W2192"/>
    </x:row>
    <x:row r="2193">
      <x:c r="A2193"/>
      <x:c r="B2193"/>
      <x:c r="C2193"/>
      <x:c r="D2193"/>
      <x:c r="E2193"/>
      <x:c r="F2193"/>
      <x:c r="G2193"/>
      <x:c r="H2193"/>
      <x:c r="I2193"/>
      <x:c r="J2193"/>
      <x:c r="K2193"/>
      <x:c r="L2193"/>
      <x:c r="M2193"/>
      <x:c r="N2193"/>
      <x:c r="O2193"/>
      <x:c r="P2193"/>
      <x:c r="Q2193"/>
      <x:c r="R2193"/>
      <x:c r="S2193"/>
      <x:c r="T2193"/>
      <x:c r="U2193"/>
      <x:c r="V2193"/>
      <x:c r="W2193"/>
    </x:row>
    <x:row r="2194">
      <x:c r="A2194"/>
      <x:c r="B2194"/>
      <x:c r="C2194"/>
      <x:c r="D2194"/>
      <x:c r="E2194"/>
      <x:c r="F2194"/>
      <x:c r="G2194"/>
      <x:c r="H2194"/>
      <x:c r="I2194"/>
      <x:c r="J2194"/>
      <x:c r="K2194"/>
      <x:c r="L2194"/>
      <x:c r="M2194"/>
      <x:c r="N2194"/>
      <x:c r="O2194"/>
      <x:c r="P2194"/>
      <x:c r="Q2194"/>
      <x:c r="R2194"/>
      <x:c r="S2194"/>
      <x:c r="T2194"/>
      <x:c r="U2194"/>
      <x:c r="V2194"/>
      <x:c r="W2194"/>
    </x:row>
    <x:row r="2195">
      <x:c r="A2195"/>
      <x:c r="B2195"/>
      <x:c r="C2195"/>
      <x:c r="D2195"/>
      <x:c r="E2195"/>
      <x:c r="F2195"/>
      <x:c r="G2195"/>
      <x:c r="H2195"/>
      <x:c r="I2195"/>
      <x:c r="J2195"/>
      <x:c r="K2195"/>
      <x:c r="L2195"/>
      <x:c r="M2195"/>
      <x:c r="N2195"/>
      <x:c r="O2195"/>
      <x:c r="P2195"/>
      <x:c r="Q2195"/>
      <x:c r="R2195"/>
      <x:c r="S2195"/>
      <x:c r="T2195"/>
      <x:c r="U2195"/>
      <x:c r="V2195"/>
      <x:c r="W2195"/>
    </x:row>
    <x:row r="2196">
      <x:c r="A2196"/>
      <x:c r="B2196"/>
      <x:c r="C2196"/>
      <x:c r="D2196"/>
      <x:c r="E2196"/>
      <x:c r="F2196"/>
      <x:c r="G2196"/>
      <x:c r="H2196"/>
      <x:c r="I2196"/>
      <x:c r="J2196"/>
      <x:c r="K2196"/>
      <x:c r="L2196"/>
      <x:c r="M2196"/>
      <x:c r="N2196"/>
      <x:c r="O2196"/>
      <x:c r="P2196"/>
      <x:c r="Q2196"/>
      <x:c r="R2196"/>
      <x:c r="S2196"/>
      <x:c r="T2196"/>
      <x:c r="U2196"/>
      <x:c r="V2196"/>
      <x:c r="W2196"/>
    </x:row>
    <x:row r="2197">
      <x:c r="A2197"/>
      <x:c r="B2197"/>
      <x:c r="C2197"/>
      <x:c r="D2197"/>
      <x:c r="E2197"/>
      <x:c r="F2197"/>
      <x:c r="G2197"/>
      <x:c r="H2197"/>
      <x:c r="I2197"/>
      <x:c r="J2197"/>
      <x:c r="K2197"/>
      <x:c r="L2197"/>
      <x:c r="M2197"/>
      <x:c r="N2197"/>
      <x:c r="O2197"/>
      <x:c r="P2197"/>
      <x:c r="Q2197"/>
      <x:c r="R2197"/>
      <x:c r="S2197"/>
      <x:c r="T2197"/>
      <x:c r="U2197"/>
      <x:c r="V2197"/>
      <x:c r="W2197"/>
    </x:row>
    <x:row r="2198">
      <x:c r="A2198"/>
      <x:c r="B2198"/>
      <x:c r="C2198"/>
      <x:c r="D2198"/>
      <x:c r="E2198"/>
      <x:c r="F2198"/>
      <x:c r="G2198"/>
      <x:c r="H2198"/>
      <x:c r="I2198"/>
      <x:c r="J2198"/>
      <x:c r="K2198"/>
      <x:c r="L2198"/>
      <x:c r="M2198"/>
      <x:c r="N2198"/>
      <x:c r="O2198"/>
      <x:c r="P2198"/>
      <x:c r="Q2198"/>
      <x:c r="R2198"/>
      <x:c r="S2198"/>
      <x:c r="T2198"/>
      <x:c r="U2198"/>
      <x:c r="V2198"/>
      <x:c r="W2198"/>
    </x:row>
    <x:row r="2199">
      <x:c r="A2199"/>
      <x:c r="B2199"/>
      <x:c r="C2199"/>
      <x:c r="D2199"/>
      <x:c r="E2199"/>
      <x:c r="F2199"/>
      <x:c r="G2199"/>
      <x:c r="H2199"/>
      <x:c r="I2199"/>
      <x:c r="J2199"/>
      <x:c r="K2199"/>
      <x:c r="L2199"/>
      <x:c r="M2199"/>
      <x:c r="N2199"/>
      <x:c r="O2199"/>
      <x:c r="P2199"/>
      <x:c r="Q2199"/>
      <x:c r="R2199"/>
      <x:c r="S2199"/>
      <x:c r="T2199"/>
      <x:c r="U2199"/>
      <x:c r="V2199"/>
      <x:c r="W2199"/>
    </x:row>
    <x:row r="2200">
      <x:c r="A2200"/>
      <x:c r="B2200"/>
      <x:c r="C2200"/>
      <x:c r="D2200"/>
      <x:c r="E2200"/>
      <x:c r="F2200"/>
      <x:c r="G2200"/>
      <x:c r="H2200"/>
      <x:c r="I2200"/>
      <x:c r="J2200"/>
      <x:c r="K2200"/>
      <x:c r="L2200"/>
      <x:c r="M2200"/>
      <x:c r="N2200"/>
      <x:c r="O2200"/>
      <x:c r="P2200"/>
      <x:c r="Q2200"/>
      <x:c r="R2200"/>
      <x:c r="S2200"/>
      <x:c r="T2200"/>
      <x:c r="U2200"/>
      <x:c r="V2200"/>
      <x:c r="W2200"/>
    </x:row>
    <x:row r="2201">
      <x:c r="A2201"/>
      <x:c r="B2201"/>
      <x:c r="C2201"/>
      <x:c r="D2201"/>
      <x:c r="E2201"/>
      <x:c r="F2201"/>
      <x:c r="G2201"/>
      <x:c r="H2201"/>
      <x:c r="I2201"/>
      <x:c r="J2201"/>
      <x:c r="K2201"/>
      <x:c r="L2201"/>
      <x:c r="M2201"/>
      <x:c r="N2201"/>
      <x:c r="O2201"/>
      <x:c r="P2201"/>
      <x:c r="Q2201"/>
      <x:c r="R2201"/>
      <x:c r="S2201"/>
      <x:c r="T2201"/>
      <x:c r="U2201"/>
      <x:c r="V2201"/>
      <x:c r="W2201"/>
    </x:row>
    <x:row r="2202">
      <x:c r="A2202"/>
      <x:c r="B2202"/>
      <x:c r="C2202"/>
      <x:c r="D2202"/>
      <x:c r="E2202"/>
      <x:c r="F2202"/>
      <x:c r="G2202"/>
      <x:c r="H2202"/>
      <x:c r="I2202"/>
      <x:c r="J2202"/>
      <x:c r="K2202"/>
      <x:c r="L2202"/>
      <x:c r="M2202"/>
      <x:c r="N2202"/>
      <x:c r="O2202"/>
      <x:c r="P2202"/>
      <x:c r="Q2202"/>
      <x:c r="R2202"/>
      <x:c r="S2202"/>
      <x:c r="T2202"/>
      <x:c r="U2202"/>
      <x:c r="V2202"/>
      <x:c r="W2202"/>
    </x:row>
    <x:row r="2203">
      <x:c r="A2203"/>
      <x:c r="B2203"/>
      <x:c r="C2203"/>
      <x:c r="D2203"/>
      <x:c r="E2203"/>
      <x:c r="F2203"/>
      <x:c r="G2203"/>
      <x:c r="H2203"/>
      <x:c r="I2203"/>
      <x:c r="J2203"/>
      <x:c r="K2203"/>
      <x:c r="L2203"/>
      <x:c r="M2203"/>
      <x:c r="N2203"/>
      <x:c r="O2203"/>
      <x:c r="P2203"/>
      <x:c r="Q2203"/>
      <x:c r="R2203"/>
      <x:c r="S2203"/>
      <x:c r="T2203"/>
      <x:c r="U2203"/>
      <x:c r="V2203"/>
      <x:c r="W2203"/>
    </x:row>
    <x:row r="2204">
      <x:c r="A2204"/>
      <x:c r="B2204"/>
      <x:c r="C2204"/>
      <x:c r="D2204"/>
      <x:c r="E2204"/>
      <x:c r="F2204"/>
      <x:c r="G2204"/>
      <x:c r="H2204"/>
      <x:c r="I2204"/>
      <x:c r="J2204"/>
      <x:c r="K2204"/>
      <x:c r="L2204"/>
      <x:c r="M2204"/>
      <x:c r="N2204"/>
      <x:c r="O2204"/>
      <x:c r="P2204"/>
      <x:c r="Q2204"/>
      <x:c r="R2204"/>
      <x:c r="S2204"/>
      <x:c r="T2204"/>
      <x:c r="U2204"/>
      <x:c r="V2204"/>
      <x:c r="W2204"/>
    </x:row>
    <x:row r="2205">
      <x:c r="A2205"/>
      <x:c r="B2205"/>
      <x:c r="C2205"/>
      <x:c r="D2205"/>
      <x:c r="E2205"/>
      <x:c r="F2205"/>
      <x:c r="G2205"/>
      <x:c r="H2205"/>
      <x:c r="I2205"/>
      <x:c r="J2205"/>
      <x:c r="K2205"/>
      <x:c r="L2205"/>
      <x:c r="M2205"/>
      <x:c r="N2205"/>
      <x:c r="O2205"/>
      <x:c r="P2205"/>
      <x:c r="Q2205"/>
      <x:c r="R2205"/>
      <x:c r="S2205"/>
      <x:c r="T2205"/>
      <x:c r="U2205"/>
      <x:c r="V2205"/>
      <x:c r="W2205"/>
    </x:row>
    <x:row r="2206">
      <x:c r="A2206"/>
      <x:c r="B2206"/>
      <x:c r="C2206"/>
      <x:c r="D2206"/>
      <x:c r="E2206"/>
      <x:c r="F2206"/>
      <x:c r="G2206"/>
      <x:c r="H2206"/>
      <x:c r="I2206"/>
      <x:c r="J2206"/>
      <x:c r="K2206"/>
      <x:c r="L2206"/>
      <x:c r="M2206"/>
      <x:c r="N2206"/>
      <x:c r="O2206"/>
      <x:c r="P2206"/>
      <x:c r="Q2206"/>
      <x:c r="R2206"/>
      <x:c r="S2206"/>
      <x:c r="T2206"/>
      <x:c r="U2206"/>
      <x:c r="V2206"/>
      <x:c r="W2206"/>
    </x:row>
    <x:row r="2207">
      <x:c r="A2207"/>
      <x:c r="B2207"/>
      <x:c r="C2207"/>
      <x:c r="D2207"/>
      <x:c r="E2207"/>
      <x:c r="F2207"/>
      <x:c r="G2207"/>
      <x:c r="H2207"/>
      <x:c r="I2207"/>
      <x:c r="J2207"/>
      <x:c r="K2207"/>
      <x:c r="L2207"/>
      <x:c r="M2207"/>
      <x:c r="N2207"/>
      <x:c r="O2207"/>
      <x:c r="P2207"/>
      <x:c r="Q2207"/>
      <x:c r="R2207"/>
      <x:c r="S2207"/>
      <x:c r="T2207"/>
      <x:c r="U2207"/>
      <x:c r="V2207"/>
      <x:c r="W2207"/>
    </x:row>
    <x:row r="2208">
      <x:c r="A2208"/>
      <x:c r="B2208"/>
      <x:c r="C2208"/>
      <x:c r="D2208"/>
      <x:c r="E2208"/>
      <x:c r="F2208"/>
      <x:c r="G2208"/>
      <x:c r="H2208"/>
      <x:c r="I2208"/>
      <x:c r="J2208"/>
      <x:c r="K2208"/>
      <x:c r="L2208"/>
      <x:c r="M2208"/>
      <x:c r="N2208"/>
      <x:c r="O2208"/>
      <x:c r="P2208"/>
      <x:c r="Q2208"/>
      <x:c r="R2208"/>
      <x:c r="S2208"/>
      <x:c r="T2208"/>
      <x:c r="U2208"/>
      <x:c r="V2208"/>
      <x:c r="W2208"/>
    </x:row>
    <x:row r="2209">
      <x:c r="A2209"/>
      <x:c r="B2209"/>
      <x:c r="C2209"/>
      <x:c r="D2209"/>
      <x:c r="E2209"/>
      <x:c r="F2209"/>
      <x:c r="G2209"/>
      <x:c r="H2209"/>
      <x:c r="I2209"/>
      <x:c r="J2209"/>
      <x:c r="K2209"/>
      <x:c r="L2209"/>
      <x:c r="M2209"/>
      <x:c r="N2209"/>
      <x:c r="O2209"/>
      <x:c r="P2209"/>
      <x:c r="Q2209"/>
      <x:c r="R2209"/>
      <x:c r="S2209"/>
      <x:c r="T2209"/>
      <x:c r="U2209"/>
      <x:c r="V2209"/>
      <x:c r="W2209"/>
    </x:row>
    <x:row r="2210">
      <x:c r="A2210"/>
      <x:c r="B2210"/>
      <x:c r="C2210"/>
      <x:c r="D2210"/>
      <x:c r="E2210"/>
      <x:c r="F2210"/>
      <x:c r="G2210"/>
      <x:c r="H2210"/>
      <x:c r="I2210"/>
      <x:c r="J2210"/>
      <x:c r="K2210"/>
      <x:c r="L2210"/>
      <x:c r="M2210"/>
      <x:c r="N2210"/>
      <x:c r="O2210"/>
      <x:c r="P2210"/>
      <x:c r="Q2210"/>
      <x:c r="R2210"/>
      <x:c r="S2210"/>
      <x:c r="T2210"/>
      <x:c r="U2210"/>
      <x:c r="V2210"/>
      <x:c r="W2210"/>
    </x:row>
    <x:row r="2211">
      <x:c r="A2211"/>
      <x:c r="B2211"/>
      <x:c r="C2211"/>
      <x:c r="D2211"/>
      <x:c r="E2211"/>
      <x:c r="F2211"/>
      <x:c r="G2211"/>
      <x:c r="H2211"/>
      <x:c r="I2211"/>
      <x:c r="J2211"/>
      <x:c r="K2211"/>
      <x:c r="L2211"/>
      <x:c r="M2211"/>
      <x:c r="N2211"/>
      <x:c r="O2211"/>
      <x:c r="P2211"/>
      <x:c r="Q2211"/>
      <x:c r="R2211"/>
      <x:c r="S2211"/>
      <x:c r="T2211"/>
      <x:c r="U2211"/>
      <x:c r="V2211"/>
      <x:c r="W2211"/>
    </x:row>
    <x:row r="2212">
      <x:c r="A2212"/>
      <x:c r="B2212"/>
      <x:c r="C2212"/>
      <x:c r="D2212"/>
      <x:c r="E2212"/>
      <x:c r="F2212"/>
      <x:c r="G2212"/>
      <x:c r="H2212"/>
      <x:c r="I2212"/>
      <x:c r="J2212"/>
      <x:c r="K2212"/>
      <x:c r="L2212"/>
      <x:c r="M2212"/>
      <x:c r="N2212"/>
      <x:c r="O2212"/>
      <x:c r="P2212"/>
      <x:c r="Q2212"/>
      <x:c r="R2212"/>
      <x:c r="S2212"/>
      <x:c r="T2212"/>
      <x:c r="U2212"/>
      <x:c r="V2212"/>
      <x:c r="W2212"/>
    </x:row>
    <x:row r="2213">
      <x:c r="A2213"/>
      <x:c r="B2213"/>
      <x:c r="C2213"/>
      <x:c r="D2213"/>
      <x:c r="E2213"/>
      <x:c r="F2213"/>
      <x:c r="G2213"/>
      <x:c r="H2213"/>
      <x:c r="I2213"/>
      <x:c r="J2213"/>
      <x:c r="K2213"/>
      <x:c r="L2213"/>
      <x:c r="M2213"/>
      <x:c r="N2213"/>
      <x:c r="O2213"/>
      <x:c r="P2213"/>
      <x:c r="Q2213"/>
      <x:c r="R2213"/>
      <x:c r="S2213"/>
      <x:c r="T2213"/>
      <x:c r="U2213"/>
      <x:c r="V2213"/>
      <x:c r="W2213"/>
    </x:row>
    <x:row r="2214">
      <x:c r="A2214"/>
      <x:c r="B2214"/>
      <x:c r="C2214"/>
      <x:c r="D2214"/>
      <x:c r="E2214"/>
      <x:c r="F2214"/>
      <x:c r="G2214"/>
      <x:c r="H2214"/>
      <x:c r="I2214"/>
      <x:c r="J2214"/>
      <x:c r="K2214"/>
      <x:c r="L2214"/>
      <x:c r="M2214"/>
      <x:c r="N2214"/>
      <x:c r="O2214"/>
      <x:c r="P2214"/>
      <x:c r="Q2214"/>
      <x:c r="R2214"/>
      <x:c r="S2214"/>
      <x:c r="T2214"/>
      <x:c r="U2214"/>
      <x:c r="V2214"/>
      <x:c r="W2214"/>
    </x:row>
    <x:row r="2215">
      <x:c r="A2215"/>
      <x:c r="B2215"/>
      <x:c r="C2215"/>
      <x:c r="D2215"/>
      <x:c r="E2215"/>
      <x:c r="F2215"/>
      <x:c r="G2215"/>
      <x:c r="H2215"/>
      <x:c r="I2215"/>
      <x:c r="J2215"/>
      <x:c r="K2215"/>
      <x:c r="L2215"/>
      <x:c r="M2215"/>
      <x:c r="N2215"/>
      <x:c r="O2215"/>
      <x:c r="P2215"/>
      <x:c r="Q2215"/>
      <x:c r="R2215"/>
      <x:c r="S2215"/>
      <x:c r="T2215"/>
      <x:c r="U2215"/>
      <x:c r="V2215"/>
      <x:c r="W2215"/>
    </x:row>
    <x:row r="2216">
      <x:c r="A2216"/>
      <x:c r="B2216"/>
      <x:c r="C2216"/>
      <x:c r="D2216"/>
      <x:c r="E2216"/>
      <x:c r="F2216"/>
      <x:c r="G2216"/>
      <x:c r="H2216"/>
      <x:c r="I2216"/>
      <x:c r="J2216"/>
      <x:c r="K2216"/>
      <x:c r="L2216"/>
      <x:c r="M2216"/>
      <x:c r="N2216"/>
      <x:c r="O2216"/>
      <x:c r="P2216"/>
      <x:c r="Q2216"/>
      <x:c r="R2216"/>
      <x:c r="S2216"/>
      <x:c r="T2216"/>
      <x:c r="U2216"/>
      <x:c r="V2216"/>
      <x:c r="W2216"/>
    </x:row>
    <x:row r="2217">
      <x:c r="A2217"/>
      <x:c r="B2217"/>
      <x:c r="C2217"/>
      <x:c r="D2217"/>
      <x:c r="E2217"/>
      <x:c r="F2217"/>
      <x:c r="G2217"/>
      <x:c r="H2217"/>
      <x:c r="I2217"/>
      <x:c r="J2217"/>
      <x:c r="K2217"/>
      <x:c r="L2217"/>
      <x:c r="M2217"/>
      <x:c r="N2217"/>
      <x:c r="O2217"/>
      <x:c r="P2217"/>
      <x:c r="Q2217"/>
      <x:c r="R2217"/>
      <x:c r="S2217"/>
      <x:c r="T2217"/>
      <x:c r="U2217"/>
      <x:c r="V2217"/>
      <x:c r="W2217"/>
    </x:row>
    <x:row r="2218">
      <x:c r="A2218"/>
      <x:c r="B2218"/>
      <x:c r="C2218"/>
      <x:c r="D2218"/>
      <x:c r="E2218"/>
      <x:c r="F2218"/>
      <x:c r="G2218"/>
      <x:c r="H2218"/>
      <x:c r="I2218"/>
      <x:c r="J2218"/>
      <x:c r="K2218"/>
      <x:c r="L2218"/>
      <x:c r="M2218"/>
      <x:c r="N2218"/>
      <x:c r="O2218"/>
      <x:c r="P2218"/>
      <x:c r="Q2218"/>
      <x:c r="R2218"/>
      <x:c r="S2218"/>
      <x:c r="T2218"/>
      <x:c r="U2218"/>
      <x:c r="V2218"/>
      <x:c r="W2218"/>
    </x:row>
    <x:row r="2219">
      <x:c r="A2219"/>
      <x:c r="B2219"/>
      <x:c r="C2219"/>
      <x:c r="D2219"/>
      <x:c r="E2219"/>
      <x:c r="F2219"/>
      <x:c r="G2219"/>
      <x:c r="H2219"/>
      <x:c r="I2219"/>
      <x:c r="J2219"/>
      <x:c r="K2219"/>
      <x:c r="L2219"/>
      <x:c r="M2219"/>
      <x:c r="N2219"/>
      <x:c r="O2219"/>
      <x:c r="P2219"/>
      <x:c r="Q2219"/>
      <x:c r="R2219"/>
      <x:c r="S2219"/>
      <x:c r="T2219"/>
      <x:c r="U2219"/>
      <x:c r="V2219"/>
      <x:c r="W2219"/>
    </x:row>
    <x:row r="2220">
      <x:c r="A2220"/>
      <x:c r="B2220"/>
      <x:c r="C2220"/>
      <x:c r="D2220"/>
      <x:c r="E2220"/>
      <x:c r="F2220"/>
      <x:c r="G2220"/>
      <x:c r="H2220"/>
      <x:c r="I2220"/>
      <x:c r="J2220"/>
      <x:c r="K2220"/>
      <x:c r="L2220"/>
      <x:c r="M2220"/>
      <x:c r="N2220"/>
      <x:c r="O2220"/>
      <x:c r="P2220"/>
      <x:c r="Q2220"/>
      <x:c r="R2220"/>
      <x:c r="S2220"/>
      <x:c r="T2220"/>
      <x:c r="U2220"/>
      <x:c r="V2220"/>
      <x:c r="W2220"/>
    </x:row>
    <x:row r="2221">
      <x:c r="A2221"/>
      <x:c r="B2221"/>
      <x:c r="C2221"/>
      <x:c r="D2221"/>
      <x:c r="E2221"/>
      <x:c r="F2221"/>
      <x:c r="G2221"/>
      <x:c r="H2221"/>
      <x:c r="I2221"/>
      <x:c r="J2221"/>
      <x:c r="K2221"/>
      <x:c r="L2221"/>
      <x:c r="M2221"/>
      <x:c r="N2221"/>
      <x:c r="O2221"/>
      <x:c r="P2221"/>
      <x:c r="Q2221"/>
      <x:c r="R2221"/>
      <x:c r="S2221"/>
      <x:c r="T2221"/>
      <x:c r="U2221"/>
      <x:c r="V2221"/>
      <x:c r="W2221"/>
    </x:row>
    <x:row r="2222">
      <x:c r="A2222"/>
      <x:c r="B2222"/>
      <x:c r="C2222"/>
      <x:c r="D2222"/>
      <x:c r="E2222"/>
      <x:c r="F2222"/>
      <x:c r="G2222"/>
      <x:c r="H2222"/>
      <x:c r="I2222"/>
      <x:c r="J2222"/>
      <x:c r="K2222"/>
      <x:c r="L2222"/>
      <x:c r="M2222"/>
      <x:c r="N2222"/>
      <x:c r="O2222"/>
      <x:c r="P2222"/>
      <x:c r="Q2222"/>
      <x:c r="R2222"/>
      <x:c r="S2222"/>
      <x:c r="T2222"/>
      <x:c r="U2222"/>
      <x:c r="V2222"/>
      <x:c r="W2222"/>
    </x:row>
    <x:row r="2223">
      <x:c r="A2223"/>
      <x:c r="B2223"/>
      <x:c r="C2223"/>
      <x:c r="D2223"/>
      <x:c r="E2223"/>
      <x:c r="F2223"/>
      <x:c r="G2223"/>
      <x:c r="H2223"/>
      <x:c r="I2223"/>
      <x:c r="J2223"/>
      <x:c r="K2223"/>
      <x:c r="L2223"/>
      <x:c r="M2223"/>
      <x:c r="N2223"/>
      <x:c r="O2223"/>
      <x:c r="P2223"/>
      <x:c r="Q2223"/>
      <x:c r="R2223"/>
      <x:c r="S2223"/>
      <x:c r="T2223"/>
      <x:c r="U2223"/>
      <x:c r="V2223"/>
      <x:c r="W2223"/>
    </x:row>
    <x:row r="2224">
      <x:c r="A2224"/>
      <x:c r="B2224"/>
      <x:c r="C2224"/>
      <x:c r="D2224"/>
      <x:c r="E2224"/>
      <x:c r="F2224"/>
      <x:c r="G2224"/>
      <x:c r="H2224"/>
      <x:c r="I2224"/>
      <x:c r="J2224"/>
      <x:c r="K2224"/>
      <x:c r="L2224"/>
      <x:c r="M2224"/>
      <x:c r="N2224"/>
      <x:c r="O2224"/>
      <x:c r="P2224"/>
      <x:c r="Q2224"/>
      <x:c r="R2224"/>
      <x:c r="S2224"/>
      <x:c r="T2224"/>
      <x:c r="U2224"/>
      <x:c r="V2224"/>
      <x:c r="W2224"/>
    </x:row>
    <x:row r="2225">
      <x:c r="A2225"/>
      <x:c r="B2225"/>
      <x:c r="C2225"/>
      <x:c r="D2225"/>
      <x:c r="E2225"/>
      <x:c r="F2225"/>
      <x:c r="G2225"/>
      <x:c r="H2225"/>
      <x:c r="I2225"/>
      <x:c r="J2225"/>
      <x:c r="K2225"/>
      <x:c r="L2225"/>
      <x:c r="M2225"/>
      <x:c r="N2225"/>
      <x:c r="O2225"/>
      <x:c r="P2225"/>
      <x:c r="Q2225"/>
      <x:c r="R2225"/>
      <x:c r="S2225"/>
      <x:c r="T2225"/>
      <x:c r="U2225"/>
      <x:c r="V2225"/>
      <x:c r="W2225"/>
    </x:row>
    <x:row r="2226">
      <x:c r="A2226"/>
      <x:c r="B2226"/>
      <x:c r="C2226"/>
      <x:c r="D2226"/>
      <x:c r="E2226"/>
      <x:c r="F2226"/>
      <x:c r="G2226"/>
      <x:c r="H2226"/>
      <x:c r="I2226"/>
      <x:c r="J2226"/>
      <x:c r="K2226"/>
      <x:c r="L2226"/>
      <x:c r="M2226"/>
      <x:c r="N2226"/>
      <x:c r="O2226"/>
      <x:c r="P2226"/>
      <x:c r="Q2226"/>
      <x:c r="R2226"/>
      <x:c r="S2226"/>
      <x:c r="T2226"/>
      <x:c r="U2226"/>
      <x:c r="V2226"/>
      <x:c r="W2226"/>
    </x:row>
    <x:row r="2227">
      <x:c r="A2227"/>
      <x:c r="B2227"/>
      <x:c r="C2227"/>
      <x:c r="D2227"/>
      <x:c r="E2227"/>
      <x:c r="F2227"/>
      <x:c r="G2227"/>
      <x:c r="H2227"/>
      <x:c r="I2227"/>
      <x:c r="J2227"/>
      <x:c r="K2227"/>
      <x:c r="L2227"/>
      <x:c r="M2227"/>
      <x:c r="N2227"/>
      <x:c r="O2227"/>
      <x:c r="P2227"/>
      <x:c r="Q2227"/>
      <x:c r="R2227"/>
      <x:c r="S2227"/>
      <x:c r="T2227"/>
      <x:c r="U2227"/>
      <x:c r="V2227"/>
      <x:c r="W2227"/>
    </x:row>
    <x:row r="2228">
      <x:c r="A2228"/>
      <x:c r="B2228"/>
      <x:c r="C2228"/>
      <x:c r="D2228"/>
      <x:c r="E2228"/>
      <x:c r="F2228"/>
      <x:c r="G2228"/>
      <x:c r="H2228"/>
      <x:c r="I2228"/>
      <x:c r="J2228"/>
      <x:c r="K2228"/>
      <x:c r="L2228"/>
      <x:c r="M2228"/>
      <x:c r="N2228"/>
      <x:c r="O2228"/>
      <x:c r="P2228"/>
      <x:c r="Q2228"/>
      <x:c r="R2228"/>
      <x:c r="S2228"/>
      <x:c r="T2228"/>
      <x:c r="U2228"/>
      <x:c r="V2228"/>
      <x:c r="W2228"/>
    </x:row>
    <x:row r="2229">
      <x:c r="A2229"/>
      <x:c r="B2229"/>
      <x:c r="C2229"/>
      <x:c r="D2229"/>
      <x:c r="E2229"/>
      <x:c r="F2229"/>
      <x:c r="G2229"/>
      <x:c r="H2229"/>
      <x:c r="I2229"/>
      <x:c r="J2229"/>
      <x:c r="K2229"/>
      <x:c r="L2229"/>
      <x:c r="M2229"/>
      <x:c r="N2229"/>
      <x:c r="O2229"/>
      <x:c r="P2229"/>
      <x:c r="Q2229"/>
      <x:c r="R2229"/>
      <x:c r="S2229"/>
      <x:c r="T2229"/>
      <x:c r="U2229"/>
      <x:c r="V2229"/>
      <x:c r="W2229"/>
    </x:row>
    <x:row r="2230">
      <x:c r="A2230"/>
      <x:c r="B2230"/>
      <x:c r="C2230"/>
      <x:c r="D2230"/>
      <x:c r="E2230"/>
      <x:c r="F2230"/>
      <x:c r="G2230"/>
      <x:c r="H2230"/>
      <x:c r="I2230"/>
      <x:c r="J2230"/>
      <x:c r="K2230"/>
      <x:c r="L2230"/>
      <x:c r="M2230"/>
      <x:c r="N2230"/>
      <x:c r="O2230"/>
      <x:c r="P2230"/>
      <x:c r="Q2230"/>
      <x:c r="R2230"/>
      <x:c r="S2230"/>
      <x:c r="T2230"/>
      <x:c r="U2230"/>
      <x:c r="V2230"/>
      <x:c r="W2230"/>
    </x:row>
    <x:row r="2231">
      <x:c r="A2231"/>
      <x:c r="B2231"/>
      <x:c r="C2231"/>
      <x:c r="D2231"/>
      <x:c r="E2231"/>
      <x:c r="F2231"/>
      <x:c r="G2231"/>
      <x:c r="H2231"/>
      <x:c r="I2231"/>
      <x:c r="J2231"/>
      <x:c r="K2231"/>
      <x:c r="L2231"/>
      <x:c r="M2231"/>
      <x:c r="N2231"/>
      <x:c r="O2231"/>
      <x:c r="P2231"/>
      <x:c r="Q2231"/>
      <x:c r="R2231"/>
      <x:c r="S2231"/>
      <x:c r="T2231"/>
      <x:c r="U2231"/>
      <x:c r="V2231"/>
      <x:c r="W2231"/>
    </x:row>
    <x:row r="2232">
      <x:c r="A2232"/>
      <x:c r="B2232"/>
      <x:c r="C2232"/>
      <x:c r="D2232"/>
      <x:c r="E2232"/>
      <x:c r="F2232"/>
      <x:c r="G2232"/>
      <x:c r="H2232"/>
      <x:c r="I2232"/>
      <x:c r="J2232"/>
      <x:c r="K2232"/>
      <x:c r="L2232"/>
      <x:c r="M2232"/>
      <x:c r="N2232"/>
      <x:c r="O2232"/>
      <x:c r="P2232"/>
      <x:c r="Q2232"/>
      <x:c r="R2232"/>
      <x:c r="S2232"/>
      <x:c r="T2232"/>
      <x:c r="U2232"/>
      <x:c r="V2232"/>
      <x:c r="W2232"/>
    </x:row>
    <x:row r="2233">
      <x:c r="A2233"/>
      <x:c r="B2233"/>
      <x:c r="C2233"/>
      <x:c r="D2233"/>
      <x:c r="E2233"/>
      <x:c r="F2233"/>
      <x:c r="G2233"/>
      <x:c r="H2233"/>
      <x:c r="I2233"/>
      <x:c r="J2233"/>
      <x:c r="K2233"/>
      <x:c r="L2233"/>
      <x:c r="M2233"/>
      <x:c r="N2233"/>
      <x:c r="O2233"/>
      <x:c r="P2233"/>
      <x:c r="Q2233"/>
      <x:c r="R2233"/>
      <x:c r="S2233"/>
      <x:c r="T2233"/>
      <x:c r="U2233"/>
      <x:c r="V2233"/>
      <x:c r="W2233"/>
    </x:row>
    <x:row r="2234">
      <x:c r="A2234"/>
      <x:c r="B2234"/>
      <x:c r="C2234"/>
      <x:c r="D2234"/>
      <x:c r="E2234"/>
      <x:c r="F2234"/>
      <x:c r="G2234"/>
      <x:c r="H2234"/>
      <x:c r="I2234"/>
      <x:c r="J2234"/>
      <x:c r="K2234"/>
      <x:c r="L2234"/>
      <x:c r="M2234"/>
      <x:c r="N2234"/>
      <x:c r="O2234"/>
      <x:c r="P2234"/>
      <x:c r="Q2234"/>
      <x:c r="R2234"/>
      <x:c r="S2234"/>
      <x:c r="T2234"/>
      <x:c r="U2234"/>
      <x:c r="V2234"/>
      <x:c r="W2234"/>
    </x:row>
    <x:row r="2235">
      <x:c r="A2235"/>
      <x:c r="B2235"/>
      <x:c r="C2235"/>
      <x:c r="D2235"/>
      <x:c r="E2235"/>
      <x:c r="F2235"/>
      <x:c r="G2235"/>
      <x:c r="H2235"/>
      <x:c r="I2235"/>
      <x:c r="J2235"/>
      <x:c r="K2235"/>
      <x:c r="L2235"/>
      <x:c r="M2235"/>
      <x:c r="N2235"/>
      <x:c r="O2235"/>
      <x:c r="P2235"/>
      <x:c r="Q2235"/>
      <x:c r="R2235"/>
      <x:c r="S2235"/>
      <x:c r="T2235"/>
      <x:c r="U2235"/>
      <x:c r="V2235"/>
      <x:c r="W2235"/>
    </x:row>
    <x:row r="2236">
      <x:c r="A2236"/>
      <x:c r="B2236"/>
      <x:c r="C2236"/>
      <x:c r="D2236"/>
      <x:c r="E2236"/>
      <x:c r="F2236"/>
      <x:c r="G2236"/>
      <x:c r="H2236"/>
      <x:c r="I2236"/>
      <x:c r="J2236"/>
      <x:c r="K2236"/>
      <x:c r="L2236"/>
      <x:c r="M2236"/>
      <x:c r="N2236"/>
      <x:c r="O2236"/>
      <x:c r="P2236"/>
      <x:c r="Q2236"/>
      <x:c r="R2236"/>
      <x:c r="S2236"/>
      <x:c r="T2236"/>
      <x:c r="U2236"/>
      <x:c r="V2236"/>
      <x:c r="W2236"/>
    </x:row>
    <x:row r="2237">
      <x:c r="A2237"/>
      <x:c r="B2237"/>
      <x:c r="C2237"/>
      <x:c r="D2237"/>
      <x:c r="E2237"/>
      <x:c r="F2237"/>
      <x:c r="G2237"/>
      <x:c r="H2237"/>
      <x:c r="I2237"/>
      <x:c r="J2237"/>
      <x:c r="K2237"/>
      <x:c r="L2237"/>
      <x:c r="M2237"/>
      <x:c r="N2237"/>
      <x:c r="O2237"/>
      <x:c r="P2237"/>
      <x:c r="Q2237"/>
      <x:c r="R2237"/>
      <x:c r="S2237"/>
      <x:c r="T2237"/>
      <x:c r="U2237"/>
      <x:c r="V2237"/>
      <x:c r="W2237"/>
    </x:row>
    <x:row r="2238">
      <x:c r="A2238"/>
      <x:c r="B2238"/>
      <x:c r="C2238"/>
      <x:c r="D2238"/>
      <x:c r="E2238"/>
      <x:c r="F2238"/>
      <x:c r="G2238"/>
      <x:c r="H2238"/>
      <x:c r="I2238"/>
      <x:c r="J2238"/>
      <x:c r="K2238"/>
      <x:c r="L2238"/>
      <x:c r="M2238"/>
      <x:c r="N2238"/>
      <x:c r="O2238"/>
      <x:c r="P2238"/>
      <x:c r="Q2238"/>
      <x:c r="R2238"/>
      <x:c r="S2238"/>
      <x:c r="T2238"/>
      <x:c r="U2238"/>
      <x:c r="V2238"/>
      <x:c r="W2238"/>
    </x:row>
    <x:row r="2239">
      <x:c r="A2239"/>
      <x:c r="B2239"/>
      <x:c r="C2239"/>
      <x:c r="D2239"/>
      <x:c r="E2239"/>
      <x:c r="F2239"/>
      <x:c r="G2239"/>
      <x:c r="H2239"/>
      <x:c r="I2239"/>
      <x:c r="J2239"/>
      <x:c r="K2239"/>
      <x:c r="L2239"/>
      <x:c r="M2239"/>
      <x:c r="N2239"/>
      <x:c r="O2239"/>
      <x:c r="P2239"/>
      <x:c r="Q2239"/>
      <x:c r="R2239"/>
      <x:c r="S2239"/>
      <x:c r="T2239"/>
      <x:c r="U2239"/>
      <x:c r="V2239"/>
      <x:c r="W2239"/>
    </x:row>
    <x:row r="2240">
      <x:c r="A2240"/>
      <x:c r="B2240"/>
      <x:c r="C2240"/>
      <x:c r="D2240"/>
      <x:c r="E2240"/>
      <x:c r="F2240"/>
      <x:c r="G2240"/>
      <x:c r="H2240"/>
      <x:c r="I2240"/>
      <x:c r="J2240"/>
      <x:c r="K2240"/>
      <x:c r="L2240"/>
      <x:c r="M2240"/>
      <x:c r="N2240"/>
      <x:c r="O2240"/>
      <x:c r="P2240"/>
      <x:c r="Q2240"/>
      <x:c r="R2240"/>
      <x:c r="S2240"/>
      <x:c r="T2240"/>
      <x:c r="U2240"/>
      <x:c r="V2240"/>
      <x:c r="W2240"/>
    </x:row>
    <x:row r="2241">
      <x:c r="A2241"/>
      <x:c r="B2241"/>
      <x:c r="C2241"/>
      <x:c r="D2241"/>
      <x:c r="E2241"/>
      <x:c r="F2241"/>
      <x:c r="G2241"/>
      <x:c r="H2241"/>
      <x:c r="I2241"/>
      <x:c r="J2241"/>
      <x:c r="K2241"/>
      <x:c r="L2241"/>
      <x:c r="M2241"/>
      <x:c r="N2241"/>
      <x:c r="O2241"/>
      <x:c r="P2241"/>
      <x:c r="Q2241"/>
      <x:c r="R2241"/>
      <x:c r="S2241"/>
      <x:c r="T2241"/>
      <x:c r="U2241"/>
      <x:c r="V2241"/>
      <x:c r="W2241"/>
    </x:row>
    <x:row r="2242">
      <x:c r="A2242"/>
      <x:c r="B2242"/>
      <x:c r="C2242"/>
      <x:c r="D2242"/>
      <x:c r="E2242"/>
      <x:c r="F2242"/>
      <x:c r="G2242"/>
      <x:c r="H2242"/>
      <x:c r="I2242"/>
      <x:c r="J2242"/>
      <x:c r="K2242"/>
      <x:c r="L2242"/>
      <x:c r="M2242"/>
      <x:c r="N2242"/>
      <x:c r="O2242"/>
      <x:c r="P2242"/>
      <x:c r="Q2242"/>
      <x:c r="R2242"/>
      <x:c r="S2242"/>
      <x:c r="T2242"/>
      <x:c r="U2242"/>
      <x:c r="V2242"/>
      <x:c r="W2242"/>
    </x:row>
    <x:row r="2243">
      <x:c r="A2243"/>
      <x:c r="B2243"/>
      <x:c r="C2243"/>
      <x:c r="D2243"/>
      <x:c r="E2243"/>
      <x:c r="F2243"/>
      <x:c r="G2243"/>
      <x:c r="H2243"/>
      <x:c r="I2243"/>
      <x:c r="J2243"/>
      <x:c r="K2243"/>
      <x:c r="L2243"/>
      <x:c r="M2243"/>
      <x:c r="N2243"/>
      <x:c r="O2243"/>
      <x:c r="P2243"/>
      <x:c r="Q2243"/>
      <x:c r="R2243"/>
      <x:c r="S2243"/>
      <x:c r="T2243"/>
      <x:c r="U2243"/>
      <x:c r="V2243"/>
      <x:c r="W2243"/>
    </x:row>
    <x:row r="2244">
      <x:c r="A2244"/>
      <x:c r="B2244"/>
      <x:c r="C2244"/>
      <x:c r="D2244"/>
      <x:c r="E2244"/>
      <x:c r="F2244"/>
      <x:c r="G2244"/>
      <x:c r="H2244"/>
      <x:c r="I2244"/>
      <x:c r="J2244"/>
      <x:c r="K2244"/>
      <x:c r="L2244"/>
      <x:c r="M2244"/>
      <x:c r="N2244"/>
      <x:c r="O2244"/>
      <x:c r="P2244"/>
      <x:c r="Q2244"/>
      <x:c r="R2244"/>
      <x:c r="S2244"/>
      <x:c r="T2244"/>
      <x:c r="U2244"/>
      <x:c r="V2244"/>
      <x:c r="W2244"/>
    </x:row>
    <x:row r="2245">
      <x:c r="A2245"/>
      <x:c r="B2245"/>
      <x:c r="C2245"/>
      <x:c r="D2245"/>
      <x:c r="E2245"/>
      <x:c r="F2245"/>
      <x:c r="G2245"/>
      <x:c r="H2245"/>
      <x:c r="I2245"/>
      <x:c r="J2245"/>
      <x:c r="K2245"/>
      <x:c r="L2245"/>
      <x:c r="M2245"/>
      <x:c r="N2245"/>
      <x:c r="O2245"/>
      <x:c r="P2245"/>
      <x:c r="Q2245"/>
      <x:c r="R2245"/>
      <x:c r="S2245"/>
      <x:c r="T2245"/>
      <x:c r="U2245"/>
      <x:c r="V2245"/>
      <x:c r="W2245"/>
    </x:row>
    <x:row r="2246">
      <x:c r="A2246"/>
      <x:c r="B2246"/>
      <x:c r="C2246"/>
      <x:c r="D2246"/>
      <x:c r="E2246"/>
      <x:c r="F2246"/>
      <x:c r="G2246"/>
      <x:c r="H2246"/>
      <x:c r="I2246"/>
      <x:c r="J2246"/>
      <x:c r="K2246"/>
      <x:c r="L2246"/>
      <x:c r="M2246"/>
      <x:c r="N2246"/>
      <x:c r="O2246"/>
      <x:c r="P2246"/>
      <x:c r="Q2246"/>
      <x:c r="R2246"/>
      <x:c r="S2246"/>
      <x:c r="T2246"/>
      <x:c r="U2246"/>
      <x:c r="V2246"/>
      <x:c r="W2246"/>
    </x:row>
    <x:row r="2247">
      <x:c r="A2247"/>
      <x:c r="B2247"/>
      <x:c r="C2247"/>
      <x:c r="D2247"/>
      <x:c r="E2247"/>
      <x:c r="F2247"/>
      <x:c r="G2247"/>
      <x:c r="H2247"/>
      <x:c r="I2247"/>
      <x:c r="J2247"/>
      <x:c r="K2247"/>
      <x:c r="L2247"/>
      <x:c r="M2247"/>
      <x:c r="N2247"/>
      <x:c r="O2247"/>
      <x:c r="P2247"/>
      <x:c r="Q2247"/>
      <x:c r="R2247"/>
      <x:c r="S2247"/>
      <x:c r="T2247"/>
      <x:c r="U2247"/>
      <x:c r="V2247"/>
      <x:c r="W2247"/>
    </x:row>
    <x:row r="2248">
      <x:c r="A2248"/>
      <x:c r="B2248"/>
      <x:c r="C2248"/>
      <x:c r="D2248"/>
      <x:c r="E2248"/>
      <x:c r="F2248"/>
      <x:c r="G2248"/>
      <x:c r="H2248"/>
      <x:c r="I2248"/>
      <x:c r="J2248"/>
      <x:c r="K2248"/>
      <x:c r="L2248"/>
      <x:c r="M2248"/>
      <x:c r="N2248"/>
      <x:c r="O2248"/>
      <x:c r="P2248"/>
      <x:c r="Q2248"/>
      <x:c r="R2248"/>
      <x:c r="S2248"/>
      <x:c r="T2248"/>
      <x:c r="U2248"/>
      <x:c r="V2248"/>
      <x:c r="W2248"/>
    </x:row>
    <x:row r="2249">
      <x:c r="A2249"/>
      <x:c r="B2249"/>
      <x:c r="C2249"/>
      <x:c r="D2249"/>
      <x:c r="E2249"/>
      <x:c r="F2249"/>
      <x:c r="G2249"/>
      <x:c r="H2249"/>
      <x:c r="I2249"/>
      <x:c r="J2249"/>
      <x:c r="K2249"/>
      <x:c r="L2249"/>
      <x:c r="M2249"/>
      <x:c r="N2249"/>
      <x:c r="O2249"/>
      <x:c r="P2249"/>
      <x:c r="Q2249"/>
      <x:c r="R2249"/>
      <x:c r="S2249"/>
      <x:c r="T2249"/>
      <x:c r="U2249"/>
      <x:c r="V2249"/>
      <x:c r="W2249"/>
    </x:row>
    <x:row r="2250">
      <x:c r="A2250"/>
      <x:c r="B2250"/>
      <x:c r="C2250"/>
      <x:c r="D2250"/>
      <x:c r="E2250"/>
      <x:c r="F2250"/>
      <x:c r="G2250"/>
      <x:c r="H2250"/>
      <x:c r="I2250"/>
      <x:c r="J2250"/>
      <x:c r="K2250"/>
      <x:c r="L2250"/>
      <x:c r="M2250"/>
      <x:c r="N2250"/>
      <x:c r="O2250"/>
      <x:c r="P2250"/>
      <x:c r="Q2250"/>
      <x:c r="R2250"/>
      <x:c r="S2250"/>
      <x:c r="T2250"/>
      <x:c r="U2250"/>
      <x:c r="V2250"/>
      <x:c r="W2250"/>
    </x:row>
    <x:row r="2251">
      <x:c r="A2251"/>
      <x:c r="B2251"/>
      <x:c r="C2251"/>
      <x:c r="D2251"/>
      <x:c r="E2251"/>
      <x:c r="F2251"/>
      <x:c r="G2251"/>
      <x:c r="H2251"/>
      <x:c r="I2251"/>
      <x:c r="J2251"/>
      <x:c r="K2251"/>
      <x:c r="L2251"/>
      <x:c r="M2251"/>
      <x:c r="N2251"/>
      <x:c r="O2251"/>
      <x:c r="P2251"/>
      <x:c r="Q2251"/>
      <x:c r="R2251"/>
      <x:c r="S2251"/>
      <x:c r="T2251"/>
      <x:c r="U2251"/>
      <x:c r="V2251"/>
      <x:c r="W2251"/>
    </x:row>
    <x:row r="2252">
      <x:c r="A2252"/>
      <x:c r="B2252"/>
      <x:c r="C2252"/>
      <x:c r="D2252"/>
      <x:c r="E2252"/>
      <x:c r="F2252"/>
      <x:c r="G2252"/>
      <x:c r="H2252"/>
      <x:c r="I2252"/>
      <x:c r="J2252"/>
      <x:c r="K2252"/>
      <x:c r="L2252"/>
      <x:c r="M2252"/>
      <x:c r="N2252"/>
      <x:c r="O2252"/>
      <x:c r="P2252"/>
      <x:c r="Q2252"/>
      <x:c r="R2252"/>
      <x:c r="S2252"/>
      <x:c r="T2252"/>
      <x:c r="U2252"/>
      <x:c r="V2252"/>
      <x:c r="W2252"/>
    </x:row>
    <x:row r="2253">
      <x:c r="A2253"/>
      <x:c r="B2253"/>
      <x:c r="C2253"/>
      <x:c r="D2253"/>
      <x:c r="E2253"/>
      <x:c r="F2253"/>
      <x:c r="G2253"/>
      <x:c r="H2253"/>
      <x:c r="I2253"/>
      <x:c r="J2253"/>
      <x:c r="K2253"/>
      <x:c r="L2253"/>
      <x:c r="M2253"/>
      <x:c r="N2253"/>
      <x:c r="O2253"/>
      <x:c r="P2253"/>
      <x:c r="Q2253"/>
      <x:c r="R2253"/>
      <x:c r="S2253"/>
      <x:c r="T2253"/>
      <x:c r="U2253"/>
      <x:c r="V2253"/>
      <x:c r="W2253"/>
    </x:row>
    <x:row r="2254">
      <x:c r="A2254"/>
      <x:c r="B2254"/>
      <x:c r="C2254"/>
      <x:c r="D2254"/>
      <x:c r="E2254"/>
      <x:c r="F2254"/>
      <x:c r="G2254"/>
      <x:c r="H2254"/>
      <x:c r="I2254"/>
      <x:c r="J2254"/>
      <x:c r="K2254"/>
      <x:c r="L2254"/>
      <x:c r="M2254"/>
      <x:c r="N2254"/>
      <x:c r="O2254"/>
      <x:c r="P2254"/>
      <x:c r="Q2254"/>
      <x:c r="R2254"/>
      <x:c r="S2254"/>
      <x:c r="T2254"/>
      <x:c r="U2254"/>
      <x:c r="V2254"/>
      <x:c r="W2254"/>
    </x:row>
    <x:row r="2255">
      <x:c r="A2255"/>
      <x:c r="B2255"/>
      <x:c r="C2255"/>
      <x:c r="D2255"/>
      <x:c r="E2255"/>
      <x:c r="F2255"/>
      <x:c r="G2255"/>
      <x:c r="H2255"/>
      <x:c r="I2255"/>
      <x:c r="J2255"/>
      <x:c r="K2255"/>
      <x:c r="L2255"/>
      <x:c r="M2255"/>
      <x:c r="N2255"/>
      <x:c r="O2255"/>
      <x:c r="P2255"/>
      <x:c r="Q2255"/>
      <x:c r="R2255"/>
      <x:c r="S2255"/>
      <x:c r="T2255"/>
      <x:c r="U2255"/>
      <x:c r="V2255"/>
      <x:c r="W2255"/>
    </x:row>
    <x:row r="2256">
      <x:c r="A2256"/>
      <x:c r="B2256"/>
      <x:c r="C2256"/>
      <x:c r="D2256"/>
      <x:c r="E2256"/>
      <x:c r="F2256"/>
      <x:c r="G2256"/>
      <x:c r="H2256"/>
      <x:c r="I2256"/>
      <x:c r="J2256"/>
      <x:c r="K2256"/>
      <x:c r="L2256"/>
      <x:c r="M2256"/>
      <x:c r="N2256"/>
      <x:c r="O2256"/>
      <x:c r="P2256"/>
      <x:c r="Q2256"/>
      <x:c r="R2256"/>
      <x:c r="S2256"/>
      <x:c r="T2256"/>
      <x:c r="U2256"/>
      <x:c r="V2256"/>
      <x:c r="W2256"/>
    </x:row>
    <x:row r="2257">
      <x:c r="A2257"/>
      <x:c r="B2257"/>
      <x:c r="C2257"/>
      <x:c r="D2257"/>
      <x:c r="E2257"/>
      <x:c r="F2257"/>
      <x:c r="G2257"/>
      <x:c r="H2257"/>
      <x:c r="I2257"/>
      <x:c r="J2257"/>
      <x:c r="K2257"/>
      <x:c r="L2257"/>
      <x:c r="M2257"/>
      <x:c r="N2257"/>
      <x:c r="O2257"/>
      <x:c r="P2257"/>
      <x:c r="Q2257"/>
      <x:c r="R2257"/>
      <x:c r="S2257"/>
      <x:c r="T2257"/>
      <x:c r="U2257"/>
      <x:c r="V2257"/>
      <x:c r="W2257"/>
    </x:row>
    <x:row r="2258">
      <x:c r="A2258"/>
      <x:c r="B2258"/>
      <x:c r="C2258"/>
      <x:c r="D2258"/>
      <x:c r="E2258"/>
      <x:c r="F2258"/>
      <x:c r="G2258"/>
      <x:c r="H2258"/>
      <x:c r="I2258"/>
      <x:c r="J2258"/>
      <x:c r="K2258"/>
      <x:c r="L2258"/>
      <x:c r="M2258"/>
      <x:c r="N2258"/>
      <x:c r="O2258"/>
      <x:c r="P2258"/>
      <x:c r="Q2258"/>
      <x:c r="R2258"/>
      <x:c r="S2258"/>
      <x:c r="T2258"/>
      <x:c r="U2258"/>
      <x:c r="V2258"/>
      <x:c r="W2258"/>
    </x:row>
    <x:row r="2259">
      <x:c r="A2259"/>
      <x:c r="B2259"/>
      <x:c r="C2259"/>
      <x:c r="D2259"/>
      <x:c r="E2259"/>
      <x:c r="F2259"/>
      <x:c r="G2259"/>
      <x:c r="H2259"/>
      <x:c r="I2259"/>
      <x:c r="J2259"/>
      <x:c r="K2259"/>
      <x:c r="L2259"/>
      <x:c r="M2259"/>
      <x:c r="N2259"/>
      <x:c r="O2259"/>
      <x:c r="P2259"/>
      <x:c r="Q2259"/>
      <x:c r="R2259"/>
      <x:c r="S2259"/>
      <x:c r="T2259"/>
      <x:c r="U2259"/>
      <x:c r="V2259"/>
      <x:c r="W2259"/>
    </x:row>
    <x:row r="2260">
      <x:c r="A2260"/>
      <x:c r="B2260"/>
      <x:c r="C2260"/>
      <x:c r="D2260"/>
      <x:c r="E2260"/>
      <x:c r="F2260"/>
      <x:c r="G2260"/>
      <x:c r="H2260"/>
      <x:c r="I2260"/>
      <x:c r="J2260"/>
      <x:c r="K2260"/>
      <x:c r="L2260"/>
      <x:c r="M2260"/>
      <x:c r="N2260"/>
      <x:c r="O2260"/>
      <x:c r="P2260"/>
      <x:c r="Q2260"/>
      <x:c r="R2260"/>
      <x:c r="S2260"/>
      <x:c r="T2260"/>
      <x:c r="U2260"/>
      <x:c r="V2260"/>
      <x:c r="W2260"/>
    </x:row>
    <x:row r="2261">
      <x:c r="A2261"/>
      <x:c r="B2261"/>
      <x:c r="C2261"/>
      <x:c r="D2261"/>
      <x:c r="E2261"/>
      <x:c r="F2261"/>
      <x:c r="G2261"/>
      <x:c r="H2261"/>
      <x:c r="I2261"/>
      <x:c r="J2261"/>
      <x:c r="K2261"/>
      <x:c r="L2261"/>
      <x:c r="M2261"/>
      <x:c r="N2261"/>
      <x:c r="O2261"/>
      <x:c r="P2261"/>
      <x:c r="Q2261"/>
      <x:c r="R2261"/>
      <x:c r="S2261"/>
      <x:c r="T2261"/>
      <x:c r="U2261"/>
      <x:c r="V2261"/>
      <x:c r="W2261"/>
    </x:row>
    <x:row r="2262">
      <x:c r="A2262"/>
      <x:c r="B2262"/>
      <x:c r="C2262"/>
      <x:c r="D2262"/>
      <x:c r="E2262"/>
      <x:c r="F2262"/>
      <x:c r="G2262"/>
      <x:c r="H2262"/>
      <x:c r="I2262"/>
      <x:c r="J2262"/>
      <x:c r="K2262"/>
      <x:c r="L2262"/>
      <x:c r="M2262"/>
      <x:c r="N2262"/>
      <x:c r="O2262"/>
      <x:c r="P2262"/>
      <x:c r="Q2262"/>
      <x:c r="R2262"/>
      <x:c r="S2262"/>
      <x:c r="T2262"/>
      <x:c r="U2262"/>
      <x:c r="V2262"/>
      <x:c r="W2262"/>
    </x:row>
    <x:row r="2263">
      <x:c r="A2263"/>
      <x:c r="B2263"/>
      <x:c r="C2263"/>
      <x:c r="D2263"/>
      <x:c r="E2263"/>
      <x:c r="F2263"/>
      <x:c r="G2263"/>
      <x:c r="H2263"/>
      <x:c r="I2263"/>
      <x:c r="J2263"/>
      <x:c r="K2263"/>
      <x:c r="L2263"/>
      <x:c r="M2263"/>
      <x:c r="N2263"/>
      <x:c r="O2263"/>
      <x:c r="P2263"/>
      <x:c r="Q2263"/>
      <x:c r="R2263"/>
      <x:c r="S2263"/>
      <x:c r="T2263"/>
      <x:c r="U2263"/>
      <x:c r="V2263"/>
      <x:c r="W2263"/>
    </x:row>
    <x:row r="2264">
      <x:c r="A2264"/>
      <x:c r="B2264"/>
      <x:c r="C2264"/>
      <x:c r="D2264"/>
      <x:c r="E2264"/>
      <x:c r="F2264"/>
      <x:c r="G2264"/>
      <x:c r="H2264"/>
      <x:c r="I2264"/>
      <x:c r="J2264"/>
      <x:c r="K2264"/>
      <x:c r="L2264"/>
      <x:c r="M2264"/>
      <x:c r="N2264"/>
      <x:c r="O2264"/>
      <x:c r="P2264"/>
      <x:c r="Q2264"/>
      <x:c r="R2264"/>
      <x:c r="S2264"/>
      <x:c r="T2264"/>
      <x:c r="U2264"/>
      <x:c r="V2264"/>
      <x:c r="W2264"/>
    </x:row>
    <x:row r="2265">
      <x:c r="A2265"/>
      <x:c r="B2265"/>
      <x:c r="C2265"/>
      <x:c r="D2265"/>
      <x:c r="E2265"/>
      <x:c r="F2265"/>
      <x:c r="G2265"/>
      <x:c r="H2265"/>
      <x:c r="I2265"/>
      <x:c r="J2265"/>
      <x:c r="K2265"/>
      <x:c r="L2265"/>
      <x:c r="M2265"/>
      <x:c r="N2265"/>
      <x:c r="O2265"/>
      <x:c r="P2265"/>
      <x:c r="Q2265"/>
      <x:c r="R2265"/>
      <x:c r="S2265"/>
      <x:c r="T2265"/>
      <x:c r="U2265"/>
      <x:c r="V2265"/>
      <x:c r="W2265"/>
    </x:row>
    <x:row r="2266">
      <x:c r="A2266"/>
      <x:c r="B2266"/>
      <x:c r="C2266"/>
      <x:c r="D2266"/>
      <x:c r="E2266"/>
      <x:c r="F2266"/>
      <x:c r="G2266"/>
      <x:c r="H2266"/>
      <x:c r="I2266"/>
      <x:c r="J2266"/>
      <x:c r="K2266"/>
      <x:c r="L2266"/>
      <x:c r="M2266"/>
      <x:c r="N2266"/>
      <x:c r="O2266"/>
      <x:c r="P2266"/>
      <x:c r="Q2266"/>
      <x:c r="R2266"/>
      <x:c r="S2266"/>
      <x:c r="T2266"/>
      <x:c r="U2266"/>
      <x:c r="V2266"/>
      <x:c r="W2266"/>
    </x:row>
    <x:row r="2267">
      <x:c r="A2267"/>
      <x:c r="B2267"/>
      <x:c r="C2267"/>
      <x:c r="D2267"/>
      <x:c r="E2267"/>
      <x:c r="F2267"/>
      <x:c r="G2267"/>
      <x:c r="H2267"/>
      <x:c r="I2267"/>
      <x:c r="J2267"/>
      <x:c r="K2267"/>
      <x:c r="L2267"/>
      <x:c r="M2267"/>
      <x:c r="N2267"/>
      <x:c r="O2267"/>
      <x:c r="P2267"/>
      <x:c r="Q2267"/>
      <x:c r="R2267"/>
      <x:c r="S2267"/>
      <x:c r="T2267"/>
      <x:c r="U2267"/>
      <x:c r="V2267"/>
      <x:c r="W2267"/>
    </x:row>
    <x:row r="2268">
      <x:c r="A2268"/>
      <x:c r="B2268"/>
      <x:c r="C2268"/>
      <x:c r="D2268"/>
      <x:c r="E2268"/>
      <x:c r="F2268"/>
      <x:c r="G2268"/>
      <x:c r="H2268"/>
      <x:c r="I2268"/>
      <x:c r="J2268"/>
      <x:c r="K2268"/>
      <x:c r="L2268"/>
      <x:c r="M2268"/>
      <x:c r="N2268"/>
      <x:c r="O2268"/>
      <x:c r="P2268"/>
      <x:c r="Q2268"/>
      <x:c r="R2268"/>
      <x:c r="S2268"/>
      <x:c r="T2268"/>
      <x:c r="U2268"/>
      <x:c r="V2268"/>
      <x:c r="W2268"/>
    </x:row>
    <x:row r="2269">
      <x:c r="A2269"/>
      <x:c r="B2269"/>
      <x:c r="C2269"/>
      <x:c r="D2269"/>
      <x:c r="E2269"/>
      <x:c r="F2269"/>
      <x:c r="G2269"/>
      <x:c r="H2269"/>
      <x:c r="I2269"/>
      <x:c r="J2269"/>
      <x:c r="K2269"/>
      <x:c r="L2269"/>
      <x:c r="M2269"/>
      <x:c r="N2269"/>
      <x:c r="O2269"/>
      <x:c r="P2269"/>
      <x:c r="Q2269"/>
      <x:c r="R2269"/>
      <x:c r="S2269"/>
      <x:c r="T2269"/>
      <x:c r="U2269"/>
      <x:c r="V2269"/>
      <x:c r="W2269"/>
    </x:row>
    <x:row r="2270">
      <x:c r="A2270"/>
      <x:c r="B2270"/>
      <x:c r="C2270"/>
      <x:c r="D2270"/>
      <x:c r="E2270"/>
      <x:c r="F2270"/>
      <x:c r="G2270"/>
      <x:c r="H2270"/>
      <x:c r="I2270"/>
      <x:c r="J2270"/>
      <x:c r="K2270"/>
      <x:c r="L2270"/>
      <x:c r="M2270"/>
      <x:c r="N2270"/>
      <x:c r="O2270"/>
      <x:c r="P2270"/>
      <x:c r="Q2270"/>
      <x:c r="R2270"/>
      <x:c r="S2270"/>
      <x:c r="T2270"/>
      <x:c r="U2270"/>
      <x:c r="V2270"/>
      <x:c r="W2270"/>
    </x:row>
    <x:row r="2271">
      <x:c r="A2271"/>
      <x:c r="B2271"/>
      <x:c r="C2271"/>
      <x:c r="D2271"/>
      <x:c r="E2271"/>
      <x:c r="F2271"/>
      <x:c r="G2271"/>
      <x:c r="H2271"/>
      <x:c r="I2271"/>
      <x:c r="J2271"/>
      <x:c r="K2271"/>
      <x:c r="L2271"/>
      <x:c r="M2271"/>
      <x:c r="N2271"/>
      <x:c r="O2271"/>
      <x:c r="P2271"/>
      <x:c r="Q2271"/>
      <x:c r="R2271"/>
      <x:c r="S2271"/>
      <x:c r="T2271"/>
      <x:c r="U2271"/>
      <x:c r="V2271"/>
      <x:c r="W2271"/>
    </x:row>
    <x:row r="2272">
      <x:c r="A2272"/>
      <x:c r="B2272"/>
      <x:c r="C2272"/>
      <x:c r="D2272"/>
      <x:c r="E2272"/>
      <x:c r="F2272"/>
      <x:c r="G2272"/>
      <x:c r="H2272"/>
      <x:c r="I2272"/>
      <x:c r="J2272"/>
      <x:c r="K2272"/>
      <x:c r="L2272"/>
      <x:c r="M2272"/>
      <x:c r="N2272"/>
      <x:c r="O2272"/>
      <x:c r="P2272"/>
      <x:c r="Q2272"/>
      <x:c r="R2272"/>
      <x:c r="S2272"/>
      <x:c r="T2272"/>
      <x:c r="U2272"/>
      <x:c r="V2272"/>
      <x:c r="W2272"/>
    </x:row>
    <x:row r="2273">
      <x:c r="A2273"/>
      <x:c r="B2273"/>
      <x:c r="C2273"/>
      <x:c r="D2273"/>
      <x:c r="E2273"/>
      <x:c r="F2273"/>
      <x:c r="G2273"/>
      <x:c r="H2273"/>
      <x:c r="I2273"/>
      <x:c r="J2273"/>
      <x:c r="K2273"/>
      <x:c r="L2273"/>
      <x:c r="M2273"/>
      <x:c r="N2273"/>
      <x:c r="O2273"/>
      <x:c r="P2273"/>
      <x:c r="Q2273"/>
      <x:c r="R2273"/>
      <x:c r="S2273"/>
      <x:c r="T2273"/>
      <x:c r="U2273"/>
      <x:c r="V2273"/>
      <x:c r="W2273"/>
    </x:row>
    <x:row r="2274">
      <x:c r="A2274"/>
      <x:c r="B2274"/>
      <x:c r="C2274"/>
      <x:c r="D2274"/>
      <x:c r="E2274"/>
      <x:c r="F2274"/>
      <x:c r="G2274"/>
      <x:c r="H2274"/>
      <x:c r="I2274"/>
      <x:c r="J2274"/>
      <x:c r="K2274"/>
      <x:c r="L2274"/>
      <x:c r="M2274"/>
      <x:c r="N2274"/>
      <x:c r="O2274"/>
      <x:c r="P2274"/>
      <x:c r="Q2274"/>
      <x:c r="R2274"/>
      <x:c r="S2274"/>
      <x:c r="T2274"/>
      <x:c r="U2274"/>
      <x:c r="V2274"/>
      <x:c r="W2274"/>
    </x:row>
    <x:row r="2275">
      <x:c r="A2275"/>
      <x:c r="B2275"/>
      <x:c r="C2275"/>
      <x:c r="D2275"/>
      <x:c r="E2275"/>
      <x:c r="F2275"/>
      <x:c r="G2275"/>
      <x:c r="H2275"/>
      <x:c r="I2275"/>
      <x:c r="J2275"/>
      <x:c r="K2275"/>
      <x:c r="L2275"/>
      <x:c r="M2275"/>
      <x:c r="N2275"/>
      <x:c r="O2275"/>
      <x:c r="P2275"/>
      <x:c r="Q2275"/>
      <x:c r="R2275"/>
      <x:c r="S2275"/>
      <x:c r="T2275"/>
      <x:c r="U2275"/>
      <x:c r="V2275"/>
      <x:c r="W2275"/>
    </x:row>
    <x:row r="2276">
      <x:c r="A2276"/>
      <x:c r="B2276"/>
      <x:c r="C2276"/>
      <x:c r="D2276"/>
      <x:c r="E2276"/>
      <x:c r="F2276"/>
      <x:c r="G2276"/>
      <x:c r="H2276"/>
      <x:c r="I2276"/>
      <x:c r="J2276"/>
      <x:c r="K2276"/>
      <x:c r="L2276"/>
      <x:c r="M2276"/>
      <x:c r="N2276"/>
      <x:c r="O2276"/>
      <x:c r="P2276"/>
      <x:c r="Q2276"/>
      <x:c r="R2276"/>
      <x:c r="S2276"/>
      <x:c r="T2276"/>
      <x:c r="U2276"/>
      <x:c r="V2276"/>
      <x:c r="W2276"/>
    </x:row>
    <x:row r="2277">
      <x:c r="A2277"/>
      <x:c r="B2277"/>
      <x:c r="C2277"/>
      <x:c r="D2277"/>
      <x:c r="E2277"/>
      <x:c r="F2277"/>
      <x:c r="G2277"/>
      <x:c r="H2277"/>
      <x:c r="I2277"/>
      <x:c r="J2277"/>
      <x:c r="K2277"/>
      <x:c r="L2277"/>
      <x:c r="M2277"/>
      <x:c r="N2277"/>
      <x:c r="O2277"/>
      <x:c r="P2277"/>
      <x:c r="Q2277"/>
      <x:c r="R2277"/>
      <x:c r="S2277"/>
      <x:c r="T2277"/>
      <x:c r="U2277"/>
      <x:c r="V2277"/>
      <x:c r="W2277"/>
    </x:row>
    <x:row r="2278">
      <x:c r="A2278"/>
      <x:c r="B2278"/>
      <x:c r="C2278"/>
      <x:c r="D2278"/>
      <x:c r="E2278"/>
      <x:c r="F2278"/>
      <x:c r="G2278"/>
      <x:c r="H2278"/>
      <x:c r="I2278"/>
      <x:c r="J2278"/>
      <x:c r="K2278"/>
      <x:c r="L2278"/>
      <x:c r="M2278"/>
      <x:c r="N2278"/>
      <x:c r="O2278"/>
      <x:c r="P2278"/>
      <x:c r="Q2278"/>
      <x:c r="R2278"/>
      <x:c r="S2278"/>
      <x:c r="T2278"/>
      <x:c r="U2278"/>
      <x:c r="V2278"/>
      <x:c r="W2278"/>
    </x:row>
    <x:row r="2279">
      <x:c r="A2279"/>
      <x:c r="B2279"/>
      <x:c r="C2279"/>
      <x:c r="D2279"/>
      <x:c r="E2279"/>
      <x:c r="F2279"/>
      <x:c r="G2279"/>
      <x:c r="H2279"/>
      <x:c r="I2279"/>
      <x:c r="J2279"/>
      <x:c r="K2279"/>
      <x:c r="L2279"/>
      <x:c r="M2279"/>
      <x:c r="N2279"/>
      <x:c r="O2279"/>
      <x:c r="P2279"/>
      <x:c r="Q2279"/>
      <x:c r="R2279"/>
      <x:c r="S2279"/>
      <x:c r="T2279"/>
      <x:c r="U2279"/>
      <x:c r="V2279"/>
      <x:c r="W2279"/>
    </x:row>
    <x:row r="2280">
      <x:c r="A2280"/>
      <x:c r="B2280"/>
      <x:c r="C2280"/>
      <x:c r="D2280"/>
      <x:c r="E2280"/>
      <x:c r="F2280"/>
      <x:c r="G2280"/>
      <x:c r="H2280"/>
      <x:c r="I2280"/>
      <x:c r="J2280"/>
      <x:c r="K2280"/>
      <x:c r="L2280"/>
      <x:c r="M2280"/>
      <x:c r="N2280"/>
      <x:c r="O2280"/>
      <x:c r="P2280"/>
      <x:c r="Q2280"/>
      <x:c r="R2280"/>
      <x:c r="S2280"/>
      <x:c r="T2280"/>
      <x:c r="U2280"/>
      <x:c r="V2280"/>
      <x:c r="W2280"/>
    </x:row>
    <x:row r="2281">
      <x:c r="A2281"/>
      <x:c r="B2281"/>
      <x:c r="C2281"/>
      <x:c r="D2281"/>
      <x:c r="E2281"/>
      <x:c r="F2281"/>
      <x:c r="G2281"/>
      <x:c r="H2281"/>
      <x:c r="I2281"/>
      <x:c r="J2281"/>
      <x:c r="K2281"/>
      <x:c r="L2281"/>
      <x:c r="M2281"/>
      <x:c r="N2281"/>
      <x:c r="O2281"/>
      <x:c r="P2281"/>
      <x:c r="Q2281"/>
      <x:c r="R2281"/>
      <x:c r="S2281"/>
      <x:c r="T2281"/>
      <x:c r="U2281"/>
      <x:c r="V2281"/>
      <x:c r="W2281"/>
    </x:row>
    <x:row r="2282">
      <x:c r="A2282"/>
      <x:c r="B2282"/>
      <x:c r="C2282"/>
      <x:c r="D2282"/>
      <x:c r="E2282"/>
      <x:c r="F2282"/>
      <x:c r="G2282"/>
      <x:c r="H2282"/>
      <x:c r="I2282"/>
      <x:c r="J2282"/>
      <x:c r="K2282"/>
      <x:c r="L2282"/>
      <x:c r="M2282"/>
      <x:c r="N2282"/>
      <x:c r="O2282"/>
      <x:c r="P2282"/>
      <x:c r="Q2282"/>
      <x:c r="R2282"/>
      <x:c r="S2282"/>
      <x:c r="T2282"/>
      <x:c r="U2282"/>
      <x:c r="V2282"/>
      <x:c r="W2282"/>
    </x:row>
    <x:row r="2283">
      <x:c r="A2283"/>
      <x:c r="B2283"/>
      <x:c r="C2283"/>
      <x:c r="D2283"/>
      <x:c r="E2283"/>
      <x:c r="F2283"/>
      <x:c r="G2283"/>
      <x:c r="H2283"/>
      <x:c r="I2283"/>
      <x:c r="J2283"/>
      <x:c r="K2283"/>
      <x:c r="L2283"/>
      <x:c r="M2283"/>
      <x:c r="N2283"/>
      <x:c r="O2283"/>
      <x:c r="P2283"/>
      <x:c r="Q2283"/>
      <x:c r="R2283"/>
      <x:c r="S2283"/>
      <x:c r="T2283"/>
      <x:c r="U2283"/>
      <x:c r="V2283"/>
      <x:c r="W2283"/>
    </x:row>
    <x:row r="2284">
      <x:c r="A2284"/>
      <x:c r="B2284"/>
      <x:c r="C2284"/>
      <x:c r="D2284"/>
      <x:c r="E2284"/>
      <x:c r="F2284"/>
      <x:c r="G2284"/>
      <x:c r="H2284"/>
      <x:c r="I2284"/>
      <x:c r="J2284"/>
      <x:c r="K2284"/>
      <x:c r="L2284"/>
      <x:c r="M2284"/>
      <x:c r="N2284"/>
      <x:c r="O2284"/>
      <x:c r="P2284"/>
      <x:c r="Q2284"/>
      <x:c r="R2284"/>
      <x:c r="S2284"/>
      <x:c r="T2284"/>
      <x:c r="U2284"/>
      <x:c r="V2284"/>
      <x:c r="W2284"/>
    </x:row>
    <x:row r="2285">
      <x:c r="A2285"/>
      <x:c r="B2285"/>
      <x:c r="C2285"/>
      <x:c r="D2285"/>
      <x:c r="E2285"/>
      <x:c r="F2285"/>
      <x:c r="G2285"/>
      <x:c r="H2285"/>
      <x:c r="I2285"/>
      <x:c r="J2285"/>
      <x:c r="K2285"/>
      <x:c r="L2285"/>
      <x:c r="M2285"/>
      <x:c r="N2285"/>
      <x:c r="O2285"/>
      <x:c r="P2285"/>
      <x:c r="Q2285"/>
      <x:c r="R2285"/>
      <x:c r="S2285"/>
      <x:c r="T2285"/>
      <x:c r="U2285"/>
      <x:c r="V2285"/>
      <x:c r="W2285"/>
    </x:row>
    <x:row r="2286">
      <x:c r="A2286"/>
      <x:c r="B2286"/>
      <x:c r="C2286"/>
      <x:c r="D2286"/>
      <x:c r="E2286"/>
      <x:c r="F2286"/>
      <x:c r="G2286"/>
      <x:c r="H2286"/>
      <x:c r="I2286"/>
      <x:c r="J2286"/>
      <x:c r="K2286"/>
      <x:c r="L2286"/>
      <x:c r="M2286"/>
      <x:c r="N2286"/>
      <x:c r="O2286"/>
      <x:c r="P2286"/>
      <x:c r="Q2286"/>
      <x:c r="R2286"/>
      <x:c r="S2286"/>
      <x:c r="T2286"/>
      <x:c r="U2286"/>
      <x:c r="V2286"/>
      <x:c r="W2286"/>
    </x:row>
    <x:row r="2287">
      <x:c r="A2287"/>
      <x:c r="B2287"/>
      <x:c r="C2287"/>
      <x:c r="D2287"/>
      <x:c r="E2287"/>
      <x:c r="F2287"/>
      <x:c r="G2287"/>
      <x:c r="H2287"/>
      <x:c r="I2287"/>
      <x:c r="J2287"/>
      <x:c r="K2287"/>
      <x:c r="L2287"/>
      <x:c r="M2287"/>
      <x:c r="N2287"/>
      <x:c r="O2287"/>
      <x:c r="P2287"/>
      <x:c r="Q2287"/>
      <x:c r="R2287"/>
      <x:c r="S2287"/>
      <x:c r="T2287"/>
      <x:c r="U2287"/>
      <x:c r="V2287"/>
      <x:c r="W2287"/>
    </x:row>
    <x:row r="2288">
      <x:c r="A2288"/>
      <x:c r="B2288"/>
      <x:c r="C2288"/>
      <x:c r="D2288"/>
      <x:c r="E2288"/>
      <x:c r="F2288"/>
      <x:c r="G2288"/>
      <x:c r="H2288"/>
      <x:c r="I2288"/>
      <x:c r="J2288"/>
      <x:c r="K2288"/>
      <x:c r="L2288"/>
      <x:c r="M2288"/>
      <x:c r="N2288"/>
      <x:c r="O2288"/>
      <x:c r="P2288"/>
      <x:c r="Q2288"/>
      <x:c r="R2288"/>
      <x:c r="S2288"/>
      <x:c r="T2288"/>
      <x:c r="U2288"/>
      <x:c r="V2288"/>
      <x:c r="W2288"/>
    </x:row>
    <x:row r="2289">
      <x:c r="A2289"/>
      <x:c r="B2289"/>
      <x:c r="C2289"/>
      <x:c r="D2289"/>
      <x:c r="E2289"/>
      <x:c r="F2289"/>
      <x:c r="G2289"/>
      <x:c r="H2289"/>
      <x:c r="I2289"/>
      <x:c r="J2289"/>
      <x:c r="K2289"/>
      <x:c r="L2289"/>
      <x:c r="M2289"/>
      <x:c r="N2289"/>
      <x:c r="O2289"/>
      <x:c r="P2289"/>
      <x:c r="Q2289"/>
      <x:c r="R2289"/>
      <x:c r="S2289"/>
      <x:c r="T2289"/>
      <x:c r="U2289"/>
      <x:c r="V2289"/>
      <x:c r="W2289"/>
    </x:row>
    <x:row r="2290">
      <x:c r="A2290"/>
      <x:c r="B2290"/>
      <x:c r="C2290"/>
      <x:c r="D2290"/>
      <x:c r="E2290"/>
      <x:c r="F2290"/>
      <x:c r="G2290"/>
      <x:c r="H2290"/>
      <x:c r="I2290"/>
      <x:c r="J2290"/>
      <x:c r="K2290"/>
      <x:c r="L2290"/>
      <x:c r="M2290"/>
      <x:c r="N2290"/>
      <x:c r="O2290"/>
      <x:c r="P2290"/>
      <x:c r="Q2290"/>
      <x:c r="R2290"/>
      <x:c r="S2290"/>
      <x:c r="T2290"/>
      <x:c r="U2290"/>
      <x:c r="V2290"/>
      <x:c r="W2290"/>
    </x:row>
    <x:row r="2291">
      <x:c r="A2291"/>
      <x:c r="B2291"/>
      <x:c r="C2291"/>
      <x:c r="D2291"/>
      <x:c r="E2291"/>
      <x:c r="F2291"/>
      <x:c r="G2291"/>
      <x:c r="H2291"/>
      <x:c r="I2291"/>
      <x:c r="J2291"/>
      <x:c r="K2291"/>
      <x:c r="L2291"/>
      <x:c r="M2291"/>
      <x:c r="N2291"/>
      <x:c r="O2291"/>
      <x:c r="P2291"/>
      <x:c r="Q2291"/>
      <x:c r="R2291"/>
      <x:c r="S2291"/>
      <x:c r="T2291"/>
      <x:c r="U2291"/>
      <x:c r="V2291"/>
      <x:c r="W2291"/>
    </x:row>
    <x:row r="2292">
      <x:c r="A2292"/>
      <x:c r="B2292"/>
      <x:c r="C2292"/>
      <x:c r="D2292"/>
      <x:c r="E2292"/>
      <x:c r="F2292"/>
      <x:c r="G2292"/>
      <x:c r="H2292"/>
      <x:c r="I2292"/>
      <x:c r="J2292"/>
      <x:c r="K2292"/>
      <x:c r="L2292"/>
      <x:c r="M2292"/>
      <x:c r="N2292"/>
      <x:c r="O2292"/>
      <x:c r="P2292"/>
      <x:c r="Q2292"/>
      <x:c r="R2292"/>
      <x:c r="S2292"/>
      <x:c r="T2292"/>
      <x:c r="U2292"/>
      <x:c r="V2292"/>
      <x:c r="W2292"/>
    </x:row>
    <x:row r="2293">
      <x:c r="A2293"/>
      <x:c r="B2293"/>
      <x:c r="C2293"/>
      <x:c r="D2293"/>
      <x:c r="E2293"/>
      <x:c r="F2293"/>
      <x:c r="G2293"/>
      <x:c r="H2293"/>
      <x:c r="I2293"/>
      <x:c r="J2293"/>
      <x:c r="K2293"/>
      <x:c r="L2293"/>
      <x:c r="M2293"/>
      <x:c r="N2293"/>
      <x:c r="O2293"/>
      <x:c r="P2293"/>
      <x:c r="Q2293"/>
      <x:c r="R2293"/>
      <x:c r="S2293"/>
      <x:c r="T2293"/>
      <x:c r="U2293"/>
      <x:c r="V2293"/>
      <x:c r="W2293"/>
    </x:row>
    <x:row r="2294">
      <x:c r="A2294"/>
      <x:c r="B2294"/>
      <x:c r="C2294"/>
      <x:c r="D2294"/>
      <x:c r="E2294"/>
      <x:c r="F2294"/>
      <x:c r="G2294"/>
      <x:c r="H2294"/>
      <x:c r="I2294"/>
      <x:c r="J2294"/>
      <x:c r="K2294"/>
      <x:c r="L2294"/>
      <x:c r="M2294"/>
      <x:c r="N2294"/>
      <x:c r="O2294"/>
      <x:c r="P2294"/>
      <x:c r="Q2294"/>
      <x:c r="R2294"/>
      <x:c r="S2294"/>
      <x:c r="T2294"/>
      <x:c r="U2294"/>
      <x:c r="V2294"/>
      <x:c r="W2294"/>
    </x:row>
    <x:row r="2295">
      <x:c r="A2295"/>
      <x:c r="B2295"/>
      <x:c r="C2295"/>
      <x:c r="D2295"/>
      <x:c r="E2295"/>
      <x:c r="F2295"/>
      <x:c r="G2295"/>
      <x:c r="H2295"/>
      <x:c r="I2295"/>
      <x:c r="J2295"/>
      <x:c r="K2295"/>
      <x:c r="L2295"/>
      <x:c r="M2295"/>
      <x:c r="N2295"/>
      <x:c r="O2295"/>
      <x:c r="P2295"/>
      <x:c r="Q2295"/>
      <x:c r="R2295"/>
      <x:c r="S2295"/>
      <x:c r="T2295"/>
      <x:c r="U2295"/>
      <x:c r="V2295"/>
      <x:c r="W2295"/>
    </x:row>
    <x:row r="2296">
      <x:c r="A2296"/>
      <x:c r="B2296"/>
      <x:c r="C2296"/>
      <x:c r="D2296"/>
      <x:c r="E2296"/>
      <x:c r="F2296"/>
      <x:c r="G2296"/>
      <x:c r="H2296"/>
      <x:c r="I2296"/>
      <x:c r="J2296"/>
      <x:c r="K2296"/>
      <x:c r="L2296"/>
      <x:c r="M2296"/>
      <x:c r="N2296"/>
      <x:c r="O2296"/>
      <x:c r="P2296"/>
      <x:c r="Q2296"/>
      <x:c r="R2296"/>
      <x:c r="S2296"/>
      <x:c r="T2296"/>
      <x:c r="U2296"/>
      <x:c r="V2296"/>
      <x:c r="W2296"/>
    </x:row>
    <x:row r="2297">
      <x:c r="A2297"/>
      <x:c r="B2297"/>
      <x:c r="C2297"/>
      <x:c r="D2297"/>
      <x:c r="E2297"/>
      <x:c r="F2297"/>
      <x:c r="G2297"/>
      <x:c r="H2297"/>
      <x:c r="I2297"/>
      <x:c r="J2297"/>
      <x:c r="K2297"/>
      <x:c r="L2297"/>
      <x:c r="M2297"/>
      <x:c r="N2297"/>
      <x:c r="O2297"/>
      <x:c r="P2297"/>
      <x:c r="Q2297"/>
      <x:c r="R2297"/>
      <x:c r="S2297"/>
      <x:c r="T2297"/>
      <x:c r="U2297"/>
      <x:c r="V2297"/>
      <x:c r="W2297"/>
    </x:row>
    <x:row r="2298">
      <x:c r="A2298"/>
      <x:c r="B2298"/>
      <x:c r="C2298"/>
      <x:c r="D2298"/>
      <x:c r="E2298"/>
      <x:c r="F2298"/>
      <x:c r="G2298"/>
      <x:c r="H2298"/>
      <x:c r="I2298"/>
      <x:c r="J2298"/>
      <x:c r="K2298"/>
      <x:c r="L2298"/>
      <x:c r="M2298"/>
      <x:c r="N2298"/>
      <x:c r="O2298"/>
      <x:c r="P2298"/>
      <x:c r="Q2298"/>
      <x:c r="R2298"/>
      <x:c r="S2298"/>
      <x:c r="T2298"/>
      <x:c r="U2298"/>
      <x:c r="V2298"/>
      <x:c r="W2298"/>
    </x:row>
    <x:row r="2299">
      <x:c r="A2299"/>
      <x:c r="B2299"/>
      <x:c r="C2299"/>
      <x:c r="D2299"/>
      <x:c r="E2299"/>
      <x:c r="F2299"/>
      <x:c r="G2299"/>
      <x:c r="H2299"/>
      <x:c r="I2299"/>
      <x:c r="J2299"/>
      <x:c r="K2299"/>
      <x:c r="L2299"/>
      <x:c r="M2299"/>
      <x:c r="N2299"/>
      <x:c r="O2299"/>
      <x:c r="P2299"/>
      <x:c r="Q2299"/>
      <x:c r="R2299"/>
      <x:c r="S2299"/>
      <x:c r="T2299"/>
      <x:c r="U2299"/>
      <x:c r="V2299"/>
      <x:c r="W2299"/>
    </x:row>
    <x:row r="2300">
      <x:c r="A2300"/>
      <x:c r="B2300"/>
      <x:c r="C2300"/>
      <x:c r="D2300"/>
      <x:c r="E2300"/>
      <x:c r="F2300"/>
      <x:c r="G2300"/>
      <x:c r="H2300"/>
      <x:c r="I2300"/>
      <x:c r="J2300"/>
      <x:c r="K2300"/>
      <x:c r="L2300"/>
      <x:c r="M2300"/>
      <x:c r="N2300"/>
      <x:c r="O2300"/>
      <x:c r="P2300"/>
      <x:c r="Q2300"/>
      <x:c r="R2300"/>
      <x:c r="S2300"/>
      <x:c r="T2300"/>
      <x:c r="U2300"/>
      <x:c r="V2300"/>
      <x:c r="W2300"/>
    </x:row>
    <x:row r="2301">
      <x:c r="A2301"/>
      <x:c r="B2301"/>
      <x:c r="C2301"/>
      <x:c r="D2301"/>
      <x:c r="E2301"/>
      <x:c r="F2301"/>
      <x:c r="G2301"/>
      <x:c r="H2301"/>
      <x:c r="I2301"/>
      <x:c r="J2301"/>
      <x:c r="K2301"/>
      <x:c r="L2301"/>
      <x:c r="M2301"/>
      <x:c r="N2301"/>
      <x:c r="O2301"/>
      <x:c r="P2301"/>
      <x:c r="Q2301"/>
      <x:c r="R2301"/>
      <x:c r="S2301"/>
      <x:c r="T2301"/>
      <x:c r="U2301"/>
      <x:c r="V2301"/>
      <x:c r="W2301"/>
    </x:row>
    <x:row r="2302">
      <x:c r="A2302"/>
      <x:c r="B2302"/>
      <x:c r="C2302"/>
      <x:c r="D2302"/>
      <x:c r="E2302"/>
      <x:c r="F2302"/>
      <x:c r="G2302"/>
      <x:c r="H2302"/>
      <x:c r="I2302"/>
      <x:c r="J2302"/>
      <x:c r="K2302"/>
      <x:c r="L2302"/>
      <x:c r="M2302"/>
      <x:c r="N2302"/>
      <x:c r="O2302"/>
      <x:c r="P2302"/>
      <x:c r="Q2302"/>
      <x:c r="R2302"/>
      <x:c r="S2302"/>
      <x:c r="T2302"/>
      <x:c r="U2302"/>
      <x:c r="V2302"/>
      <x:c r="W2302"/>
    </x:row>
    <x:row r="2303">
      <x:c r="A2303"/>
      <x:c r="B2303"/>
      <x:c r="C2303"/>
      <x:c r="D2303"/>
      <x:c r="E2303"/>
      <x:c r="F2303"/>
      <x:c r="G2303"/>
      <x:c r="H2303"/>
      <x:c r="I2303"/>
      <x:c r="J2303"/>
      <x:c r="K2303"/>
      <x:c r="L2303"/>
      <x:c r="M2303"/>
      <x:c r="N2303"/>
      <x:c r="O2303"/>
      <x:c r="P2303"/>
      <x:c r="Q2303"/>
      <x:c r="R2303"/>
      <x:c r="S2303"/>
      <x:c r="T2303"/>
      <x:c r="U2303"/>
      <x:c r="V2303"/>
      <x:c r="W2303"/>
    </x:row>
    <x:row r="2304">
      <x:c r="A2304"/>
      <x:c r="B2304"/>
      <x:c r="C2304"/>
      <x:c r="D2304"/>
      <x:c r="E2304"/>
      <x:c r="F2304"/>
      <x:c r="G2304"/>
      <x:c r="H2304"/>
      <x:c r="I2304"/>
      <x:c r="J2304"/>
      <x:c r="K2304"/>
      <x:c r="L2304"/>
      <x:c r="M2304"/>
      <x:c r="N2304"/>
      <x:c r="O2304"/>
      <x:c r="P2304"/>
      <x:c r="Q2304"/>
      <x:c r="R2304"/>
      <x:c r="S2304"/>
      <x:c r="T2304"/>
      <x:c r="U2304"/>
      <x:c r="V2304"/>
      <x:c r="W2304"/>
    </x:row>
    <x:row r="2305">
      <x:c r="A2305"/>
      <x:c r="B2305"/>
      <x:c r="C2305"/>
      <x:c r="D2305"/>
      <x:c r="E2305"/>
      <x:c r="F2305"/>
      <x:c r="G2305"/>
      <x:c r="H2305"/>
      <x:c r="I2305"/>
      <x:c r="J2305"/>
      <x:c r="K2305"/>
      <x:c r="L2305"/>
      <x:c r="M2305"/>
      <x:c r="N2305"/>
      <x:c r="O2305"/>
      <x:c r="P2305"/>
      <x:c r="Q2305"/>
      <x:c r="R2305"/>
      <x:c r="S2305"/>
      <x:c r="T2305"/>
      <x:c r="U2305"/>
      <x:c r="V2305"/>
      <x:c r="W2305"/>
    </x:row>
    <x:row r="2306">
      <x:c r="A2306"/>
      <x:c r="B2306"/>
      <x:c r="C2306"/>
      <x:c r="D2306"/>
      <x:c r="E2306"/>
      <x:c r="F2306"/>
      <x:c r="G2306"/>
      <x:c r="H2306"/>
      <x:c r="I2306"/>
      <x:c r="J2306"/>
      <x:c r="K2306"/>
      <x:c r="L2306"/>
      <x:c r="M2306"/>
      <x:c r="N2306"/>
      <x:c r="O2306"/>
      <x:c r="P2306"/>
      <x:c r="Q2306"/>
      <x:c r="R2306"/>
      <x:c r="S2306"/>
      <x:c r="T2306"/>
      <x:c r="U2306"/>
      <x:c r="V2306"/>
      <x:c r="W2306"/>
    </x:row>
    <x:row r="2307">
      <x:c r="A2307"/>
      <x:c r="B2307"/>
      <x:c r="C2307"/>
      <x:c r="D2307"/>
      <x:c r="E2307"/>
      <x:c r="F2307"/>
      <x:c r="G2307"/>
      <x:c r="H2307"/>
      <x:c r="I2307"/>
      <x:c r="J2307"/>
      <x:c r="K2307"/>
      <x:c r="L2307"/>
      <x:c r="M2307"/>
      <x:c r="N2307"/>
      <x:c r="O2307"/>
      <x:c r="P2307"/>
      <x:c r="Q2307"/>
      <x:c r="R2307"/>
      <x:c r="S2307"/>
      <x:c r="T2307"/>
      <x:c r="U2307"/>
      <x:c r="V2307"/>
      <x:c r="W2307"/>
    </x:row>
    <x:row r="2308">
      <x:c r="A2308"/>
      <x:c r="B2308"/>
      <x:c r="C2308"/>
      <x:c r="D2308"/>
      <x:c r="E2308"/>
      <x:c r="F2308"/>
      <x:c r="G2308"/>
      <x:c r="H2308"/>
      <x:c r="I2308"/>
      <x:c r="J2308"/>
      <x:c r="K2308"/>
      <x:c r="L2308"/>
      <x:c r="M2308"/>
      <x:c r="N2308"/>
      <x:c r="O2308"/>
      <x:c r="P2308"/>
      <x:c r="Q2308"/>
      <x:c r="R2308"/>
      <x:c r="S2308"/>
      <x:c r="T2308"/>
      <x:c r="U2308"/>
      <x:c r="V2308"/>
      <x:c r="W2308"/>
    </x:row>
    <x:row r="2309">
      <x:c r="A2309"/>
      <x:c r="B2309"/>
      <x:c r="C2309"/>
      <x:c r="D2309"/>
      <x:c r="E2309"/>
      <x:c r="F2309"/>
      <x:c r="G2309"/>
      <x:c r="H2309"/>
      <x:c r="I2309"/>
      <x:c r="J2309"/>
      <x:c r="K2309"/>
      <x:c r="L2309"/>
      <x:c r="M2309"/>
      <x:c r="N2309"/>
      <x:c r="O2309"/>
      <x:c r="P2309"/>
      <x:c r="Q2309"/>
      <x:c r="R2309"/>
      <x:c r="S2309"/>
      <x:c r="T2309"/>
      <x:c r="U2309"/>
      <x:c r="V2309"/>
      <x:c r="W2309"/>
    </x:row>
    <x:row r="2310">
      <x:c r="A2310"/>
      <x:c r="B2310"/>
      <x:c r="C2310"/>
      <x:c r="D2310"/>
      <x:c r="E2310"/>
      <x:c r="F2310"/>
      <x:c r="G2310"/>
      <x:c r="H2310"/>
      <x:c r="I2310"/>
      <x:c r="J2310"/>
      <x:c r="K2310"/>
      <x:c r="L2310"/>
      <x:c r="M2310"/>
      <x:c r="N2310"/>
      <x:c r="O2310"/>
      <x:c r="P2310"/>
      <x:c r="Q2310"/>
      <x:c r="R2310"/>
      <x:c r="S2310"/>
      <x:c r="T2310"/>
      <x:c r="U2310"/>
      <x:c r="V2310"/>
      <x:c r="W2310"/>
    </x:row>
    <x:row r="2311">
      <x:c r="A2311"/>
      <x:c r="B2311"/>
      <x:c r="C2311"/>
      <x:c r="D2311"/>
      <x:c r="E2311"/>
      <x:c r="F2311"/>
      <x:c r="G2311"/>
      <x:c r="H2311"/>
      <x:c r="I2311"/>
      <x:c r="J2311"/>
      <x:c r="K2311"/>
      <x:c r="L2311"/>
      <x:c r="M2311"/>
      <x:c r="N2311"/>
      <x:c r="O2311"/>
      <x:c r="P2311"/>
      <x:c r="Q2311"/>
      <x:c r="R2311"/>
      <x:c r="S2311"/>
      <x:c r="T2311"/>
      <x:c r="U2311"/>
      <x:c r="V2311"/>
      <x:c r="W2311"/>
    </x:row>
    <x:row r="2312">
      <x:c r="A2312"/>
      <x:c r="B2312"/>
      <x:c r="C2312"/>
      <x:c r="D2312"/>
      <x:c r="E2312"/>
      <x:c r="F2312"/>
      <x:c r="G2312"/>
      <x:c r="H2312"/>
      <x:c r="I2312"/>
      <x:c r="J2312"/>
      <x:c r="K2312"/>
      <x:c r="L2312"/>
      <x:c r="M2312"/>
      <x:c r="N2312"/>
      <x:c r="O2312"/>
      <x:c r="P2312"/>
      <x:c r="Q2312"/>
      <x:c r="R2312"/>
      <x:c r="S2312"/>
      <x:c r="T2312"/>
      <x:c r="U2312"/>
      <x:c r="V2312"/>
      <x:c r="W2312"/>
    </x:row>
    <x:row r="2313">
      <x:c r="A2313"/>
      <x:c r="B2313"/>
      <x:c r="C2313"/>
      <x:c r="D2313"/>
      <x:c r="E2313"/>
      <x:c r="F2313"/>
      <x:c r="G2313"/>
      <x:c r="H2313"/>
      <x:c r="I2313"/>
      <x:c r="J2313"/>
      <x:c r="K2313"/>
      <x:c r="L2313"/>
      <x:c r="M2313"/>
      <x:c r="N2313"/>
      <x:c r="O2313"/>
      <x:c r="P2313"/>
      <x:c r="Q2313"/>
      <x:c r="R2313"/>
      <x:c r="S2313"/>
      <x:c r="T2313"/>
      <x:c r="U2313"/>
      <x:c r="V2313"/>
      <x:c r="W2313"/>
    </x:row>
    <x:row r="2314">
      <x:c r="A2314"/>
      <x:c r="B2314"/>
      <x:c r="C2314"/>
      <x:c r="D2314"/>
      <x:c r="E2314"/>
      <x:c r="F2314"/>
      <x:c r="G2314"/>
      <x:c r="H2314"/>
      <x:c r="I2314"/>
      <x:c r="J2314"/>
      <x:c r="K2314"/>
      <x:c r="L2314"/>
      <x:c r="M2314"/>
      <x:c r="N2314"/>
      <x:c r="O2314"/>
      <x:c r="P2314"/>
      <x:c r="Q2314"/>
      <x:c r="R2314"/>
      <x:c r="S2314"/>
      <x:c r="T2314"/>
      <x:c r="U2314"/>
      <x:c r="V2314"/>
      <x:c r="W2314"/>
    </x:row>
    <x:row r="2315">
      <x:c r="A2315"/>
      <x:c r="B2315"/>
      <x:c r="C2315"/>
      <x:c r="D2315"/>
      <x:c r="E2315"/>
      <x:c r="F2315"/>
      <x:c r="G2315"/>
      <x:c r="H2315"/>
      <x:c r="I2315"/>
      <x:c r="J2315"/>
      <x:c r="K2315"/>
      <x:c r="L2315"/>
      <x:c r="M2315"/>
      <x:c r="N2315"/>
      <x:c r="O2315"/>
      <x:c r="P2315"/>
      <x:c r="Q2315"/>
      <x:c r="R2315"/>
      <x:c r="S2315"/>
      <x:c r="T2315"/>
      <x:c r="U2315"/>
      <x:c r="V2315"/>
      <x:c r="W2315"/>
    </x:row>
    <x:row r="2316">
      <x:c r="A2316"/>
      <x:c r="B2316"/>
      <x:c r="C2316"/>
      <x:c r="D2316"/>
      <x:c r="E2316"/>
      <x:c r="F2316"/>
      <x:c r="G2316"/>
      <x:c r="H2316"/>
      <x:c r="I2316"/>
      <x:c r="J2316"/>
      <x:c r="K2316"/>
      <x:c r="L2316"/>
      <x:c r="M2316"/>
      <x:c r="N2316"/>
      <x:c r="O2316"/>
      <x:c r="P2316"/>
      <x:c r="Q2316"/>
      <x:c r="R2316"/>
      <x:c r="S2316"/>
      <x:c r="T2316"/>
      <x:c r="U2316"/>
      <x:c r="V2316"/>
      <x:c r="W2316"/>
    </x:row>
    <x:row r="2317">
      <x:c r="A2317"/>
      <x:c r="B2317"/>
      <x:c r="C2317"/>
      <x:c r="D2317"/>
      <x:c r="E2317"/>
      <x:c r="F2317"/>
      <x:c r="G2317"/>
      <x:c r="H2317"/>
      <x:c r="I2317"/>
      <x:c r="J2317"/>
      <x:c r="K2317"/>
      <x:c r="L2317"/>
      <x:c r="M2317"/>
      <x:c r="N2317"/>
      <x:c r="O2317"/>
      <x:c r="P2317"/>
      <x:c r="Q2317"/>
      <x:c r="R2317"/>
      <x:c r="S2317"/>
      <x:c r="T2317"/>
      <x:c r="U2317"/>
      <x:c r="V2317"/>
      <x:c r="W2317"/>
    </x:row>
    <x:row r="2318">
      <x:c r="A2318"/>
      <x:c r="B2318"/>
      <x:c r="C2318"/>
      <x:c r="D2318"/>
      <x:c r="E2318"/>
      <x:c r="F2318"/>
      <x:c r="G2318"/>
      <x:c r="H2318"/>
      <x:c r="I2318"/>
      <x:c r="J2318"/>
      <x:c r="K2318"/>
      <x:c r="L2318"/>
      <x:c r="M2318"/>
      <x:c r="N2318"/>
      <x:c r="O2318"/>
      <x:c r="P2318"/>
      <x:c r="Q2318"/>
      <x:c r="R2318"/>
      <x:c r="S2318"/>
      <x:c r="T2318"/>
      <x:c r="U2318"/>
      <x:c r="V2318"/>
      <x:c r="W2318"/>
    </x:row>
    <x:row r="2319">
      <x:c r="A2319"/>
      <x:c r="B2319"/>
      <x:c r="C2319"/>
      <x:c r="D2319"/>
      <x:c r="E2319"/>
      <x:c r="F2319"/>
      <x:c r="G2319"/>
      <x:c r="H2319"/>
      <x:c r="I2319"/>
      <x:c r="J2319"/>
      <x:c r="K2319"/>
      <x:c r="L2319"/>
      <x:c r="M2319"/>
      <x:c r="N2319"/>
      <x:c r="O2319"/>
      <x:c r="P2319"/>
      <x:c r="Q2319"/>
      <x:c r="R2319"/>
      <x:c r="S2319"/>
      <x:c r="T2319"/>
      <x:c r="U2319"/>
      <x:c r="V2319"/>
      <x:c r="W2319"/>
    </x:row>
    <x:row r="2320">
      <x:c r="A2320"/>
      <x:c r="B2320"/>
      <x:c r="C2320"/>
      <x:c r="D2320"/>
      <x:c r="E2320"/>
      <x:c r="F2320"/>
      <x:c r="G2320"/>
      <x:c r="H2320"/>
      <x:c r="I2320"/>
      <x:c r="J2320"/>
      <x:c r="K2320"/>
      <x:c r="L2320"/>
      <x:c r="M2320"/>
      <x:c r="N2320"/>
      <x:c r="O2320"/>
      <x:c r="P2320"/>
      <x:c r="Q2320"/>
      <x:c r="R2320"/>
      <x:c r="S2320"/>
      <x:c r="T2320"/>
      <x:c r="U2320"/>
      <x:c r="V2320"/>
      <x:c r="W2320"/>
    </x:row>
    <x:row r="2321">
      <x:c r="A2321"/>
      <x:c r="B2321"/>
      <x:c r="C2321"/>
      <x:c r="D2321"/>
      <x:c r="E2321"/>
      <x:c r="F2321"/>
      <x:c r="G2321"/>
      <x:c r="H2321"/>
      <x:c r="I2321"/>
      <x:c r="J2321"/>
      <x:c r="K2321"/>
      <x:c r="L2321"/>
      <x:c r="M2321"/>
      <x:c r="N2321"/>
      <x:c r="O2321"/>
      <x:c r="P2321"/>
      <x:c r="Q2321"/>
      <x:c r="R2321"/>
      <x:c r="S2321"/>
      <x:c r="T2321"/>
      <x:c r="U2321"/>
      <x:c r="V2321"/>
      <x:c r="W2321"/>
    </x:row>
    <x:row r="2322">
      <x:c r="A2322"/>
      <x:c r="B2322"/>
      <x:c r="C2322"/>
      <x:c r="D2322"/>
      <x:c r="E2322"/>
      <x:c r="F2322"/>
      <x:c r="G2322"/>
      <x:c r="H2322"/>
      <x:c r="I2322"/>
      <x:c r="J2322"/>
      <x:c r="K2322"/>
      <x:c r="L2322"/>
      <x:c r="M2322"/>
      <x:c r="N2322"/>
      <x:c r="O2322"/>
      <x:c r="P2322"/>
      <x:c r="Q2322"/>
      <x:c r="R2322"/>
      <x:c r="S2322"/>
      <x:c r="T2322"/>
      <x:c r="U2322"/>
      <x:c r="V2322"/>
      <x:c r="W2322"/>
    </x:row>
    <x:row r="2323">
      <x:c r="A2323"/>
      <x:c r="B2323"/>
      <x:c r="C2323"/>
      <x:c r="D2323"/>
      <x:c r="E2323"/>
      <x:c r="F2323"/>
      <x:c r="G2323"/>
      <x:c r="H2323"/>
      <x:c r="I2323"/>
      <x:c r="J2323"/>
      <x:c r="K2323"/>
      <x:c r="L2323"/>
      <x:c r="M2323"/>
      <x:c r="N2323"/>
      <x:c r="O2323"/>
      <x:c r="P2323"/>
      <x:c r="Q2323"/>
      <x:c r="R2323"/>
      <x:c r="S2323"/>
      <x:c r="T2323"/>
      <x:c r="U2323"/>
      <x:c r="V2323"/>
      <x:c r="W2323"/>
    </x:row>
    <x:row r="2324">
      <x:c r="A2324"/>
      <x:c r="B2324"/>
      <x:c r="C2324"/>
      <x:c r="D2324"/>
      <x:c r="E2324"/>
      <x:c r="F2324"/>
      <x:c r="G2324"/>
      <x:c r="H2324"/>
      <x:c r="I2324"/>
      <x:c r="J2324"/>
      <x:c r="K2324"/>
      <x:c r="L2324"/>
      <x:c r="M2324"/>
      <x:c r="N2324"/>
      <x:c r="O2324"/>
      <x:c r="P2324"/>
      <x:c r="Q2324"/>
      <x:c r="R2324"/>
      <x:c r="S2324"/>
      <x:c r="T2324"/>
      <x:c r="U2324"/>
      <x:c r="V2324"/>
      <x:c r="W2324"/>
    </x:row>
    <x:row r="2325">
      <x:c r="A2325"/>
      <x:c r="B2325"/>
      <x:c r="C2325"/>
      <x:c r="D2325"/>
      <x:c r="E2325"/>
      <x:c r="F2325"/>
      <x:c r="G2325"/>
      <x:c r="H2325"/>
      <x:c r="I2325"/>
      <x:c r="J2325"/>
      <x:c r="K2325"/>
      <x:c r="L2325"/>
      <x:c r="M2325"/>
      <x:c r="N2325"/>
      <x:c r="O2325"/>
      <x:c r="P2325"/>
      <x:c r="Q2325"/>
      <x:c r="R2325"/>
      <x:c r="S2325"/>
      <x:c r="T2325"/>
      <x:c r="U2325"/>
      <x:c r="V2325"/>
      <x:c r="W2325"/>
    </x:row>
    <x:row r="2326">
      <x:c r="A2326"/>
      <x:c r="B2326"/>
      <x:c r="C2326"/>
      <x:c r="D2326"/>
      <x:c r="E2326"/>
      <x:c r="F2326"/>
      <x:c r="G2326"/>
      <x:c r="H2326"/>
      <x:c r="I2326"/>
      <x:c r="J2326"/>
      <x:c r="K2326"/>
      <x:c r="L2326"/>
      <x:c r="M2326"/>
      <x:c r="N2326"/>
      <x:c r="O2326"/>
      <x:c r="P2326"/>
      <x:c r="Q2326"/>
      <x:c r="R2326"/>
      <x:c r="S2326"/>
      <x:c r="T2326"/>
      <x:c r="U2326"/>
      <x:c r="V2326"/>
      <x:c r="W2326"/>
    </x:row>
    <x:row r="2327">
      <x:c r="A2327"/>
      <x:c r="B2327"/>
      <x:c r="C2327"/>
      <x:c r="D2327"/>
      <x:c r="E2327"/>
      <x:c r="F2327"/>
      <x:c r="G2327"/>
      <x:c r="H2327"/>
      <x:c r="I2327"/>
      <x:c r="J2327"/>
      <x:c r="K2327"/>
      <x:c r="L2327"/>
      <x:c r="M2327"/>
      <x:c r="N2327"/>
      <x:c r="O2327"/>
      <x:c r="P2327"/>
      <x:c r="Q2327"/>
      <x:c r="R2327"/>
      <x:c r="S2327"/>
      <x:c r="T2327"/>
      <x:c r="U2327"/>
      <x:c r="V2327"/>
      <x:c r="W2327"/>
    </x:row>
    <x:row r="2328">
      <x:c r="A2328"/>
      <x:c r="B2328"/>
      <x:c r="C2328"/>
      <x:c r="D2328"/>
      <x:c r="E2328"/>
      <x:c r="F2328"/>
      <x:c r="G2328"/>
      <x:c r="H2328"/>
      <x:c r="I2328"/>
      <x:c r="J2328"/>
      <x:c r="K2328"/>
      <x:c r="L2328"/>
      <x:c r="M2328"/>
      <x:c r="N2328"/>
      <x:c r="O2328"/>
      <x:c r="P2328"/>
      <x:c r="Q2328"/>
      <x:c r="R2328"/>
      <x:c r="S2328"/>
      <x:c r="T2328"/>
      <x:c r="U2328"/>
      <x:c r="V2328"/>
      <x:c r="W2328"/>
    </x:row>
    <x:row r="2329">
      <x:c r="A2329"/>
      <x:c r="B2329"/>
      <x:c r="C2329"/>
      <x:c r="D2329"/>
      <x:c r="E2329"/>
      <x:c r="F2329"/>
      <x:c r="G2329"/>
      <x:c r="H2329"/>
      <x:c r="I2329"/>
      <x:c r="J2329"/>
      <x:c r="K2329"/>
      <x:c r="L2329"/>
      <x:c r="M2329"/>
      <x:c r="N2329"/>
      <x:c r="O2329"/>
      <x:c r="P2329"/>
      <x:c r="Q2329"/>
      <x:c r="R2329"/>
      <x:c r="S2329"/>
      <x:c r="T2329"/>
      <x:c r="U2329"/>
      <x:c r="V2329"/>
      <x:c r="W2329"/>
    </x:row>
    <x:row r="2330">
      <x:c r="A2330"/>
      <x:c r="B2330"/>
      <x:c r="C2330"/>
      <x:c r="D2330"/>
      <x:c r="E2330"/>
      <x:c r="F2330"/>
      <x:c r="G2330"/>
      <x:c r="H2330"/>
      <x:c r="I2330"/>
      <x:c r="J2330"/>
      <x:c r="K2330"/>
      <x:c r="L2330"/>
      <x:c r="M2330"/>
      <x:c r="N2330"/>
      <x:c r="O2330"/>
      <x:c r="P2330"/>
      <x:c r="Q2330"/>
      <x:c r="R2330"/>
      <x:c r="S2330"/>
      <x:c r="T2330"/>
      <x:c r="U2330"/>
      <x:c r="V2330"/>
      <x:c r="W2330"/>
    </x:row>
    <x:row r="2331">
      <x:c r="A2331"/>
      <x:c r="B2331"/>
      <x:c r="C2331"/>
      <x:c r="D2331"/>
      <x:c r="E2331"/>
      <x:c r="F2331"/>
      <x:c r="G2331"/>
      <x:c r="H2331"/>
      <x:c r="I2331"/>
      <x:c r="J2331"/>
      <x:c r="K2331"/>
      <x:c r="L2331"/>
      <x:c r="M2331"/>
      <x:c r="N2331"/>
      <x:c r="O2331"/>
      <x:c r="P2331"/>
      <x:c r="Q2331"/>
      <x:c r="R2331"/>
      <x:c r="S2331"/>
      <x:c r="T2331"/>
      <x:c r="U2331"/>
      <x:c r="V2331"/>
      <x:c r="W2331"/>
    </x:row>
    <x:row r="2332">
      <x:c r="A2332"/>
      <x:c r="B2332"/>
      <x:c r="C2332"/>
      <x:c r="D2332"/>
      <x:c r="E2332"/>
      <x:c r="F2332"/>
      <x:c r="G2332"/>
      <x:c r="H2332"/>
      <x:c r="I2332"/>
      <x:c r="J2332"/>
      <x:c r="K2332"/>
      <x:c r="L2332"/>
      <x:c r="M2332"/>
      <x:c r="N2332"/>
      <x:c r="O2332"/>
      <x:c r="P2332"/>
      <x:c r="Q2332"/>
      <x:c r="R2332"/>
      <x:c r="S2332"/>
      <x:c r="T2332"/>
      <x:c r="U2332"/>
      <x:c r="V2332"/>
      <x:c r="W2332"/>
    </x:row>
    <x:row r="2333">
      <x:c r="A2333"/>
      <x:c r="B2333"/>
      <x:c r="C2333"/>
      <x:c r="D2333"/>
      <x:c r="E2333"/>
      <x:c r="F2333"/>
      <x:c r="G2333"/>
      <x:c r="H2333"/>
      <x:c r="I2333"/>
      <x:c r="J2333"/>
      <x:c r="K2333"/>
      <x:c r="L2333"/>
      <x:c r="M2333"/>
      <x:c r="N2333"/>
      <x:c r="O2333"/>
      <x:c r="P2333"/>
      <x:c r="Q2333"/>
      <x:c r="R2333"/>
      <x:c r="S2333"/>
      <x:c r="T2333"/>
      <x:c r="U2333"/>
      <x:c r="V2333"/>
      <x:c r="W2333"/>
    </x:row>
    <x:row r="2334">
      <x:c r="A2334"/>
      <x:c r="B2334"/>
      <x:c r="C2334"/>
      <x:c r="D2334"/>
      <x:c r="E2334"/>
      <x:c r="F2334"/>
      <x:c r="G2334"/>
      <x:c r="H2334"/>
      <x:c r="I2334"/>
      <x:c r="J2334"/>
      <x:c r="K2334"/>
      <x:c r="L2334"/>
      <x:c r="M2334"/>
      <x:c r="N2334"/>
      <x:c r="O2334"/>
      <x:c r="P2334"/>
      <x:c r="Q2334"/>
      <x:c r="R2334"/>
      <x:c r="S2334"/>
      <x:c r="T2334"/>
      <x:c r="U2334"/>
      <x:c r="V2334"/>
      <x:c r="W2334"/>
    </x:row>
    <x:row r="2335">
      <x:c r="A2335"/>
      <x:c r="B2335"/>
      <x:c r="C2335"/>
      <x:c r="D2335"/>
      <x:c r="E2335"/>
      <x:c r="F2335"/>
      <x:c r="G2335"/>
      <x:c r="H2335"/>
      <x:c r="I2335"/>
      <x:c r="J2335"/>
      <x:c r="K2335"/>
      <x:c r="L2335"/>
      <x:c r="M2335"/>
      <x:c r="N2335"/>
      <x:c r="O2335"/>
      <x:c r="P2335"/>
      <x:c r="Q2335"/>
      <x:c r="R2335"/>
      <x:c r="S2335"/>
      <x:c r="T2335"/>
      <x:c r="U2335"/>
      <x:c r="V2335"/>
      <x:c r="W2335"/>
    </x:row>
    <x:row r="2336">
      <x:c r="A2336"/>
      <x:c r="B2336"/>
      <x:c r="C2336"/>
      <x:c r="D2336"/>
      <x:c r="E2336"/>
      <x:c r="F2336"/>
      <x:c r="G2336"/>
      <x:c r="H2336"/>
      <x:c r="I2336"/>
      <x:c r="J2336"/>
      <x:c r="K2336"/>
      <x:c r="L2336"/>
      <x:c r="M2336"/>
      <x:c r="N2336"/>
      <x:c r="O2336"/>
      <x:c r="P2336"/>
      <x:c r="Q2336"/>
      <x:c r="R2336"/>
      <x:c r="S2336"/>
      <x:c r="T2336"/>
      <x:c r="U2336"/>
      <x:c r="V2336"/>
      <x:c r="W2336"/>
    </x:row>
    <x:row r="2337">
      <x:c r="A2337"/>
      <x:c r="B2337"/>
      <x:c r="C2337"/>
      <x:c r="D2337"/>
      <x:c r="E2337"/>
      <x:c r="F2337"/>
      <x:c r="G2337"/>
      <x:c r="H2337"/>
      <x:c r="I2337"/>
      <x:c r="J2337"/>
      <x:c r="K2337"/>
      <x:c r="L2337"/>
      <x:c r="M2337"/>
      <x:c r="N2337"/>
      <x:c r="O2337"/>
      <x:c r="P2337"/>
      <x:c r="Q2337"/>
      <x:c r="R2337"/>
      <x:c r="S2337"/>
      <x:c r="T2337"/>
      <x:c r="U2337"/>
      <x:c r="V2337"/>
      <x:c r="W2337"/>
    </x:row>
    <x:row r="2338">
      <x:c r="A2338"/>
      <x:c r="B2338"/>
      <x:c r="C2338"/>
      <x:c r="D2338"/>
      <x:c r="E2338"/>
      <x:c r="F2338"/>
      <x:c r="G2338"/>
      <x:c r="H2338"/>
      <x:c r="I2338"/>
      <x:c r="J2338"/>
      <x:c r="K2338"/>
      <x:c r="L2338"/>
      <x:c r="M2338"/>
      <x:c r="N2338"/>
      <x:c r="O2338"/>
      <x:c r="P2338"/>
      <x:c r="Q2338"/>
      <x:c r="R2338"/>
      <x:c r="S2338"/>
      <x:c r="T2338"/>
      <x:c r="U2338"/>
      <x:c r="V2338"/>
      <x:c r="W2338"/>
    </x:row>
    <x:row r="2339">
      <x:c r="A2339"/>
      <x:c r="B2339"/>
      <x:c r="C2339"/>
      <x:c r="D2339"/>
      <x:c r="E2339"/>
      <x:c r="F2339"/>
      <x:c r="G2339"/>
      <x:c r="H2339"/>
      <x:c r="I2339"/>
      <x:c r="J2339"/>
      <x:c r="K2339"/>
      <x:c r="L2339"/>
      <x:c r="M2339"/>
      <x:c r="N2339"/>
      <x:c r="O2339"/>
      <x:c r="P2339"/>
      <x:c r="Q2339"/>
      <x:c r="R2339"/>
      <x:c r="S2339"/>
      <x:c r="T2339"/>
      <x:c r="U2339"/>
      <x:c r="V2339"/>
      <x:c r="W2339"/>
    </x:row>
    <x:row r="2340">
      <x:c r="A2340"/>
      <x:c r="B2340"/>
      <x:c r="C2340"/>
      <x:c r="D2340"/>
      <x:c r="E2340"/>
      <x:c r="F2340"/>
      <x:c r="G2340"/>
      <x:c r="H2340"/>
      <x:c r="I2340"/>
      <x:c r="J2340"/>
      <x:c r="K2340"/>
      <x:c r="L2340"/>
      <x:c r="M2340"/>
      <x:c r="N2340"/>
      <x:c r="O2340"/>
      <x:c r="P2340"/>
      <x:c r="Q2340"/>
      <x:c r="R2340"/>
      <x:c r="S2340"/>
      <x:c r="T2340"/>
      <x:c r="U2340"/>
      <x:c r="V2340"/>
      <x:c r="W2340"/>
    </x:row>
    <x:row r="2341">
      <x:c r="A2341"/>
      <x:c r="B2341"/>
      <x:c r="C2341"/>
      <x:c r="D2341"/>
      <x:c r="E2341"/>
      <x:c r="F2341"/>
      <x:c r="G2341"/>
      <x:c r="H2341"/>
      <x:c r="I2341"/>
      <x:c r="J2341"/>
      <x:c r="K2341"/>
      <x:c r="L2341"/>
      <x:c r="M2341"/>
      <x:c r="N2341"/>
      <x:c r="O2341"/>
      <x:c r="P2341"/>
      <x:c r="Q2341"/>
      <x:c r="R2341"/>
      <x:c r="S2341"/>
      <x:c r="T2341"/>
      <x:c r="U2341"/>
      <x:c r="V2341"/>
      <x:c r="W2341"/>
    </x:row>
    <x:row r="2342">
      <x:c r="A2342"/>
      <x:c r="B2342"/>
      <x:c r="C2342"/>
      <x:c r="D2342"/>
      <x:c r="E2342"/>
      <x:c r="F2342"/>
      <x:c r="G2342"/>
      <x:c r="H2342"/>
      <x:c r="I2342"/>
      <x:c r="J2342"/>
      <x:c r="K2342"/>
      <x:c r="L2342"/>
      <x:c r="M2342"/>
      <x:c r="N2342"/>
      <x:c r="O2342"/>
      <x:c r="P2342"/>
      <x:c r="Q2342"/>
      <x:c r="R2342"/>
      <x:c r="S2342"/>
      <x:c r="T2342"/>
      <x:c r="U2342"/>
      <x:c r="V2342"/>
      <x:c r="W2342"/>
    </x:row>
    <x:row r="2343">
      <x:c r="A2343"/>
      <x:c r="B2343"/>
      <x:c r="C2343"/>
      <x:c r="D2343"/>
      <x:c r="E2343"/>
      <x:c r="F2343"/>
      <x:c r="G2343"/>
      <x:c r="H2343"/>
      <x:c r="I2343"/>
      <x:c r="J2343"/>
      <x:c r="K2343"/>
      <x:c r="L2343"/>
      <x:c r="M2343"/>
      <x:c r="N2343"/>
      <x:c r="O2343"/>
      <x:c r="P2343"/>
      <x:c r="Q2343"/>
      <x:c r="R2343"/>
      <x:c r="S2343"/>
      <x:c r="T2343"/>
      <x:c r="U2343"/>
      <x:c r="V2343"/>
      <x:c r="W2343"/>
    </x:row>
    <x:row r="2344">
      <x:c r="A2344"/>
      <x:c r="B2344"/>
      <x:c r="C2344"/>
      <x:c r="D2344"/>
      <x:c r="E2344"/>
      <x:c r="F2344"/>
      <x:c r="G2344"/>
      <x:c r="H2344"/>
      <x:c r="I2344"/>
      <x:c r="J2344"/>
      <x:c r="K2344"/>
      <x:c r="L2344"/>
      <x:c r="M2344"/>
      <x:c r="N2344"/>
      <x:c r="O2344"/>
      <x:c r="P2344"/>
      <x:c r="Q2344"/>
      <x:c r="R2344"/>
      <x:c r="S2344"/>
      <x:c r="T2344"/>
      <x:c r="U2344"/>
      <x:c r="V2344"/>
      <x:c r="W2344"/>
    </x:row>
    <x:row r="2345">
      <x:c r="A2345"/>
      <x:c r="B2345"/>
      <x:c r="C2345"/>
      <x:c r="D2345"/>
      <x:c r="E2345"/>
      <x:c r="F2345"/>
      <x:c r="G2345"/>
      <x:c r="H2345"/>
      <x:c r="I2345"/>
      <x:c r="J2345"/>
      <x:c r="K2345"/>
      <x:c r="L2345"/>
      <x:c r="M2345"/>
      <x:c r="N2345"/>
      <x:c r="O2345"/>
      <x:c r="P2345"/>
      <x:c r="Q2345"/>
      <x:c r="R2345"/>
      <x:c r="S2345"/>
      <x:c r="T2345"/>
      <x:c r="U2345"/>
      <x:c r="V2345"/>
      <x:c r="W2345"/>
    </x:row>
    <x:row r="2346">
      <x:c r="A2346"/>
      <x:c r="B2346"/>
      <x:c r="C2346"/>
      <x:c r="D2346"/>
      <x:c r="E2346"/>
      <x:c r="F2346"/>
      <x:c r="G2346"/>
      <x:c r="H2346"/>
      <x:c r="I2346"/>
      <x:c r="J2346"/>
      <x:c r="K2346"/>
      <x:c r="L2346"/>
      <x:c r="M2346"/>
      <x:c r="N2346"/>
      <x:c r="O2346"/>
      <x:c r="P2346"/>
      <x:c r="Q2346"/>
      <x:c r="R2346"/>
      <x:c r="S2346"/>
      <x:c r="T2346"/>
      <x:c r="U2346"/>
      <x:c r="V2346"/>
      <x:c r="W2346"/>
    </x:row>
    <x:row r="2347">
      <x:c r="A2347"/>
      <x:c r="B2347"/>
      <x:c r="C2347"/>
      <x:c r="D2347"/>
      <x:c r="E2347"/>
      <x:c r="F2347"/>
      <x:c r="G2347"/>
      <x:c r="H2347"/>
      <x:c r="I2347"/>
      <x:c r="J2347"/>
      <x:c r="K2347"/>
      <x:c r="L2347"/>
      <x:c r="M2347"/>
      <x:c r="N2347"/>
      <x:c r="O2347"/>
      <x:c r="P2347"/>
      <x:c r="Q2347"/>
      <x:c r="R2347"/>
      <x:c r="S2347"/>
      <x:c r="T2347"/>
      <x:c r="U2347"/>
      <x:c r="V2347"/>
      <x:c r="W2347"/>
    </x:row>
    <x:row r="2348">
      <x:c r="A2348"/>
      <x:c r="B2348"/>
      <x:c r="C2348"/>
      <x:c r="D2348"/>
      <x:c r="E2348"/>
      <x:c r="F2348"/>
      <x:c r="G2348"/>
      <x:c r="H2348"/>
      <x:c r="I2348"/>
      <x:c r="J2348"/>
      <x:c r="K2348"/>
      <x:c r="L2348"/>
      <x:c r="M2348"/>
      <x:c r="N2348"/>
      <x:c r="O2348"/>
      <x:c r="P2348"/>
      <x:c r="Q2348"/>
      <x:c r="R2348"/>
      <x:c r="S2348"/>
      <x:c r="T2348"/>
      <x:c r="U2348"/>
      <x:c r="V2348"/>
      <x:c r="W2348"/>
    </x:row>
    <x:row r="2349">
      <x:c r="A2349"/>
      <x:c r="B2349"/>
      <x:c r="C2349"/>
      <x:c r="D2349"/>
      <x:c r="E2349"/>
      <x:c r="F2349"/>
      <x:c r="G2349"/>
      <x:c r="H2349"/>
      <x:c r="I2349"/>
      <x:c r="J2349"/>
      <x:c r="K2349"/>
      <x:c r="L2349"/>
      <x:c r="M2349"/>
      <x:c r="N2349"/>
      <x:c r="O2349"/>
      <x:c r="P2349"/>
      <x:c r="Q2349"/>
      <x:c r="R2349"/>
      <x:c r="S2349"/>
      <x:c r="T2349"/>
      <x:c r="U2349"/>
      <x:c r="V2349"/>
      <x:c r="W2349"/>
    </x:row>
    <x:row r="2350">
      <x:c r="A2350"/>
      <x:c r="B2350"/>
      <x:c r="C2350"/>
      <x:c r="D2350"/>
      <x:c r="E2350"/>
      <x:c r="F2350"/>
      <x:c r="G2350"/>
      <x:c r="H2350"/>
      <x:c r="I2350"/>
      <x:c r="J2350"/>
      <x:c r="K2350"/>
      <x:c r="L2350"/>
      <x:c r="M2350"/>
      <x:c r="N2350"/>
      <x:c r="O2350"/>
      <x:c r="P2350"/>
      <x:c r="Q2350"/>
      <x:c r="R2350"/>
      <x:c r="S2350"/>
      <x:c r="T2350"/>
      <x:c r="U2350"/>
      <x:c r="V2350"/>
      <x:c r="W2350"/>
    </x:row>
    <x:row r="2351">
      <x:c r="A2351"/>
      <x:c r="B2351"/>
      <x:c r="C2351"/>
      <x:c r="D2351"/>
      <x:c r="E2351"/>
      <x:c r="F2351"/>
      <x:c r="G2351"/>
      <x:c r="H2351"/>
      <x:c r="I2351"/>
      <x:c r="J2351"/>
      <x:c r="K2351"/>
      <x:c r="L2351"/>
      <x:c r="M2351"/>
      <x:c r="N2351"/>
      <x:c r="O2351"/>
      <x:c r="P2351"/>
      <x:c r="Q2351"/>
      <x:c r="R2351"/>
      <x:c r="S2351"/>
      <x:c r="T2351"/>
      <x:c r="U2351"/>
      <x:c r="V2351"/>
      <x:c r="W2351"/>
    </x:row>
    <x:row r="2352">
      <x:c r="A2352"/>
      <x:c r="B2352"/>
      <x:c r="C2352"/>
      <x:c r="D2352"/>
      <x:c r="E2352"/>
      <x:c r="F2352"/>
      <x:c r="G2352"/>
      <x:c r="H2352"/>
      <x:c r="I2352"/>
      <x:c r="J2352"/>
      <x:c r="K2352"/>
      <x:c r="L2352"/>
      <x:c r="M2352"/>
      <x:c r="N2352"/>
      <x:c r="O2352"/>
      <x:c r="P2352"/>
      <x:c r="Q2352"/>
      <x:c r="R2352"/>
      <x:c r="S2352"/>
      <x:c r="T2352"/>
      <x:c r="U2352"/>
      <x:c r="V2352"/>
      <x:c r="W2352"/>
    </x:row>
    <x:row r="2353">
      <x:c r="A2353"/>
      <x:c r="B2353"/>
      <x:c r="C2353"/>
      <x:c r="D2353"/>
      <x:c r="E2353"/>
      <x:c r="F2353"/>
      <x:c r="G2353"/>
      <x:c r="H2353"/>
      <x:c r="I2353"/>
      <x:c r="J2353"/>
      <x:c r="K2353"/>
      <x:c r="L2353"/>
      <x:c r="M2353"/>
      <x:c r="N2353"/>
      <x:c r="O2353"/>
      <x:c r="P2353"/>
      <x:c r="Q2353"/>
      <x:c r="R2353"/>
      <x:c r="S2353"/>
      <x:c r="T2353"/>
      <x:c r="U2353"/>
      <x:c r="V2353"/>
      <x:c r="W2353"/>
    </x:row>
    <x:row r="2354">
      <x:c r="A2354"/>
      <x:c r="B2354"/>
      <x:c r="C2354"/>
      <x:c r="D2354"/>
      <x:c r="E2354"/>
      <x:c r="F2354"/>
      <x:c r="G2354"/>
      <x:c r="H2354"/>
      <x:c r="I2354"/>
      <x:c r="J2354"/>
      <x:c r="K2354"/>
      <x:c r="L2354"/>
      <x:c r="M2354"/>
      <x:c r="N2354"/>
      <x:c r="O2354"/>
      <x:c r="P2354"/>
      <x:c r="Q2354"/>
      <x:c r="R2354"/>
      <x:c r="S2354"/>
      <x:c r="T2354"/>
      <x:c r="U2354"/>
      <x:c r="V2354"/>
      <x:c r="W2354"/>
    </x:row>
    <x:row r="2355">
      <x:c r="A2355"/>
      <x:c r="B2355"/>
      <x:c r="C2355"/>
      <x:c r="D2355"/>
      <x:c r="E2355"/>
      <x:c r="F2355"/>
      <x:c r="G2355"/>
      <x:c r="H2355"/>
      <x:c r="I2355"/>
      <x:c r="J2355"/>
      <x:c r="K2355"/>
      <x:c r="L2355"/>
      <x:c r="M2355"/>
      <x:c r="N2355"/>
      <x:c r="O2355"/>
      <x:c r="P2355"/>
      <x:c r="Q2355"/>
      <x:c r="R2355"/>
      <x:c r="S2355"/>
      <x:c r="T2355"/>
      <x:c r="U2355"/>
      <x:c r="V2355"/>
      <x:c r="W2355"/>
    </x:row>
    <x:row r="2356">
      <x:c r="A2356"/>
      <x:c r="B2356"/>
      <x:c r="C2356"/>
      <x:c r="D2356"/>
      <x:c r="E2356"/>
      <x:c r="F2356"/>
      <x:c r="G2356"/>
      <x:c r="H2356"/>
      <x:c r="I2356"/>
      <x:c r="J2356"/>
      <x:c r="K2356"/>
      <x:c r="L2356"/>
      <x:c r="M2356"/>
      <x:c r="N2356"/>
      <x:c r="O2356"/>
      <x:c r="P2356"/>
      <x:c r="Q2356"/>
      <x:c r="R2356"/>
      <x:c r="S2356"/>
      <x:c r="T2356"/>
      <x:c r="U2356"/>
      <x:c r="V2356"/>
      <x:c r="W2356"/>
    </x:row>
    <x:row r="2357">
      <x:c r="A2357"/>
      <x:c r="B2357"/>
      <x:c r="C2357"/>
      <x:c r="D2357"/>
      <x:c r="E2357"/>
      <x:c r="F2357"/>
      <x:c r="G2357"/>
      <x:c r="H2357"/>
      <x:c r="I2357"/>
      <x:c r="J2357"/>
      <x:c r="K2357"/>
      <x:c r="L2357"/>
      <x:c r="M2357"/>
      <x:c r="N2357"/>
      <x:c r="O2357"/>
      <x:c r="P2357"/>
      <x:c r="Q2357"/>
      <x:c r="R2357"/>
      <x:c r="S2357"/>
      <x:c r="T2357"/>
      <x:c r="U2357"/>
      <x:c r="V2357"/>
      <x:c r="W2357"/>
    </x:row>
    <x:row r="2358">
      <x:c r="A2358"/>
      <x:c r="B2358"/>
      <x:c r="C2358"/>
      <x:c r="D2358"/>
      <x:c r="E2358"/>
      <x:c r="F2358"/>
      <x:c r="G2358"/>
      <x:c r="H2358"/>
      <x:c r="I2358"/>
      <x:c r="J2358"/>
      <x:c r="K2358"/>
      <x:c r="L2358"/>
      <x:c r="M2358"/>
      <x:c r="N2358"/>
      <x:c r="O2358"/>
      <x:c r="P2358"/>
      <x:c r="Q2358"/>
      <x:c r="R2358"/>
      <x:c r="S2358"/>
      <x:c r="T2358"/>
      <x:c r="U2358"/>
      <x:c r="V2358"/>
      <x:c r="W2358"/>
    </x:row>
    <x:row r="2359">
      <x:c r="A2359"/>
      <x:c r="B2359"/>
      <x:c r="C2359"/>
      <x:c r="D2359"/>
      <x:c r="E2359"/>
      <x:c r="F2359"/>
      <x:c r="G2359"/>
      <x:c r="H2359"/>
      <x:c r="I2359"/>
      <x:c r="J2359"/>
      <x:c r="K2359"/>
      <x:c r="L2359"/>
      <x:c r="M2359"/>
      <x:c r="N2359"/>
      <x:c r="O2359"/>
      <x:c r="P2359"/>
      <x:c r="Q2359"/>
      <x:c r="R2359"/>
      <x:c r="S2359"/>
      <x:c r="T2359"/>
      <x:c r="U2359"/>
      <x:c r="V2359"/>
      <x:c r="W2359"/>
    </x:row>
    <x:row r="2360">
      <x:c r="A2360"/>
      <x:c r="B2360"/>
      <x:c r="C2360"/>
      <x:c r="D2360"/>
      <x:c r="E2360"/>
      <x:c r="F2360"/>
      <x:c r="G2360"/>
      <x:c r="H2360"/>
      <x:c r="I2360"/>
      <x:c r="J2360"/>
      <x:c r="K2360"/>
      <x:c r="L2360"/>
      <x:c r="M2360"/>
      <x:c r="N2360"/>
      <x:c r="O2360"/>
      <x:c r="P2360"/>
      <x:c r="Q2360"/>
      <x:c r="R2360"/>
      <x:c r="S2360"/>
      <x:c r="T2360"/>
      <x:c r="U2360"/>
      <x:c r="V2360"/>
      <x:c r="W2360"/>
    </x:row>
    <x:row r="2361">
      <x:c r="A2361"/>
      <x:c r="B2361"/>
      <x:c r="C2361"/>
      <x:c r="D2361"/>
      <x:c r="E2361"/>
      <x:c r="F2361"/>
      <x:c r="G2361"/>
      <x:c r="H2361"/>
      <x:c r="I2361"/>
      <x:c r="J2361"/>
      <x:c r="K2361"/>
      <x:c r="L2361"/>
      <x:c r="M2361"/>
      <x:c r="N2361"/>
      <x:c r="O2361"/>
      <x:c r="P2361"/>
      <x:c r="Q2361"/>
      <x:c r="R2361"/>
      <x:c r="S2361"/>
      <x:c r="T2361"/>
      <x:c r="U2361"/>
      <x:c r="V2361"/>
      <x:c r="W2361"/>
    </x:row>
    <x:row r="2362">
      <x:c r="A2362"/>
      <x:c r="B2362"/>
      <x:c r="C2362"/>
      <x:c r="D2362"/>
      <x:c r="E2362"/>
      <x:c r="F2362"/>
      <x:c r="G2362"/>
      <x:c r="H2362"/>
      <x:c r="I2362"/>
      <x:c r="J2362"/>
      <x:c r="K2362"/>
      <x:c r="L2362"/>
      <x:c r="M2362"/>
      <x:c r="N2362"/>
      <x:c r="O2362"/>
      <x:c r="P2362"/>
      <x:c r="Q2362"/>
      <x:c r="R2362"/>
      <x:c r="S2362"/>
      <x:c r="T2362"/>
      <x:c r="U2362"/>
      <x:c r="V2362"/>
      <x:c r="W2362"/>
    </x:row>
    <x:row r="2363">
      <x:c r="A2363"/>
      <x:c r="B2363"/>
      <x:c r="C2363"/>
      <x:c r="D2363"/>
      <x:c r="E2363"/>
      <x:c r="F2363"/>
      <x:c r="G2363"/>
      <x:c r="H2363"/>
      <x:c r="I2363"/>
      <x:c r="J2363"/>
      <x:c r="K2363"/>
      <x:c r="L2363"/>
      <x:c r="M2363"/>
      <x:c r="N2363"/>
      <x:c r="O2363"/>
      <x:c r="P2363"/>
      <x:c r="Q2363"/>
      <x:c r="R2363"/>
      <x:c r="S2363"/>
      <x:c r="T2363"/>
      <x:c r="U2363"/>
      <x:c r="V2363"/>
      <x:c r="W2363"/>
    </x:row>
    <x:row r="2364">
      <x:c r="A2364"/>
      <x:c r="B2364"/>
      <x:c r="C2364"/>
      <x:c r="D2364"/>
      <x:c r="E2364"/>
      <x:c r="F2364"/>
      <x:c r="G2364"/>
      <x:c r="H2364"/>
      <x:c r="I2364"/>
      <x:c r="J2364"/>
      <x:c r="K2364"/>
      <x:c r="L2364"/>
      <x:c r="M2364"/>
      <x:c r="N2364"/>
      <x:c r="O2364"/>
      <x:c r="P2364"/>
      <x:c r="Q2364"/>
      <x:c r="R2364"/>
      <x:c r="S2364"/>
      <x:c r="T2364"/>
      <x:c r="U2364"/>
      <x:c r="V2364"/>
      <x:c r="W2364"/>
    </x:row>
    <x:row r="2365">
      <x:c r="A2365"/>
      <x:c r="B2365"/>
      <x:c r="C2365"/>
      <x:c r="D2365"/>
      <x:c r="E2365"/>
      <x:c r="F2365"/>
      <x:c r="G2365"/>
      <x:c r="H2365"/>
      <x:c r="I2365"/>
      <x:c r="J2365"/>
      <x:c r="K2365"/>
      <x:c r="L2365"/>
      <x:c r="M2365"/>
      <x:c r="N2365"/>
      <x:c r="O2365"/>
      <x:c r="P2365"/>
      <x:c r="Q2365"/>
      <x:c r="R2365"/>
      <x:c r="S2365"/>
      <x:c r="T2365"/>
      <x:c r="U2365"/>
      <x:c r="V2365"/>
      <x:c r="W2365"/>
    </x:row>
    <x:row r="2366">
      <x:c r="A2366"/>
      <x:c r="B2366"/>
      <x:c r="C2366"/>
      <x:c r="D2366"/>
      <x:c r="E2366"/>
      <x:c r="F2366"/>
      <x:c r="G2366"/>
      <x:c r="H2366"/>
      <x:c r="I2366"/>
      <x:c r="J2366"/>
      <x:c r="K2366"/>
      <x:c r="L2366"/>
      <x:c r="M2366"/>
      <x:c r="N2366"/>
      <x:c r="O2366"/>
      <x:c r="P2366"/>
      <x:c r="Q2366"/>
      <x:c r="R2366"/>
      <x:c r="S2366"/>
      <x:c r="T2366"/>
      <x:c r="U2366"/>
      <x:c r="V2366"/>
      <x:c r="W2366"/>
    </x:row>
    <x:row r="2367">
      <x:c r="A2367"/>
      <x:c r="B2367"/>
      <x:c r="C2367"/>
      <x:c r="D2367"/>
      <x:c r="E2367"/>
      <x:c r="F2367"/>
      <x:c r="G2367"/>
      <x:c r="H2367"/>
      <x:c r="I2367"/>
      <x:c r="J2367"/>
      <x:c r="K2367"/>
      <x:c r="L2367"/>
      <x:c r="M2367"/>
      <x:c r="N2367"/>
      <x:c r="O2367"/>
      <x:c r="P2367"/>
      <x:c r="Q2367"/>
      <x:c r="R2367"/>
      <x:c r="S2367"/>
      <x:c r="T2367"/>
      <x:c r="U2367"/>
      <x:c r="V2367"/>
      <x:c r="W2367"/>
    </x:row>
    <x:row r="2368">
      <x:c r="A2368"/>
      <x:c r="B2368"/>
      <x:c r="C2368"/>
      <x:c r="D2368"/>
      <x:c r="E2368"/>
      <x:c r="F2368"/>
      <x:c r="G2368"/>
      <x:c r="H2368"/>
      <x:c r="I2368"/>
      <x:c r="J2368"/>
      <x:c r="K2368"/>
      <x:c r="L2368"/>
      <x:c r="M2368"/>
      <x:c r="N2368"/>
      <x:c r="O2368"/>
      <x:c r="P2368"/>
      <x:c r="Q2368"/>
      <x:c r="R2368"/>
      <x:c r="S2368"/>
      <x:c r="T2368"/>
      <x:c r="U2368"/>
      <x:c r="V2368"/>
      <x:c r="W2368"/>
    </x:row>
    <x:row r="2369">
      <x:c r="A2369"/>
      <x:c r="B2369"/>
      <x:c r="C2369"/>
      <x:c r="D2369"/>
      <x:c r="E2369"/>
      <x:c r="F2369"/>
      <x:c r="G2369"/>
      <x:c r="H2369"/>
      <x:c r="I2369"/>
      <x:c r="J2369"/>
      <x:c r="K2369"/>
      <x:c r="L2369"/>
      <x:c r="M2369"/>
      <x:c r="N2369"/>
      <x:c r="O2369"/>
      <x:c r="P2369"/>
      <x:c r="Q2369"/>
      <x:c r="R2369"/>
      <x:c r="S2369"/>
      <x:c r="T2369"/>
      <x:c r="U2369"/>
      <x:c r="V2369"/>
      <x:c r="W2369"/>
    </x:row>
    <x:row r="2370">
      <x:c r="A2370"/>
      <x:c r="B2370"/>
      <x:c r="C2370"/>
      <x:c r="D2370"/>
      <x:c r="E2370"/>
      <x:c r="F2370"/>
      <x:c r="G2370"/>
      <x:c r="H2370"/>
      <x:c r="I2370"/>
      <x:c r="J2370"/>
      <x:c r="K2370"/>
      <x:c r="L2370"/>
      <x:c r="M2370"/>
      <x:c r="N2370"/>
      <x:c r="O2370"/>
      <x:c r="P2370"/>
      <x:c r="Q2370"/>
      <x:c r="R2370"/>
      <x:c r="S2370"/>
      <x:c r="T2370"/>
      <x:c r="U2370"/>
      <x:c r="V2370"/>
      <x:c r="W2370"/>
    </x:row>
    <x:row r="2371">
      <x:c r="A2371"/>
      <x:c r="B2371"/>
      <x:c r="C2371"/>
      <x:c r="D2371"/>
      <x:c r="E2371"/>
      <x:c r="F2371"/>
      <x:c r="G2371"/>
      <x:c r="H2371"/>
      <x:c r="I2371"/>
      <x:c r="J2371"/>
      <x:c r="K2371"/>
      <x:c r="L2371"/>
      <x:c r="M2371"/>
      <x:c r="N2371"/>
      <x:c r="O2371"/>
      <x:c r="P2371"/>
      <x:c r="Q2371"/>
      <x:c r="R2371"/>
      <x:c r="S2371"/>
      <x:c r="T2371"/>
      <x:c r="U2371"/>
      <x:c r="V2371"/>
      <x:c r="W2371"/>
    </x:row>
    <x:row r="2372">
      <x:c r="A2372"/>
      <x:c r="B2372"/>
      <x:c r="C2372"/>
      <x:c r="D2372"/>
      <x:c r="E2372"/>
      <x:c r="F2372"/>
      <x:c r="G2372"/>
      <x:c r="H2372"/>
      <x:c r="I2372"/>
      <x:c r="J2372"/>
      <x:c r="K2372"/>
      <x:c r="L2372"/>
      <x:c r="M2372"/>
      <x:c r="N2372"/>
      <x:c r="O2372"/>
      <x:c r="P2372"/>
      <x:c r="Q2372"/>
      <x:c r="R2372"/>
      <x:c r="S2372"/>
      <x:c r="T2372"/>
      <x:c r="U2372"/>
      <x:c r="V2372"/>
      <x:c r="W2372"/>
    </x:row>
    <x:row r="2373">
      <x:c r="A2373"/>
      <x:c r="B2373"/>
      <x:c r="C2373"/>
      <x:c r="D2373"/>
      <x:c r="E2373"/>
      <x:c r="F2373"/>
      <x:c r="G2373"/>
      <x:c r="H2373"/>
      <x:c r="I2373"/>
      <x:c r="J2373"/>
      <x:c r="K2373"/>
      <x:c r="L2373"/>
      <x:c r="M2373"/>
      <x:c r="N2373"/>
      <x:c r="O2373"/>
      <x:c r="P2373"/>
      <x:c r="Q2373"/>
      <x:c r="R2373"/>
      <x:c r="S2373"/>
      <x:c r="T2373"/>
      <x:c r="U2373"/>
      <x:c r="V2373"/>
      <x:c r="W2373"/>
    </x:row>
    <x:row r="2374">
      <x:c r="A2374"/>
      <x:c r="B2374"/>
      <x:c r="C2374"/>
      <x:c r="D2374"/>
      <x:c r="E2374"/>
      <x:c r="F2374"/>
      <x:c r="G2374"/>
      <x:c r="H2374"/>
      <x:c r="I2374"/>
      <x:c r="J2374"/>
      <x:c r="K2374"/>
      <x:c r="L2374"/>
      <x:c r="M2374"/>
      <x:c r="N2374"/>
      <x:c r="O2374"/>
      <x:c r="P2374"/>
      <x:c r="Q2374"/>
      <x:c r="R2374"/>
      <x:c r="S2374"/>
      <x:c r="T2374"/>
      <x:c r="U2374"/>
      <x:c r="V2374"/>
      <x:c r="W2374"/>
    </x:row>
    <x:row r="2375">
      <x:c r="A2375"/>
      <x:c r="B2375"/>
      <x:c r="C2375"/>
      <x:c r="D2375"/>
      <x:c r="E2375"/>
      <x:c r="F2375"/>
      <x:c r="G2375"/>
      <x:c r="H2375"/>
      <x:c r="I2375"/>
      <x:c r="J2375"/>
      <x:c r="K2375"/>
      <x:c r="L2375"/>
      <x:c r="M2375"/>
      <x:c r="N2375"/>
      <x:c r="O2375"/>
      <x:c r="P2375"/>
      <x:c r="Q2375"/>
      <x:c r="R2375"/>
      <x:c r="S2375"/>
      <x:c r="T2375"/>
      <x:c r="U2375"/>
      <x:c r="V2375"/>
      <x:c r="W2375"/>
    </x:row>
    <x:row r="2376">
      <x:c r="A2376"/>
      <x:c r="B2376"/>
      <x:c r="C2376"/>
      <x:c r="D2376"/>
      <x:c r="E2376"/>
      <x:c r="F2376"/>
      <x:c r="G2376"/>
      <x:c r="H2376"/>
      <x:c r="I2376"/>
      <x:c r="J2376"/>
      <x:c r="K2376"/>
      <x:c r="L2376"/>
      <x:c r="M2376"/>
      <x:c r="N2376"/>
      <x:c r="O2376"/>
      <x:c r="P2376"/>
      <x:c r="Q2376"/>
      <x:c r="R2376"/>
      <x:c r="S2376"/>
      <x:c r="T2376"/>
      <x:c r="U2376"/>
      <x:c r="V2376"/>
      <x:c r="W2376"/>
    </x:row>
    <x:row r="2377">
      <x:c r="A2377"/>
      <x:c r="B2377"/>
      <x:c r="C2377"/>
      <x:c r="D2377"/>
      <x:c r="E2377"/>
      <x:c r="F2377"/>
      <x:c r="G2377"/>
      <x:c r="H2377"/>
      <x:c r="I2377"/>
      <x:c r="J2377"/>
      <x:c r="K2377"/>
      <x:c r="L2377"/>
      <x:c r="M2377"/>
      <x:c r="N2377"/>
      <x:c r="O2377"/>
      <x:c r="P2377"/>
      <x:c r="Q2377"/>
      <x:c r="R2377"/>
      <x:c r="S2377"/>
      <x:c r="T2377"/>
      <x:c r="U2377"/>
      <x:c r="V2377"/>
      <x:c r="W2377"/>
    </x:row>
    <x:row r="2378">
      <x:c r="A2378"/>
      <x:c r="B2378"/>
      <x:c r="C2378"/>
      <x:c r="D2378"/>
      <x:c r="E2378"/>
      <x:c r="F2378"/>
      <x:c r="G2378"/>
      <x:c r="H2378"/>
      <x:c r="I2378"/>
      <x:c r="J2378"/>
      <x:c r="K2378"/>
      <x:c r="L2378"/>
      <x:c r="M2378"/>
      <x:c r="N2378"/>
      <x:c r="O2378"/>
      <x:c r="P2378"/>
      <x:c r="Q2378"/>
      <x:c r="R2378"/>
      <x:c r="S2378"/>
      <x:c r="T2378"/>
      <x:c r="U2378"/>
      <x:c r="V2378"/>
      <x:c r="W2378"/>
    </x:row>
    <x:row r="2379">
      <x:c r="A2379"/>
      <x:c r="B2379"/>
      <x:c r="C2379"/>
      <x:c r="D2379"/>
      <x:c r="E2379"/>
      <x:c r="F2379"/>
      <x:c r="G2379"/>
      <x:c r="H2379"/>
      <x:c r="I2379"/>
      <x:c r="J2379"/>
      <x:c r="K2379"/>
      <x:c r="L2379"/>
      <x:c r="M2379"/>
      <x:c r="N2379"/>
      <x:c r="O2379"/>
      <x:c r="P2379"/>
      <x:c r="Q2379"/>
      <x:c r="R2379"/>
      <x:c r="S2379"/>
      <x:c r="T2379"/>
      <x:c r="U2379"/>
      <x:c r="V2379"/>
      <x:c r="W2379"/>
    </x:row>
    <x:row r="2380">
      <x:c r="A2380"/>
      <x:c r="B2380"/>
      <x:c r="C2380"/>
      <x:c r="D2380"/>
      <x:c r="E2380"/>
      <x:c r="F2380"/>
      <x:c r="G2380"/>
      <x:c r="H2380"/>
      <x:c r="I2380"/>
      <x:c r="J2380"/>
      <x:c r="K2380"/>
      <x:c r="L2380"/>
      <x:c r="M2380"/>
      <x:c r="N2380"/>
      <x:c r="O2380"/>
      <x:c r="P2380"/>
      <x:c r="Q2380"/>
      <x:c r="R2380"/>
      <x:c r="S2380"/>
      <x:c r="T2380"/>
      <x:c r="U2380"/>
      <x:c r="V2380"/>
      <x:c r="W2380"/>
    </x:row>
    <x:row r="2381">
      <x:c r="A2381"/>
      <x:c r="B2381"/>
      <x:c r="C2381"/>
      <x:c r="D2381"/>
      <x:c r="E2381"/>
      <x:c r="F2381"/>
      <x:c r="G2381"/>
      <x:c r="H2381"/>
      <x:c r="I2381"/>
      <x:c r="J2381"/>
      <x:c r="K2381"/>
      <x:c r="L2381"/>
      <x:c r="M2381"/>
      <x:c r="N2381"/>
      <x:c r="O2381"/>
      <x:c r="P2381"/>
      <x:c r="Q2381"/>
      <x:c r="R2381"/>
      <x:c r="S2381"/>
      <x:c r="T2381"/>
      <x:c r="U2381"/>
      <x:c r="V2381"/>
      <x:c r="W2381"/>
    </x:row>
    <x:row r="2382">
      <x:c r="A2382"/>
      <x:c r="B2382"/>
      <x:c r="C2382"/>
      <x:c r="D2382"/>
      <x:c r="E2382"/>
      <x:c r="F2382"/>
      <x:c r="G2382"/>
      <x:c r="H2382"/>
      <x:c r="I2382"/>
      <x:c r="J2382"/>
      <x:c r="K2382"/>
      <x:c r="L2382"/>
      <x:c r="M2382"/>
      <x:c r="N2382"/>
      <x:c r="O2382"/>
      <x:c r="P2382"/>
      <x:c r="Q2382"/>
      <x:c r="R2382"/>
      <x:c r="S2382"/>
      <x:c r="T2382"/>
      <x:c r="U2382"/>
      <x:c r="V2382"/>
      <x:c r="W2382"/>
    </x:row>
    <x:row r="2383">
      <x:c r="A2383"/>
      <x:c r="B2383"/>
      <x:c r="C2383"/>
      <x:c r="D2383"/>
      <x:c r="E2383"/>
      <x:c r="F2383"/>
      <x:c r="G2383"/>
      <x:c r="H2383"/>
      <x:c r="I2383"/>
      <x:c r="J2383"/>
      <x:c r="K2383"/>
      <x:c r="L2383"/>
      <x:c r="M2383"/>
      <x:c r="N2383"/>
      <x:c r="O2383"/>
      <x:c r="P2383"/>
      <x:c r="Q2383"/>
      <x:c r="R2383"/>
      <x:c r="S2383"/>
      <x:c r="T2383"/>
      <x:c r="U2383"/>
      <x:c r="V2383"/>
      <x:c r="W2383"/>
    </x:row>
    <x:row r="2384">
      <x:c r="A2384"/>
      <x:c r="B2384"/>
      <x:c r="C2384"/>
      <x:c r="D2384"/>
      <x:c r="E2384"/>
      <x:c r="F2384"/>
      <x:c r="G2384"/>
      <x:c r="H2384"/>
      <x:c r="I2384"/>
      <x:c r="J2384"/>
      <x:c r="K2384"/>
      <x:c r="L2384"/>
      <x:c r="M2384"/>
      <x:c r="N2384"/>
      <x:c r="O2384"/>
      <x:c r="P2384"/>
      <x:c r="Q2384"/>
      <x:c r="R2384"/>
      <x:c r="S2384"/>
      <x:c r="T2384"/>
      <x:c r="U2384"/>
      <x:c r="V2384"/>
      <x:c r="W2384"/>
    </x:row>
    <x:row r="2385">
      <x:c r="A2385"/>
      <x:c r="B2385"/>
      <x:c r="C2385"/>
      <x:c r="D2385"/>
      <x:c r="E2385"/>
      <x:c r="F2385"/>
      <x:c r="G2385"/>
      <x:c r="H2385"/>
      <x:c r="I2385"/>
      <x:c r="J2385"/>
      <x:c r="K2385"/>
      <x:c r="L2385"/>
      <x:c r="M2385"/>
      <x:c r="N2385"/>
      <x:c r="O2385"/>
      <x:c r="P2385"/>
      <x:c r="Q2385"/>
      <x:c r="R2385"/>
      <x:c r="S2385"/>
      <x:c r="T2385"/>
      <x:c r="U2385"/>
      <x:c r="V2385"/>
      <x:c r="W2385"/>
    </x:row>
    <x:row r="2386">
      <x:c r="A2386"/>
      <x:c r="B2386"/>
      <x:c r="C2386"/>
      <x:c r="D2386"/>
      <x:c r="E2386"/>
      <x:c r="F2386"/>
      <x:c r="G2386"/>
      <x:c r="H2386"/>
      <x:c r="I2386"/>
      <x:c r="J2386"/>
      <x:c r="K2386"/>
      <x:c r="L2386"/>
      <x:c r="M2386"/>
      <x:c r="N2386"/>
      <x:c r="O2386"/>
      <x:c r="P2386"/>
      <x:c r="Q2386"/>
      <x:c r="R2386"/>
      <x:c r="S2386"/>
      <x:c r="T2386"/>
      <x:c r="U2386"/>
      <x:c r="V2386"/>
      <x:c r="W2386"/>
    </x:row>
    <x:row r="2387">
      <x:c r="A2387"/>
      <x:c r="B2387"/>
      <x:c r="C2387"/>
      <x:c r="D2387"/>
      <x:c r="E2387"/>
      <x:c r="F2387"/>
      <x:c r="G2387"/>
      <x:c r="H2387"/>
      <x:c r="I2387"/>
      <x:c r="J2387"/>
      <x:c r="K2387"/>
      <x:c r="L2387"/>
      <x:c r="M2387"/>
      <x:c r="N2387"/>
      <x:c r="O2387"/>
      <x:c r="P2387"/>
      <x:c r="Q2387"/>
      <x:c r="R2387"/>
      <x:c r="S2387"/>
      <x:c r="T2387"/>
      <x:c r="U2387"/>
      <x:c r="V2387"/>
      <x:c r="W2387"/>
    </x:row>
    <x:row r="2388">
      <x:c r="A2388"/>
      <x:c r="B2388"/>
      <x:c r="C2388"/>
      <x:c r="D2388"/>
      <x:c r="E2388"/>
      <x:c r="F2388"/>
      <x:c r="G2388"/>
      <x:c r="H2388"/>
      <x:c r="I2388"/>
      <x:c r="J2388"/>
      <x:c r="K2388"/>
      <x:c r="L2388"/>
      <x:c r="M2388"/>
      <x:c r="N2388"/>
      <x:c r="O2388"/>
      <x:c r="P2388"/>
      <x:c r="Q2388"/>
      <x:c r="R2388"/>
      <x:c r="S2388"/>
      <x:c r="T2388"/>
      <x:c r="U2388"/>
      <x:c r="V2388"/>
      <x:c r="W2388"/>
    </x:row>
    <x:row r="2389">
      <x:c r="A2389"/>
      <x:c r="B2389"/>
      <x:c r="C2389"/>
      <x:c r="D2389"/>
      <x:c r="E2389"/>
      <x:c r="F2389"/>
      <x:c r="G2389"/>
      <x:c r="H2389"/>
      <x:c r="I2389"/>
      <x:c r="J2389"/>
      <x:c r="K2389"/>
      <x:c r="L2389"/>
      <x:c r="M2389"/>
      <x:c r="N2389"/>
      <x:c r="O2389"/>
      <x:c r="P2389"/>
      <x:c r="Q2389"/>
      <x:c r="R2389"/>
      <x:c r="S2389"/>
      <x:c r="T2389"/>
      <x:c r="U2389"/>
      <x:c r="V2389"/>
      <x:c r="W2389"/>
    </x:row>
    <x:row r="2390">
      <x:c r="A2390"/>
      <x:c r="B2390"/>
      <x:c r="C2390"/>
      <x:c r="D2390"/>
      <x:c r="E2390"/>
      <x:c r="F2390"/>
      <x:c r="G2390"/>
      <x:c r="H2390"/>
      <x:c r="I2390"/>
      <x:c r="J2390"/>
      <x:c r="K2390"/>
      <x:c r="L2390"/>
      <x:c r="M2390"/>
      <x:c r="N2390"/>
      <x:c r="O2390"/>
      <x:c r="P2390"/>
      <x:c r="Q2390"/>
      <x:c r="R2390"/>
      <x:c r="S2390"/>
      <x:c r="T2390"/>
      <x:c r="U2390"/>
      <x:c r="V2390"/>
      <x:c r="W2390"/>
    </x:row>
    <x:row r="2391">
      <x:c r="A2391"/>
      <x:c r="B2391"/>
      <x:c r="C2391"/>
      <x:c r="D2391"/>
      <x:c r="E2391"/>
      <x:c r="F2391"/>
      <x:c r="G2391"/>
      <x:c r="H2391"/>
      <x:c r="I2391"/>
      <x:c r="J2391"/>
      <x:c r="K2391"/>
      <x:c r="L2391"/>
      <x:c r="M2391"/>
      <x:c r="N2391"/>
      <x:c r="O2391"/>
      <x:c r="P2391"/>
      <x:c r="Q2391"/>
      <x:c r="R2391"/>
      <x:c r="S2391"/>
      <x:c r="T2391"/>
      <x:c r="U2391"/>
      <x:c r="V2391"/>
      <x:c r="W2391"/>
    </x:row>
    <x:row r="2392">
      <x:c r="A2392"/>
      <x:c r="B2392"/>
      <x:c r="C2392"/>
      <x:c r="D2392"/>
      <x:c r="E2392"/>
      <x:c r="F2392"/>
      <x:c r="G2392"/>
      <x:c r="H2392"/>
      <x:c r="I2392"/>
      <x:c r="J2392"/>
      <x:c r="K2392"/>
      <x:c r="L2392"/>
      <x:c r="M2392"/>
      <x:c r="N2392"/>
      <x:c r="O2392"/>
      <x:c r="P2392"/>
      <x:c r="Q2392"/>
      <x:c r="R2392"/>
      <x:c r="S2392"/>
      <x:c r="T2392"/>
      <x:c r="U2392"/>
      <x:c r="V2392"/>
      <x:c r="W2392"/>
    </x:row>
    <x:row r="2393">
      <x:c r="A2393"/>
      <x:c r="B2393"/>
      <x:c r="C2393"/>
      <x:c r="D2393"/>
      <x:c r="E2393"/>
      <x:c r="F2393"/>
      <x:c r="G2393"/>
      <x:c r="H2393"/>
      <x:c r="I2393"/>
      <x:c r="J2393"/>
      <x:c r="K2393"/>
      <x:c r="L2393"/>
      <x:c r="M2393"/>
      <x:c r="N2393"/>
      <x:c r="O2393"/>
      <x:c r="P2393"/>
      <x:c r="Q2393"/>
      <x:c r="R2393"/>
      <x:c r="S2393"/>
      <x:c r="T2393"/>
      <x:c r="U2393"/>
      <x:c r="V2393"/>
      <x:c r="W2393"/>
    </x:row>
    <x:row r="2394">
      <x:c r="A2394"/>
      <x:c r="B2394"/>
      <x:c r="C2394"/>
      <x:c r="D2394"/>
      <x:c r="E2394"/>
      <x:c r="F2394"/>
      <x:c r="G2394"/>
      <x:c r="H2394"/>
      <x:c r="I2394"/>
      <x:c r="J2394"/>
      <x:c r="K2394"/>
      <x:c r="L2394"/>
      <x:c r="M2394"/>
      <x:c r="N2394"/>
      <x:c r="O2394"/>
      <x:c r="P2394"/>
      <x:c r="Q2394"/>
      <x:c r="R2394"/>
      <x:c r="S2394"/>
      <x:c r="T2394"/>
      <x:c r="U2394"/>
      <x:c r="V2394"/>
      <x:c r="W2394"/>
    </x:row>
    <x:row r="2395">
      <x:c r="A2395"/>
      <x:c r="B2395"/>
      <x:c r="C2395"/>
      <x:c r="D2395"/>
      <x:c r="E2395"/>
      <x:c r="F2395"/>
      <x:c r="G2395"/>
      <x:c r="H2395"/>
      <x:c r="I2395"/>
      <x:c r="J2395"/>
      <x:c r="K2395"/>
      <x:c r="L2395"/>
      <x:c r="M2395"/>
      <x:c r="N2395"/>
      <x:c r="O2395"/>
      <x:c r="P2395"/>
      <x:c r="Q2395"/>
      <x:c r="R2395"/>
      <x:c r="S2395"/>
      <x:c r="T2395"/>
      <x:c r="U2395"/>
      <x:c r="V2395"/>
      <x:c r="W2395"/>
    </x:row>
    <x:row r="2396">
      <x:c r="A2396"/>
      <x:c r="B2396"/>
      <x:c r="C2396"/>
      <x:c r="D2396"/>
      <x:c r="E2396"/>
      <x:c r="F2396"/>
      <x:c r="G2396"/>
      <x:c r="H2396"/>
      <x:c r="I2396"/>
      <x:c r="J2396"/>
      <x:c r="K2396"/>
      <x:c r="L2396"/>
      <x:c r="M2396"/>
      <x:c r="N2396"/>
      <x:c r="O2396"/>
      <x:c r="P2396"/>
      <x:c r="Q2396"/>
      <x:c r="R2396"/>
      <x:c r="S2396"/>
      <x:c r="T2396"/>
      <x:c r="U2396"/>
      <x:c r="V2396"/>
      <x:c r="W2396"/>
    </x:row>
    <x:row r="2397">
      <x:c r="A2397"/>
      <x:c r="B2397"/>
      <x:c r="C2397"/>
      <x:c r="D2397"/>
      <x:c r="E2397"/>
      <x:c r="F2397"/>
      <x:c r="G2397"/>
      <x:c r="H2397"/>
      <x:c r="I2397"/>
      <x:c r="J2397"/>
      <x:c r="K2397"/>
      <x:c r="L2397"/>
      <x:c r="M2397"/>
      <x:c r="N2397"/>
      <x:c r="O2397"/>
      <x:c r="P2397"/>
      <x:c r="Q2397"/>
      <x:c r="R2397"/>
      <x:c r="S2397"/>
      <x:c r="T2397"/>
      <x:c r="U2397"/>
      <x:c r="V2397"/>
      <x:c r="W2397"/>
    </x:row>
    <x:row r="2398">
      <x:c r="A2398"/>
      <x:c r="B2398"/>
      <x:c r="C2398"/>
      <x:c r="D2398"/>
      <x:c r="E2398"/>
      <x:c r="F2398"/>
      <x:c r="G2398"/>
      <x:c r="H2398"/>
      <x:c r="I2398"/>
      <x:c r="J2398"/>
      <x:c r="K2398"/>
      <x:c r="L2398"/>
      <x:c r="M2398"/>
      <x:c r="N2398"/>
      <x:c r="O2398"/>
      <x:c r="P2398"/>
      <x:c r="Q2398"/>
      <x:c r="R2398"/>
      <x:c r="S2398"/>
      <x:c r="T2398"/>
      <x:c r="U2398"/>
      <x:c r="V2398"/>
      <x:c r="W2398"/>
    </x:row>
    <x:row r="2399">
      <x:c r="A2399"/>
      <x:c r="B2399"/>
      <x:c r="C2399"/>
      <x:c r="D2399"/>
      <x:c r="E2399"/>
      <x:c r="F2399"/>
      <x:c r="G2399"/>
      <x:c r="H2399"/>
      <x:c r="I2399"/>
      <x:c r="J2399"/>
      <x:c r="K2399"/>
      <x:c r="L2399"/>
      <x:c r="M2399"/>
      <x:c r="N2399"/>
      <x:c r="O2399"/>
      <x:c r="P2399"/>
      <x:c r="Q2399"/>
      <x:c r="R2399"/>
      <x:c r="S2399"/>
      <x:c r="T2399"/>
      <x:c r="U2399"/>
      <x:c r="V2399"/>
      <x:c r="W2399"/>
    </x:row>
    <x:row r="2400">
      <x:c r="A2400"/>
      <x:c r="B2400"/>
      <x:c r="C2400"/>
      <x:c r="D2400"/>
      <x:c r="E2400"/>
      <x:c r="F2400"/>
      <x:c r="G2400"/>
      <x:c r="H2400"/>
      <x:c r="I2400"/>
      <x:c r="J2400"/>
      <x:c r="K2400"/>
      <x:c r="L2400"/>
      <x:c r="M2400"/>
      <x:c r="N2400"/>
      <x:c r="O2400"/>
      <x:c r="P2400"/>
      <x:c r="Q2400"/>
      <x:c r="R2400"/>
      <x:c r="S2400"/>
      <x:c r="T2400"/>
      <x:c r="U2400"/>
      <x:c r="V2400"/>
      <x:c r="W2400"/>
    </x:row>
    <x:row r="2401">
      <x:c r="A2401"/>
      <x:c r="B2401"/>
      <x:c r="C2401"/>
      <x:c r="D2401"/>
      <x:c r="E2401"/>
      <x:c r="F2401"/>
      <x:c r="G2401"/>
      <x:c r="H2401"/>
      <x:c r="I2401"/>
      <x:c r="J2401"/>
      <x:c r="K2401"/>
      <x:c r="L2401"/>
      <x:c r="M2401"/>
      <x:c r="N2401"/>
      <x:c r="O2401"/>
      <x:c r="P2401"/>
      <x:c r="Q2401"/>
      <x:c r="R2401"/>
      <x:c r="S2401"/>
      <x:c r="T2401"/>
      <x:c r="U2401"/>
      <x:c r="V2401"/>
      <x:c r="W2401"/>
    </x:row>
    <x:row r="2402">
      <x:c r="A2402"/>
      <x:c r="B2402"/>
      <x:c r="C2402"/>
      <x:c r="D2402"/>
      <x:c r="E2402"/>
      <x:c r="F2402"/>
      <x:c r="G2402"/>
      <x:c r="H2402"/>
      <x:c r="I2402"/>
      <x:c r="J2402"/>
      <x:c r="K2402"/>
      <x:c r="L2402"/>
      <x:c r="M2402"/>
      <x:c r="N2402"/>
      <x:c r="O2402"/>
      <x:c r="P2402"/>
      <x:c r="Q2402"/>
      <x:c r="R2402"/>
      <x:c r="S2402"/>
      <x:c r="T2402"/>
      <x:c r="U2402"/>
      <x:c r="V2402"/>
      <x:c r="W2402"/>
    </x:row>
    <x:row r="2403">
      <x:c r="A2403"/>
      <x:c r="B2403"/>
      <x:c r="C2403"/>
      <x:c r="D2403"/>
      <x:c r="E2403"/>
      <x:c r="F2403"/>
      <x:c r="G2403"/>
      <x:c r="H2403"/>
      <x:c r="I2403"/>
      <x:c r="J2403"/>
      <x:c r="K2403"/>
      <x:c r="L2403"/>
      <x:c r="M2403"/>
      <x:c r="N2403"/>
      <x:c r="O2403"/>
      <x:c r="P2403"/>
      <x:c r="Q2403"/>
      <x:c r="R2403"/>
      <x:c r="S2403"/>
      <x:c r="T2403"/>
      <x:c r="U2403"/>
      <x:c r="V2403"/>
      <x:c r="W2403"/>
    </x:row>
    <x:row r="2404">
      <x:c r="A2404"/>
      <x:c r="B2404"/>
      <x:c r="C2404"/>
      <x:c r="D2404"/>
      <x:c r="E2404"/>
      <x:c r="F2404"/>
      <x:c r="G2404"/>
      <x:c r="H2404"/>
      <x:c r="I2404"/>
      <x:c r="J2404"/>
      <x:c r="K2404"/>
      <x:c r="L2404"/>
      <x:c r="M2404"/>
      <x:c r="N2404"/>
      <x:c r="O2404"/>
      <x:c r="P2404"/>
      <x:c r="Q2404"/>
      <x:c r="R2404"/>
      <x:c r="S2404"/>
      <x:c r="T2404"/>
      <x:c r="U2404"/>
      <x:c r="V2404"/>
      <x:c r="W2404"/>
    </x:row>
    <x:row r="2405">
      <x:c r="A2405"/>
      <x:c r="B2405"/>
      <x:c r="C2405"/>
      <x:c r="D2405"/>
      <x:c r="E2405"/>
      <x:c r="F2405"/>
      <x:c r="G2405"/>
      <x:c r="H2405"/>
      <x:c r="I2405"/>
      <x:c r="J2405"/>
      <x:c r="K2405"/>
      <x:c r="L2405"/>
      <x:c r="M2405"/>
      <x:c r="N2405"/>
      <x:c r="O2405"/>
      <x:c r="P2405"/>
      <x:c r="Q2405"/>
      <x:c r="R2405"/>
      <x:c r="S2405"/>
      <x:c r="T2405"/>
      <x:c r="U2405"/>
      <x:c r="V2405"/>
      <x:c r="W2405"/>
    </x:row>
    <x:row r="2406">
      <x:c r="A2406"/>
      <x:c r="B2406"/>
      <x:c r="C2406"/>
      <x:c r="D2406"/>
      <x:c r="E2406"/>
      <x:c r="F2406"/>
      <x:c r="G2406"/>
      <x:c r="H2406"/>
      <x:c r="I2406"/>
      <x:c r="J2406"/>
      <x:c r="K2406"/>
      <x:c r="L2406"/>
      <x:c r="M2406"/>
      <x:c r="N2406"/>
      <x:c r="O2406"/>
      <x:c r="P2406"/>
      <x:c r="Q2406"/>
      <x:c r="R2406"/>
      <x:c r="S2406"/>
      <x:c r="T2406"/>
      <x:c r="U2406"/>
      <x:c r="V2406"/>
      <x:c r="W2406"/>
    </x:row>
    <x:row r="2407">
      <x:c r="A2407"/>
      <x:c r="B2407"/>
      <x:c r="C2407"/>
      <x:c r="D2407"/>
      <x:c r="E2407"/>
      <x:c r="F2407"/>
      <x:c r="G2407"/>
      <x:c r="H2407"/>
      <x:c r="I2407"/>
      <x:c r="J2407"/>
      <x:c r="K2407"/>
      <x:c r="L2407"/>
      <x:c r="M2407"/>
      <x:c r="N2407"/>
      <x:c r="O2407"/>
      <x:c r="P2407"/>
      <x:c r="Q2407"/>
      <x:c r="R2407"/>
      <x:c r="S2407"/>
      <x:c r="T2407"/>
      <x:c r="U2407"/>
      <x:c r="V2407"/>
      <x:c r="W2407"/>
    </x:row>
    <x:row r="2408">
      <x:c r="A2408"/>
      <x:c r="B2408"/>
      <x:c r="C2408"/>
      <x:c r="D2408"/>
      <x:c r="E2408"/>
      <x:c r="F2408"/>
      <x:c r="G2408"/>
      <x:c r="H2408"/>
      <x:c r="I2408"/>
      <x:c r="J2408"/>
      <x:c r="K2408"/>
      <x:c r="L2408"/>
      <x:c r="M2408"/>
      <x:c r="N2408"/>
      <x:c r="O2408"/>
      <x:c r="P2408"/>
      <x:c r="Q2408"/>
      <x:c r="R2408"/>
      <x:c r="S2408"/>
      <x:c r="T2408"/>
      <x:c r="U2408"/>
      <x:c r="V2408"/>
      <x:c r="W2408"/>
    </x:row>
    <x:row r="2409">
      <x:c r="A2409"/>
      <x:c r="B2409"/>
      <x:c r="C2409"/>
      <x:c r="D2409"/>
      <x:c r="E2409"/>
      <x:c r="F2409"/>
      <x:c r="G2409"/>
      <x:c r="H2409"/>
      <x:c r="I2409"/>
      <x:c r="J2409"/>
      <x:c r="K2409"/>
      <x:c r="L2409"/>
      <x:c r="M2409"/>
      <x:c r="N2409"/>
      <x:c r="O2409"/>
      <x:c r="P2409"/>
      <x:c r="Q2409"/>
      <x:c r="R2409"/>
      <x:c r="S2409"/>
      <x:c r="T2409"/>
      <x:c r="U2409"/>
      <x:c r="V2409"/>
      <x:c r="W2409"/>
    </x:row>
    <x:row r="2410">
      <x:c r="A2410"/>
      <x:c r="B2410"/>
      <x:c r="C2410"/>
      <x:c r="D2410"/>
      <x:c r="E2410"/>
      <x:c r="F2410"/>
      <x:c r="G2410"/>
      <x:c r="H2410"/>
      <x:c r="I2410"/>
      <x:c r="J2410"/>
      <x:c r="K2410"/>
      <x:c r="L2410"/>
      <x:c r="M2410"/>
      <x:c r="N2410"/>
      <x:c r="O2410"/>
      <x:c r="P2410"/>
      <x:c r="Q2410"/>
      <x:c r="R2410"/>
      <x:c r="S2410"/>
      <x:c r="T2410"/>
      <x:c r="U2410"/>
      <x:c r="V2410"/>
      <x:c r="W2410"/>
    </x:row>
    <x:row r="2411">
      <x:c r="A2411"/>
      <x:c r="B2411"/>
      <x:c r="C2411"/>
      <x:c r="D2411"/>
      <x:c r="E2411"/>
      <x:c r="F2411"/>
      <x:c r="G2411"/>
      <x:c r="H2411"/>
      <x:c r="I2411"/>
      <x:c r="J2411"/>
      <x:c r="K2411"/>
      <x:c r="L2411"/>
      <x:c r="M2411"/>
      <x:c r="N2411"/>
      <x:c r="O2411"/>
      <x:c r="P2411"/>
      <x:c r="Q2411"/>
      <x:c r="R2411"/>
      <x:c r="S2411"/>
      <x:c r="T2411"/>
      <x:c r="U2411"/>
      <x:c r="V2411"/>
      <x:c r="W2411"/>
    </x:row>
    <x:row r="2412">
      <x:c r="A2412"/>
      <x:c r="B2412"/>
      <x:c r="C2412"/>
      <x:c r="D2412"/>
      <x:c r="E2412"/>
      <x:c r="F2412"/>
      <x:c r="G2412"/>
      <x:c r="H2412"/>
      <x:c r="I2412"/>
      <x:c r="J2412"/>
      <x:c r="K2412"/>
      <x:c r="L2412"/>
      <x:c r="M2412"/>
      <x:c r="N2412"/>
      <x:c r="O2412"/>
      <x:c r="P2412"/>
      <x:c r="Q2412"/>
      <x:c r="R2412"/>
      <x:c r="S2412"/>
      <x:c r="T2412"/>
      <x:c r="U2412"/>
      <x:c r="V2412"/>
      <x:c r="W2412"/>
    </x:row>
    <x:row r="2413">
      <x:c r="A2413"/>
      <x:c r="B2413"/>
      <x:c r="C2413"/>
      <x:c r="D2413"/>
      <x:c r="E2413"/>
      <x:c r="F2413"/>
      <x:c r="G2413"/>
      <x:c r="H2413"/>
      <x:c r="I2413"/>
      <x:c r="J2413"/>
      <x:c r="K2413"/>
      <x:c r="L2413"/>
      <x:c r="M2413"/>
      <x:c r="N2413"/>
      <x:c r="O2413"/>
      <x:c r="P2413"/>
      <x:c r="Q2413"/>
      <x:c r="R2413"/>
      <x:c r="S2413"/>
      <x:c r="T2413"/>
      <x:c r="U2413"/>
      <x:c r="V2413"/>
      <x:c r="W2413"/>
    </x:row>
    <x:row r="2414">
      <x:c r="A2414"/>
      <x:c r="B2414"/>
      <x:c r="C2414"/>
      <x:c r="D2414"/>
      <x:c r="E2414"/>
      <x:c r="F2414"/>
      <x:c r="G2414"/>
      <x:c r="H2414"/>
      <x:c r="I2414"/>
      <x:c r="J2414"/>
      <x:c r="K2414"/>
      <x:c r="L2414"/>
      <x:c r="M2414"/>
      <x:c r="N2414"/>
      <x:c r="O2414"/>
      <x:c r="P2414"/>
      <x:c r="Q2414"/>
      <x:c r="R2414"/>
      <x:c r="S2414"/>
      <x:c r="T2414"/>
      <x:c r="U2414"/>
      <x:c r="V2414"/>
      <x:c r="W2414"/>
    </x:row>
    <x:row r="2415">
      <x:c r="A2415"/>
      <x:c r="B2415"/>
      <x:c r="C2415"/>
      <x:c r="D2415"/>
      <x:c r="E2415"/>
      <x:c r="F2415"/>
      <x:c r="G2415"/>
      <x:c r="H2415"/>
      <x:c r="I2415"/>
      <x:c r="J2415"/>
      <x:c r="K2415"/>
      <x:c r="L2415"/>
      <x:c r="M2415"/>
      <x:c r="N2415"/>
      <x:c r="O2415"/>
      <x:c r="P2415"/>
      <x:c r="Q2415"/>
      <x:c r="R2415"/>
      <x:c r="S2415"/>
      <x:c r="T2415"/>
      <x:c r="U2415"/>
      <x:c r="V2415"/>
      <x:c r="W2415"/>
    </x:row>
    <x:row r="2416">
      <x:c r="A2416"/>
      <x:c r="B2416"/>
      <x:c r="C2416"/>
      <x:c r="D2416"/>
      <x:c r="E2416"/>
      <x:c r="F2416"/>
      <x:c r="G2416"/>
      <x:c r="H2416"/>
      <x:c r="I2416"/>
      <x:c r="J2416"/>
      <x:c r="K2416"/>
      <x:c r="L2416"/>
      <x:c r="M2416"/>
      <x:c r="N2416"/>
      <x:c r="O2416"/>
      <x:c r="P2416"/>
      <x:c r="Q2416"/>
      <x:c r="R2416"/>
      <x:c r="S2416"/>
      <x:c r="T2416"/>
      <x:c r="U2416"/>
      <x:c r="V2416"/>
      <x:c r="W2416"/>
    </x:row>
    <x:row r="2417">
      <x:c r="A2417"/>
      <x:c r="B2417"/>
      <x:c r="C2417"/>
      <x:c r="D2417"/>
      <x:c r="E2417"/>
      <x:c r="F2417"/>
      <x:c r="G2417"/>
      <x:c r="H2417"/>
      <x:c r="I2417"/>
      <x:c r="J2417"/>
      <x:c r="K2417"/>
      <x:c r="L2417"/>
      <x:c r="M2417"/>
      <x:c r="N2417"/>
      <x:c r="O2417"/>
      <x:c r="P2417"/>
      <x:c r="Q2417"/>
      <x:c r="R2417"/>
      <x:c r="S2417"/>
      <x:c r="T2417"/>
      <x:c r="U2417"/>
      <x:c r="V2417"/>
      <x:c r="W2417"/>
    </x:row>
    <x:row r="2418">
      <x:c r="A2418"/>
      <x:c r="B2418"/>
      <x:c r="C2418"/>
      <x:c r="D2418"/>
      <x:c r="E2418"/>
      <x:c r="F2418"/>
      <x:c r="G2418"/>
      <x:c r="H2418"/>
      <x:c r="I2418"/>
      <x:c r="J2418"/>
      <x:c r="K2418"/>
      <x:c r="L2418"/>
      <x:c r="M2418"/>
      <x:c r="N2418"/>
      <x:c r="O2418"/>
      <x:c r="P2418"/>
      <x:c r="Q2418"/>
      <x:c r="R2418"/>
      <x:c r="S2418"/>
      <x:c r="T2418"/>
      <x:c r="U2418"/>
      <x:c r="V2418"/>
      <x:c r="W2418"/>
    </x:row>
    <x:row r="2419">
      <x:c r="A2419"/>
      <x:c r="B2419"/>
      <x:c r="C2419"/>
      <x:c r="D2419"/>
      <x:c r="E2419"/>
      <x:c r="F2419"/>
      <x:c r="G2419"/>
      <x:c r="H2419"/>
      <x:c r="I2419"/>
      <x:c r="J2419"/>
      <x:c r="K2419"/>
      <x:c r="L2419"/>
      <x:c r="M2419"/>
      <x:c r="N2419"/>
      <x:c r="O2419"/>
      <x:c r="P2419"/>
      <x:c r="Q2419"/>
      <x:c r="R2419"/>
      <x:c r="S2419"/>
      <x:c r="T2419"/>
      <x:c r="U2419"/>
      <x:c r="V2419"/>
      <x:c r="W2419"/>
    </x:row>
    <x:row r="2420">
      <x:c r="A2420"/>
      <x:c r="B2420"/>
      <x:c r="C2420"/>
      <x:c r="D2420"/>
      <x:c r="E2420"/>
      <x:c r="F2420"/>
      <x:c r="G2420"/>
      <x:c r="H2420"/>
      <x:c r="I2420"/>
      <x:c r="J2420"/>
      <x:c r="K2420"/>
      <x:c r="L2420"/>
      <x:c r="M2420"/>
      <x:c r="N2420"/>
      <x:c r="O2420"/>
      <x:c r="P2420"/>
      <x:c r="Q2420"/>
      <x:c r="R2420"/>
      <x:c r="S2420"/>
      <x:c r="T2420"/>
      <x:c r="U2420"/>
      <x:c r="V2420"/>
      <x:c r="W2420"/>
    </x:row>
    <x:row r="2421">
      <x:c r="A2421"/>
      <x:c r="B2421"/>
      <x:c r="C2421"/>
      <x:c r="D2421"/>
      <x:c r="E2421"/>
      <x:c r="F2421"/>
      <x:c r="G2421"/>
      <x:c r="H2421"/>
      <x:c r="I2421"/>
      <x:c r="J2421"/>
      <x:c r="K2421"/>
      <x:c r="L2421"/>
      <x:c r="M2421"/>
      <x:c r="N2421"/>
      <x:c r="O2421"/>
      <x:c r="P2421"/>
      <x:c r="Q2421"/>
      <x:c r="R2421"/>
      <x:c r="S2421"/>
      <x:c r="T2421"/>
      <x:c r="U2421"/>
      <x:c r="V2421"/>
      <x:c r="W2421"/>
    </x:row>
    <x:row r="2422">
      <x:c r="A2422"/>
      <x:c r="B2422"/>
      <x:c r="C2422"/>
      <x:c r="D2422"/>
      <x:c r="E2422"/>
      <x:c r="F2422"/>
      <x:c r="G2422"/>
      <x:c r="H2422"/>
      <x:c r="I2422"/>
      <x:c r="J2422"/>
      <x:c r="K2422"/>
      <x:c r="L2422"/>
      <x:c r="M2422"/>
      <x:c r="N2422"/>
      <x:c r="O2422"/>
      <x:c r="P2422"/>
      <x:c r="Q2422"/>
      <x:c r="R2422"/>
      <x:c r="S2422"/>
      <x:c r="T2422"/>
      <x:c r="U2422"/>
      <x:c r="V2422"/>
      <x:c r="W2422"/>
    </x:row>
    <x:row r="2423">
      <x:c r="A2423"/>
      <x:c r="B2423"/>
      <x:c r="C2423"/>
      <x:c r="D2423"/>
      <x:c r="E2423"/>
      <x:c r="F2423"/>
      <x:c r="G2423"/>
      <x:c r="H2423"/>
      <x:c r="I2423"/>
      <x:c r="J2423"/>
      <x:c r="K2423"/>
      <x:c r="L2423"/>
      <x:c r="M2423"/>
      <x:c r="N2423"/>
      <x:c r="O2423"/>
      <x:c r="P2423"/>
      <x:c r="Q2423"/>
      <x:c r="R2423"/>
      <x:c r="S2423"/>
      <x:c r="T2423"/>
      <x:c r="U2423"/>
      <x:c r="V2423"/>
      <x:c r="W2423"/>
    </x:row>
    <x:row r="2424">
      <x:c r="A2424"/>
      <x:c r="B2424"/>
      <x:c r="C2424"/>
      <x:c r="D2424"/>
      <x:c r="E2424"/>
      <x:c r="F2424"/>
      <x:c r="G2424"/>
      <x:c r="H2424"/>
      <x:c r="I2424"/>
      <x:c r="J2424"/>
      <x:c r="K2424"/>
      <x:c r="L2424"/>
      <x:c r="M2424"/>
      <x:c r="N2424"/>
      <x:c r="O2424"/>
      <x:c r="P2424"/>
      <x:c r="Q2424"/>
      <x:c r="R2424"/>
      <x:c r="S2424"/>
      <x:c r="T2424"/>
      <x:c r="U2424"/>
      <x:c r="V2424"/>
      <x:c r="W2424"/>
    </x:row>
    <x:row r="2425">
      <x:c r="A2425"/>
      <x:c r="B2425"/>
      <x:c r="C2425"/>
      <x:c r="D2425"/>
      <x:c r="E2425"/>
      <x:c r="F2425"/>
      <x:c r="G2425"/>
      <x:c r="H2425"/>
      <x:c r="I2425"/>
      <x:c r="J2425"/>
      <x:c r="K2425"/>
      <x:c r="L2425"/>
      <x:c r="M2425"/>
      <x:c r="N2425"/>
      <x:c r="O2425"/>
      <x:c r="P2425"/>
      <x:c r="Q2425"/>
      <x:c r="R2425"/>
      <x:c r="S2425"/>
      <x:c r="T2425"/>
      <x:c r="U2425"/>
      <x:c r="V2425"/>
      <x:c r="W2425"/>
    </x:row>
    <x:row r="2426">
      <x:c r="A2426"/>
      <x:c r="B2426"/>
      <x:c r="C2426"/>
      <x:c r="D2426"/>
      <x:c r="E2426"/>
      <x:c r="F2426"/>
      <x:c r="G2426"/>
      <x:c r="H2426"/>
      <x:c r="I2426"/>
      <x:c r="J2426"/>
      <x:c r="K2426"/>
      <x:c r="L2426"/>
      <x:c r="M2426"/>
      <x:c r="N2426"/>
      <x:c r="O2426"/>
      <x:c r="P2426"/>
      <x:c r="Q2426"/>
      <x:c r="R2426"/>
      <x:c r="S2426"/>
      <x:c r="T2426"/>
      <x:c r="U2426"/>
      <x:c r="V2426"/>
      <x:c r="W2426"/>
    </x:row>
    <x:row r="2427">
      <x:c r="A2427"/>
      <x:c r="B2427"/>
      <x:c r="C2427"/>
      <x:c r="D2427"/>
      <x:c r="E2427"/>
      <x:c r="F2427"/>
      <x:c r="G2427"/>
      <x:c r="H2427"/>
      <x:c r="I2427"/>
      <x:c r="J2427"/>
      <x:c r="K2427"/>
      <x:c r="L2427"/>
      <x:c r="M2427"/>
      <x:c r="N2427"/>
      <x:c r="O2427"/>
      <x:c r="P2427"/>
      <x:c r="Q2427"/>
      <x:c r="R2427"/>
      <x:c r="S2427"/>
      <x:c r="T2427"/>
      <x:c r="U2427"/>
      <x:c r="V2427"/>
      <x:c r="W2427"/>
    </x:row>
    <x:row r="2428">
      <x:c r="A2428"/>
      <x:c r="B2428"/>
      <x:c r="C2428"/>
      <x:c r="D2428"/>
      <x:c r="E2428"/>
      <x:c r="F2428"/>
      <x:c r="G2428"/>
      <x:c r="H2428"/>
      <x:c r="I2428"/>
      <x:c r="J2428"/>
      <x:c r="K2428"/>
      <x:c r="L2428"/>
      <x:c r="M2428"/>
      <x:c r="N2428"/>
      <x:c r="O2428"/>
      <x:c r="P2428"/>
      <x:c r="Q2428"/>
      <x:c r="R2428"/>
      <x:c r="S2428"/>
      <x:c r="T2428"/>
      <x:c r="U2428"/>
      <x:c r="V2428"/>
      <x:c r="W2428"/>
    </x:row>
    <x:row r="2429">
      <x:c r="A2429"/>
      <x:c r="B2429"/>
      <x:c r="C2429"/>
      <x:c r="D2429"/>
      <x:c r="E2429"/>
      <x:c r="F2429"/>
      <x:c r="G2429"/>
      <x:c r="H2429"/>
      <x:c r="I2429"/>
      <x:c r="J2429"/>
      <x:c r="K2429"/>
      <x:c r="L2429"/>
      <x:c r="M2429"/>
      <x:c r="N2429"/>
      <x:c r="O2429"/>
      <x:c r="P2429"/>
      <x:c r="Q2429"/>
      <x:c r="R2429"/>
      <x:c r="S2429"/>
      <x:c r="T2429"/>
      <x:c r="U2429"/>
      <x:c r="V2429"/>
      <x:c r="W2429"/>
    </x:row>
    <x:row r="2430">
      <x:c r="A2430"/>
      <x:c r="B2430"/>
      <x:c r="C2430"/>
      <x:c r="D2430"/>
      <x:c r="E2430"/>
      <x:c r="F2430"/>
      <x:c r="G2430"/>
      <x:c r="H2430"/>
      <x:c r="I2430"/>
      <x:c r="J2430"/>
      <x:c r="K2430"/>
      <x:c r="L2430"/>
      <x:c r="M2430"/>
      <x:c r="N2430"/>
      <x:c r="O2430"/>
      <x:c r="P2430"/>
      <x:c r="Q2430"/>
      <x:c r="R2430"/>
      <x:c r="S2430"/>
      <x:c r="T2430"/>
      <x:c r="U2430"/>
      <x:c r="V2430"/>
      <x:c r="W2430"/>
    </x:row>
    <x:row r="2431">
      <x:c r="A2431"/>
      <x:c r="B2431"/>
      <x:c r="C2431"/>
      <x:c r="D2431"/>
      <x:c r="E2431"/>
      <x:c r="F2431"/>
      <x:c r="G2431"/>
      <x:c r="H2431"/>
      <x:c r="I2431"/>
      <x:c r="J2431"/>
      <x:c r="K2431"/>
      <x:c r="L2431"/>
      <x:c r="M2431"/>
      <x:c r="N2431"/>
      <x:c r="O2431"/>
      <x:c r="P2431"/>
      <x:c r="Q2431"/>
      <x:c r="R2431"/>
      <x:c r="S2431"/>
      <x:c r="T2431"/>
      <x:c r="U2431"/>
      <x:c r="V2431"/>
      <x:c r="W2431"/>
    </x:row>
    <x:row r="2432">
      <x:c r="A2432"/>
      <x:c r="B2432"/>
      <x:c r="C2432"/>
      <x:c r="D2432"/>
      <x:c r="E2432"/>
      <x:c r="F2432"/>
      <x:c r="G2432"/>
      <x:c r="H2432"/>
      <x:c r="I2432"/>
      <x:c r="J2432"/>
      <x:c r="K2432"/>
      <x:c r="L2432"/>
      <x:c r="M2432"/>
      <x:c r="N2432"/>
      <x:c r="O2432"/>
      <x:c r="P2432"/>
      <x:c r="Q2432"/>
      <x:c r="R2432"/>
      <x:c r="S2432"/>
      <x:c r="T2432"/>
      <x:c r="U2432"/>
      <x:c r="V2432"/>
      <x:c r="W2432"/>
    </x:row>
    <x:row r="2433">
      <x:c r="A2433"/>
      <x:c r="B2433"/>
      <x:c r="C2433"/>
      <x:c r="D2433"/>
      <x:c r="E2433"/>
      <x:c r="F2433"/>
      <x:c r="G2433"/>
      <x:c r="H2433"/>
      <x:c r="I2433"/>
      <x:c r="J2433"/>
      <x:c r="K2433"/>
      <x:c r="L2433"/>
      <x:c r="M2433"/>
      <x:c r="N2433"/>
      <x:c r="O2433"/>
      <x:c r="P2433"/>
      <x:c r="Q2433"/>
      <x:c r="R2433"/>
      <x:c r="S2433"/>
      <x:c r="T2433"/>
      <x:c r="U2433"/>
      <x:c r="V2433"/>
      <x:c r="W2433"/>
    </x:row>
    <x:row r="2434">
      <x:c r="A2434"/>
      <x:c r="B2434"/>
      <x:c r="C2434"/>
      <x:c r="D2434"/>
      <x:c r="E2434"/>
      <x:c r="F2434"/>
      <x:c r="G2434"/>
      <x:c r="H2434"/>
      <x:c r="I2434"/>
      <x:c r="J2434"/>
      <x:c r="K2434"/>
      <x:c r="L2434"/>
      <x:c r="M2434"/>
      <x:c r="N2434"/>
      <x:c r="O2434"/>
      <x:c r="P2434"/>
      <x:c r="Q2434"/>
      <x:c r="R2434"/>
      <x:c r="S2434"/>
      <x:c r="T2434"/>
      <x:c r="U2434"/>
      <x:c r="V2434"/>
      <x:c r="W2434"/>
    </x:row>
    <x:row r="2435">
      <x:c r="A2435"/>
      <x:c r="B2435"/>
      <x:c r="C2435"/>
      <x:c r="D2435"/>
      <x:c r="E2435"/>
      <x:c r="F2435"/>
      <x:c r="G2435"/>
      <x:c r="H2435"/>
      <x:c r="I2435"/>
      <x:c r="J2435"/>
      <x:c r="K2435"/>
      <x:c r="L2435"/>
      <x:c r="M2435"/>
      <x:c r="N2435"/>
      <x:c r="O2435"/>
      <x:c r="P2435"/>
      <x:c r="Q2435"/>
      <x:c r="R2435"/>
      <x:c r="S2435"/>
      <x:c r="T2435"/>
      <x:c r="U2435"/>
      <x:c r="V2435"/>
      <x:c r="W2435"/>
    </x:row>
    <x:row r="2436">
      <x:c r="A2436"/>
      <x:c r="B2436"/>
      <x:c r="C2436"/>
      <x:c r="D2436"/>
      <x:c r="E2436"/>
      <x:c r="F2436"/>
      <x:c r="G2436"/>
      <x:c r="H2436"/>
      <x:c r="I2436"/>
      <x:c r="J2436"/>
      <x:c r="K2436"/>
      <x:c r="L2436"/>
      <x:c r="M2436"/>
      <x:c r="N2436"/>
      <x:c r="O2436"/>
      <x:c r="P2436"/>
      <x:c r="Q2436"/>
      <x:c r="R2436"/>
      <x:c r="S2436"/>
      <x:c r="T2436"/>
      <x:c r="U2436"/>
      <x:c r="V2436"/>
      <x:c r="W2436"/>
    </x:row>
    <x:row r="2437">
      <x:c r="A2437"/>
      <x:c r="B2437"/>
      <x:c r="C2437"/>
      <x:c r="D2437"/>
      <x:c r="E2437"/>
      <x:c r="F2437"/>
      <x:c r="G2437"/>
      <x:c r="H2437"/>
      <x:c r="I2437"/>
      <x:c r="J2437"/>
      <x:c r="K2437"/>
      <x:c r="L2437"/>
      <x:c r="M2437"/>
      <x:c r="N2437"/>
      <x:c r="O2437"/>
      <x:c r="P2437"/>
      <x:c r="Q2437"/>
      <x:c r="R2437"/>
      <x:c r="S2437"/>
      <x:c r="T2437"/>
      <x:c r="U2437"/>
      <x:c r="V2437"/>
      <x:c r="W2437"/>
    </x:row>
    <x:row r="2438">
      <x:c r="A2438"/>
      <x:c r="B2438"/>
      <x:c r="C2438"/>
      <x:c r="D2438"/>
      <x:c r="E2438"/>
      <x:c r="F2438"/>
      <x:c r="G2438"/>
      <x:c r="H2438"/>
      <x:c r="I2438"/>
      <x:c r="J2438"/>
      <x:c r="K2438"/>
      <x:c r="L2438"/>
      <x:c r="M2438"/>
      <x:c r="N2438"/>
      <x:c r="O2438"/>
      <x:c r="P2438"/>
      <x:c r="Q2438"/>
      <x:c r="R2438"/>
      <x:c r="S2438"/>
      <x:c r="T2438"/>
      <x:c r="U2438"/>
      <x:c r="V2438"/>
      <x:c r="W2438"/>
    </x:row>
    <x:row r="2439">
      <x:c r="A2439"/>
      <x:c r="B2439"/>
      <x:c r="C2439"/>
      <x:c r="D2439"/>
      <x:c r="E2439"/>
      <x:c r="F2439"/>
      <x:c r="G2439"/>
      <x:c r="H2439"/>
      <x:c r="I2439"/>
      <x:c r="J2439"/>
      <x:c r="K2439"/>
      <x:c r="L2439"/>
      <x:c r="M2439"/>
      <x:c r="N2439"/>
      <x:c r="O2439"/>
      <x:c r="P2439"/>
      <x:c r="Q2439"/>
      <x:c r="R2439"/>
      <x:c r="S2439"/>
      <x:c r="T2439"/>
      <x:c r="U2439"/>
      <x:c r="V2439"/>
      <x:c r="W2439"/>
    </x:row>
    <x:row r="2440">
      <x:c r="A2440"/>
      <x:c r="B2440"/>
      <x:c r="C2440"/>
      <x:c r="D2440"/>
      <x:c r="E2440"/>
      <x:c r="F2440"/>
      <x:c r="G2440"/>
      <x:c r="H2440"/>
      <x:c r="I2440"/>
      <x:c r="J2440"/>
      <x:c r="K2440"/>
      <x:c r="L2440"/>
      <x:c r="M2440"/>
      <x:c r="N2440"/>
      <x:c r="O2440"/>
      <x:c r="P2440"/>
      <x:c r="Q2440"/>
      <x:c r="R2440"/>
      <x:c r="S2440"/>
      <x:c r="T2440"/>
      <x:c r="U2440"/>
      <x:c r="V2440"/>
      <x:c r="W2440"/>
    </x:row>
    <x:row r="2441">
      <x:c r="A2441"/>
      <x:c r="B2441"/>
      <x:c r="C2441"/>
      <x:c r="D2441"/>
      <x:c r="E2441"/>
      <x:c r="F2441"/>
      <x:c r="G2441"/>
      <x:c r="H2441"/>
      <x:c r="I2441"/>
      <x:c r="J2441"/>
      <x:c r="K2441"/>
      <x:c r="L2441"/>
      <x:c r="M2441"/>
      <x:c r="N2441"/>
      <x:c r="O2441"/>
      <x:c r="P2441"/>
      <x:c r="Q2441"/>
      <x:c r="R2441"/>
      <x:c r="S2441"/>
      <x:c r="T2441"/>
      <x:c r="U2441"/>
      <x:c r="V2441"/>
      <x:c r="W2441"/>
    </x:row>
    <x:row r="2442">
      <x:c r="A2442"/>
      <x:c r="B2442"/>
      <x:c r="C2442"/>
      <x:c r="D2442"/>
      <x:c r="E2442"/>
      <x:c r="F2442"/>
      <x:c r="G2442"/>
      <x:c r="H2442"/>
      <x:c r="I2442"/>
      <x:c r="J2442"/>
      <x:c r="K2442"/>
      <x:c r="L2442"/>
      <x:c r="M2442"/>
      <x:c r="N2442"/>
      <x:c r="O2442"/>
      <x:c r="P2442"/>
      <x:c r="Q2442"/>
      <x:c r="R2442"/>
      <x:c r="S2442"/>
      <x:c r="T2442"/>
      <x:c r="U2442"/>
      <x:c r="V2442"/>
      <x:c r="W2442"/>
    </x:row>
    <x:row r="2443">
      <x:c r="A2443"/>
      <x:c r="B2443"/>
      <x:c r="C2443"/>
      <x:c r="D2443"/>
      <x:c r="E2443"/>
      <x:c r="F2443"/>
      <x:c r="G2443"/>
      <x:c r="H2443"/>
      <x:c r="I2443"/>
      <x:c r="J2443"/>
      <x:c r="K2443"/>
      <x:c r="L2443"/>
      <x:c r="M2443"/>
      <x:c r="N2443"/>
      <x:c r="O2443"/>
      <x:c r="P2443"/>
      <x:c r="Q2443"/>
      <x:c r="R2443"/>
      <x:c r="S2443"/>
      <x:c r="T2443"/>
      <x:c r="U2443"/>
      <x:c r="V2443"/>
      <x:c r="W2443"/>
    </x:row>
    <x:row r="2444">
      <x:c r="A2444"/>
      <x:c r="B2444"/>
      <x:c r="C2444"/>
      <x:c r="D2444"/>
      <x:c r="E2444"/>
      <x:c r="F2444"/>
      <x:c r="G2444"/>
      <x:c r="H2444"/>
      <x:c r="I2444"/>
      <x:c r="J2444"/>
      <x:c r="K2444"/>
      <x:c r="L2444"/>
      <x:c r="M2444"/>
      <x:c r="N2444"/>
      <x:c r="O2444"/>
      <x:c r="P2444"/>
      <x:c r="Q2444"/>
      <x:c r="R2444"/>
      <x:c r="S2444"/>
      <x:c r="T2444"/>
      <x:c r="U2444"/>
      <x:c r="V2444"/>
      <x:c r="W2444"/>
    </x:row>
    <x:row r="2445">
      <x:c r="A2445"/>
      <x:c r="B2445"/>
      <x:c r="C2445"/>
      <x:c r="D2445"/>
      <x:c r="E2445"/>
      <x:c r="F2445"/>
      <x:c r="G2445"/>
      <x:c r="H2445"/>
      <x:c r="I2445"/>
      <x:c r="J2445"/>
      <x:c r="K2445"/>
      <x:c r="L2445"/>
      <x:c r="M2445"/>
      <x:c r="N2445"/>
      <x:c r="O2445"/>
      <x:c r="P2445"/>
      <x:c r="Q2445"/>
      <x:c r="R2445"/>
      <x:c r="S2445"/>
      <x:c r="T2445"/>
      <x:c r="U2445"/>
      <x:c r="V2445"/>
      <x:c r="W2445"/>
    </x:row>
    <x:row r="2446">
      <x:c r="A2446"/>
      <x:c r="B2446"/>
      <x:c r="C2446"/>
      <x:c r="D2446"/>
      <x:c r="E2446"/>
      <x:c r="F2446"/>
      <x:c r="G2446"/>
      <x:c r="H2446"/>
      <x:c r="I2446"/>
      <x:c r="J2446"/>
      <x:c r="K2446"/>
      <x:c r="L2446"/>
      <x:c r="M2446"/>
      <x:c r="N2446"/>
      <x:c r="O2446"/>
      <x:c r="P2446"/>
      <x:c r="Q2446"/>
      <x:c r="R2446"/>
      <x:c r="S2446"/>
      <x:c r="T2446"/>
      <x:c r="U2446"/>
      <x:c r="V2446"/>
      <x:c r="W2446"/>
    </x:row>
    <x:row r="2447">
      <x:c r="A2447"/>
      <x:c r="B2447"/>
      <x:c r="C2447"/>
      <x:c r="D2447"/>
      <x:c r="E2447"/>
      <x:c r="F2447"/>
      <x:c r="G2447"/>
      <x:c r="H2447"/>
      <x:c r="I2447"/>
      <x:c r="J2447"/>
      <x:c r="K2447"/>
      <x:c r="L2447"/>
      <x:c r="M2447"/>
      <x:c r="N2447"/>
      <x:c r="O2447"/>
      <x:c r="P2447"/>
      <x:c r="Q2447"/>
      <x:c r="R2447"/>
      <x:c r="S2447"/>
      <x:c r="T2447"/>
      <x:c r="U2447"/>
      <x:c r="V2447"/>
      <x:c r="W2447"/>
    </x:row>
    <x:row r="2448">
      <x:c r="A2448"/>
      <x:c r="B2448"/>
      <x:c r="C2448"/>
      <x:c r="D2448"/>
      <x:c r="E2448"/>
      <x:c r="F2448"/>
      <x:c r="G2448"/>
      <x:c r="H2448"/>
      <x:c r="I2448"/>
      <x:c r="J2448"/>
      <x:c r="K2448"/>
      <x:c r="L2448"/>
      <x:c r="M2448"/>
      <x:c r="N2448"/>
      <x:c r="O2448"/>
      <x:c r="P2448"/>
      <x:c r="Q2448"/>
      <x:c r="R2448"/>
      <x:c r="S2448"/>
      <x:c r="T2448"/>
      <x:c r="U2448"/>
      <x:c r="V2448"/>
      <x:c r="W2448"/>
    </x:row>
    <x:row r="2449">
      <x:c r="A2449"/>
      <x:c r="B2449"/>
      <x:c r="C2449"/>
      <x:c r="D2449"/>
      <x:c r="E2449"/>
      <x:c r="F2449"/>
      <x:c r="G2449"/>
      <x:c r="H2449"/>
      <x:c r="I2449"/>
      <x:c r="J2449"/>
      <x:c r="K2449"/>
      <x:c r="L2449"/>
      <x:c r="M2449"/>
      <x:c r="N2449"/>
      <x:c r="O2449"/>
      <x:c r="P2449"/>
      <x:c r="Q2449"/>
      <x:c r="R2449"/>
      <x:c r="S2449"/>
      <x:c r="T2449"/>
      <x:c r="U2449"/>
      <x:c r="V2449"/>
      <x:c r="W2449"/>
    </x:row>
    <x:row r="2450">
      <x:c r="A2450"/>
      <x:c r="B2450"/>
      <x:c r="C2450"/>
      <x:c r="D2450"/>
      <x:c r="E2450"/>
      <x:c r="F2450"/>
      <x:c r="G2450"/>
      <x:c r="H2450"/>
      <x:c r="I2450"/>
      <x:c r="J2450"/>
      <x:c r="K2450"/>
      <x:c r="L2450"/>
      <x:c r="M2450"/>
      <x:c r="N2450"/>
      <x:c r="O2450"/>
      <x:c r="P2450"/>
      <x:c r="Q2450"/>
      <x:c r="R2450"/>
      <x:c r="S2450"/>
      <x:c r="T2450"/>
      <x:c r="U2450"/>
      <x:c r="V2450"/>
      <x:c r="W2450"/>
    </x:row>
    <x:row r="2451">
      <x:c r="A2451"/>
      <x:c r="B2451"/>
      <x:c r="C2451"/>
      <x:c r="D2451"/>
      <x:c r="E2451"/>
      <x:c r="F2451"/>
      <x:c r="G2451"/>
      <x:c r="H2451"/>
      <x:c r="I2451"/>
      <x:c r="J2451"/>
      <x:c r="K2451"/>
      <x:c r="L2451"/>
      <x:c r="M2451"/>
      <x:c r="N2451"/>
      <x:c r="O2451"/>
      <x:c r="P2451"/>
      <x:c r="Q2451"/>
      <x:c r="R2451"/>
      <x:c r="S2451"/>
      <x:c r="T2451"/>
      <x:c r="U2451"/>
      <x:c r="V2451"/>
      <x:c r="W2451"/>
    </x:row>
    <x:row r="2452">
      <x:c r="A2452"/>
      <x:c r="B2452"/>
      <x:c r="C2452"/>
      <x:c r="D2452"/>
      <x:c r="E2452"/>
      <x:c r="F2452"/>
      <x:c r="G2452"/>
      <x:c r="H2452"/>
      <x:c r="I2452"/>
      <x:c r="J2452"/>
      <x:c r="K2452"/>
      <x:c r="L2452"/>
      <x:c r="M2452"/>
      <x:c r="N2452"/>
      <x:c r="O2452"/>
      <x:c r="P2452"/>
      <x:c r="Q2452"/>
      <x:c r="R2452"/>
      <x:c r="S2452"/>
      <x:c r="T2452"/>
      <x:c r="U2452"/>
      <x:c r="V2452"/>
      <x:c r="W2452"/>
    </x:row>
    <x:row r="2453">
      <x:c r="A2453"/>
      <x:c r="B2453"/>
      <x:c r="C2453"/>
      <x:c r="D2453"/>
      <x:c r="E2453"/>
      <x:c r="F2453"/>
      <x:c r="G2453"/>
      <x:c r="H2453"/>
      <x:c r="I2453"/>
      <x:c r="J2453"/>
      <x:c r="K2453"/>
      <x:c r="L2453"/>
      <x:c r="M2453"/>
      <x:c r="N2453"/>
      <x:c r="O2453"/>
      <x:c r="P2453"/>
      <x:c r="Q2453"/>
      <x:c r="R2453"/>
      <x:c r="S2453"/>
      <x:c r="T2453"/>
      <x:c r="U2453"/>
      <x:c r="V2453"/>
      <x:c r="W2453"/>
    </x:row>
    <x:row r="2454">
      <x:c r="A2454"/>
      <x:c r="B2454"/>
      <x:c r="C2454"/>
      <x:c r="D2454"/>
      <x:c r="E2454"/>
      <x:c r="F2454"/>
      <x:c r="G2454"/>
      <x:c r="H2454"/>
      <x:c r="I2454"/>
      <x:c r="J2454"/>
      <x:c r="K2454"/>
      <x:c r="L2454"/>
      <x:c r="M2454"/>
      <x:c r="N2454"/>
      <x:c r="O2454"/>
      <x:c r="P2454"/>
      <x:c r="Q2454"/>
      <x:c r="R2454"/>
      <x:c r="S2454"/>
      <x:c r="T2454"/>
      <x:c r="U2454"/>
      <x:c r="V2454"/>
      <x:c r="W2454"/>
    </x:row>
    <x:row r="2455">
      <x:c r="A2455"/>
      <x:c r="B2455"/>
      <x:c r="C2455"/>
      <x:c r="D2455"/>
      <x:c r="E2455"/>
      <x:c r="F2455"/>
      <x:c r="G2455"/>
      <x:c r="H2455"/>
      <x:c r="I2455"/>
      <x:c r="J2455"/>
      <x:c r="K2455"/>
      <x:c r="L2455"/>
      <x:c r="M2455"/>
      <x:c r="N2455"/>
      <x:c r="O2455"/>
      <x:c r="P2455"/>
      <x:c r="Q2455"/>
      <x:c r="R2455"/>
      <x:c r="S2455"/>
      <x:c r="T2455"/>
      <x:c r="U2455"/>
      <x:c r="V2455"/>
      <x:c r="W2455"/>
    </x:row>
    <x:row r="2456">
      <x:c r="A2456"/>
      <x:c r="B2456"/>
      <x:c r="C2456"/>
      <x:c r="D2456"/>
      <x:c r="E2456"/>
      <x:c r="F2456"/>
      <x:c r="G2456"/>
      <x:c r="H2456"/>
      <x:c r="I2456"/>
      <x:c r="J2456"/>
      <x:c r="K2456"/>
      <x:c r="L2456"/>
      <x:c r="M2456"/>
      <x:c r="N2456"/>
      <x:c r="O2456"/>
      <x:c r="P2456"/>
      <x:c r="Q2456"/>
      <x:c r="R2456"/>
      <x:c r="S2456"/>
      <x:c r="T2456"/>
      <x:c r="U2456"/>
      <x:c r="V2456"/>
      <x:c r="W2456"/>
    </x:row>
    <x:row r="2457">
      <x:c r="A2457"/>
      <x:c r="B2457"/>
      <x:c r="C2457"/>
      <x:c r="D2457"/>
      <x:c r="E2457"/>
      <x:c r="F2457"/>
      <x:c r="G2457"/>
      <x:c r="H2457"/>
      <x:c r="I2457"/>
      <x:c r="J2457"/>
      <x:c r="K2457"/>
      <x:c r="L2457"/>
      <x:c r="M2457"/>
      <x:c r="N2457"/>
      <x:c r="O2457"/>
      <x:c r="P2457"/>
      <x:c r="Q2457"/>
      <x:c r="R2457"/>
      <x:c r="S2457"/>
      <x:c r="T2457"/>
      <x:c r="U2457"/>
      <x:c r="V2457"/>
      <x:c r="W2457"/>
    </x:row>
    <x:row r="2458">
      <x:c r="A2458"/>
      <x:c r="B2458"/>
      <x:c r="C2458"/>
      <x:c r="D2458"/>
      <x:c r="E2458"/>
      <x:c r="F2458"/>
      <x:c r="G2458"/>
      <x:c r="H2458"/>
      <x:c r="I2458"/>
      <x:c r="J2458"/>
      <x:c r="K2458"/>
      <x:c r="L2458"/>
      <x:c r="M2458"/>
      <x:c r="N2458"/>
      <x:c r="O2458"/>
      <x:c r="P2458"/>
      <x:c r="Q2458"/>
      <x:c r="R2458"/>
      <x:c r="S2458"/>
      <x:c r="T2458"/>
      <x:c r="U2458"/>
      <x:c r="V2458"/>
      <x:c r="W2458"/>
    </x:row>
    <x:row r="2459">
      <x:c r="A2459"/>
      <x:c r="B2459"/>
      <x:c r="C2459"/>
      <x:c r="D2459"/>
      <x:c r="E2459"/>
      <x:c r="F2459"/>
      <x:c r="G2459"/>
      <x:c r="H2459"/>
      <x:c r="I2459"/>
      <x:c r="J2459"/>
      <x:c r="K2459"/>
      <x:c r="L2459"/>
      <x:c r="M2459"/>
      <x:c r="N2459"/>
      <x:c r="O2459"/>
      <x:c r="P2459"/>
      <x:c r="Q2459"/>
      <x:c r="R2459"/>
      <x:c r="S2459"/>
      <x:c r="T2459"/>
      <x:c r="U2459"/>
      <x:c r="V2459"/>
      <x:c r="W2459"/>
    </x:row>
    <x:row r="2460">
      <x:c r="A2460"/>
      <x:c r="B2460"/>
      <x:c r="C2460"/>
      <x:c r="D2460"/>
      <x:c r="E2460"/>
      <x:c r="F2460"/>
      <x:c r="G2460"/>
      <x:c r="H2460"/>
      <x:c r="I2460"/>
      <x:c r="J2460"/>
      <x:c r="K2460"/>
      <x:c r="L2460"/>
      <x:c r="M2460"/>
      <x:c r="N2460"/>
      <x:c r="O2460"/>
      <x:c r="P2460"/>
      <x:c r="Q2460"/>
      <x:c r="R2460"/>
      <x:c r="S2460"/>
      <x:c r="T2460"/>
      <x:c r="U2460"/>
      <x:c r="V2460"/>
      <x:c r="W2460"/>
    </x:row>
    <x:row r="2461">
      <x:c r="A2461"/>
      <x:c r="B2461"/>
      <x:c r="C2461"/>
      <x:c r="D2461"/>
      <x:c r="E2461"/>
      <x:c r="F2461"/>
      <x:c r="G2461"/>
      <x:c r="H2461"/>
      <x:c r="I2461"/>
      <x:c r="J2461"/>
      <x:c r="K2461"/>
      <x:c r="L2461"/>
      <x:c r="M2461"/>
      <x:c r="N2461"/>
      <x:c r="O2461"/>
      <x:c r="P2461"/>
      <x:c r="Q2461"/>
      <x:c r="R2461"/>
      <x:c r="S2461"/>
      <x:c r="T2461"/>
      <x:c r="U2461"/>
      <x:c r="V2461"/>
      <x:c r="W2461"/>
    </x:row>
    <x:row r="2462">
      <x:c r="A2462"/>
      <x:c r="B2462"/>
      <x:c r="C2462"/>
      <x:c r="D2462"/>
      <x:c r="E2462"/>
      <x:c r="F2462"/>
      <x:c r="G2462"/>
      <x:c r="H2462"/>
      <x:c r="I2462"/>
      <x:c r="J2462"/>
      <x:c r="K2462"/>
      <x:c r="L2462"/>
      <x:c r="M2462"/>
      <x:c r="N2462"/>
      <x:c r="O2462"/>
      <x:c r="P2462"/>
      <x:c r="Q2462"/>
      <x:c r="R2462"/>
      <x:c r="S2462"/>
      <x:c r="T2462"/>
      <x:c r="U2462"/>
      <x:c r="V2462"/>
      <x:c r="W2462"/>
    </x:row>
    <x:row r="2463">
      <x:c r="A2463"/>
      <x:c r="B2463"/>
      <x:c r="C2463"/>
      <x:c r="D2463"/>
      <x:c r="E2463"/>
      <x:c r="F2463"/>
      <x:c r="G2463"/>
      <x:c r="H2463"/>
      <x:c r="I2463"/>
      <x:c r="J2463"/>
      <x:c r="K2463"/>
      <x:c r="L2463"/>
      <x:c r="M2463"/>
      <x:c r="N2463"/>
      <x:c r="O2463"/>
      <x:c r="P2463"/>
      <x:c r="Q2463"/>
      <x:c r="R2463"/>
      <x:c r="S2463"/>
      <x:c r="T2463"/>
      <x:c r="U2463"/>
      <x:c r="V2463"/>
      <x:c r="W2463"/>
    </x:row>
    <x:row r="2464">
      <x:c r="A2464"/>
      <x:c r="B2464"/>
      <x:c r="C2464"/>
      <x:c r="D2464"/>
      <x:c r="E2464"/>
      <x:c r="F2464"/>
      <x:c r="G2464"/>
      <x:c r="H2464"/>
      <x:c r="I2464"/>
      <x:c r="J2464"/>
      <x:c r="K2464"/>
      <x:c r="L2464"/>
      <x:c r="M2464"/>
      <x:c r="N2464"/>
      <x:c r="O2464"/>
      <x:c r="P2464"/>
      <x:c r="Q2464"/>
      <x:c r="R2464"/>
      <x:c r="S2464"/>
      <x:c r="T2464"/>
      <x:c r="U2464"/>
      <x:c r="V2464"/>
      <x:c r="W2464"/>
    </x:row>
    <x:row r="2465">
      <x:c r="A2465"/>
      <x:c r="B2465"/>
      <x:c r="C2465"/>
      <x:c r="D2465"/>
      <x:c r="E2465"/>
      <x:c r="F2465"/>
      <x:c r="G2465"/>
      <x:c r="H2465"/>
      <x:c r="I2465"/>
      <x:c r="J2465"/>
      <x:c r="K2465"/>
      <x:c r="L2465"/>
      <x:c r="M2465"/>
      <x:c r="N2465"/>
      <x:c r="O2465"/>
      <x:c r="P2465"/>
      <x:c r="Q2465"/>
      <x:c r="R2465"/>
      <x:c r="S2465"/>
      <x:c r="T2465"/>
      <x:c r="U2465"/>
      <x:c r="V2465"/>
      <x:c r="W2465"/>
    </x:row>
    <x:row r="2466">
      <x:c r="A2466"/>
      <x:c r="B2466"/>
      <x:c r="C2466"/>
      <x:c r="D2466"/>
      <x:c r="E2466"/>
      <x:c r="F2466"/>
      <x:c r="G2466"/>
      <x:c r="H2466"/>
      <x:c r="I2466"/>
      <x:c r="J2466"/>
      <x:c r="K2466"/>
      <x:c r="L2466"/>
      <x:c r="M2466"/>
      <x:c r="N2466"/>
      <x:c r="O2466"/>
      <x:c r="P2466"/>
      <x:c r="Q2466"/>
      <x:c r="R2466"/>
      <x:c r="S2466"/>
      <x:c r="T2466"/>
      <x:c r="U2466"/>
      <x:c r="V2466"/>
      <x:c r="W2466"/>
    </x:row>
    <x:row r="2467">
      <x:c r="A2467"/>
      <x:c r="B2467"/>
      <x:c r="C2467"/>
      <x:c r="D2467"/>
      <x:c r="E2467"/>
      <x:c r="F2467"/>
      <x:c r="G2467"/>
      <x:c r="H2467"/>
      <x:c r="I2467"/>
      <x:c r="J2467"/>
      <x:c r="K2467"/>
      <x:c r="L2467"/>
      <x:c r="M2467"/>
      <x:c r="N2467"/>
      <x:c r="O2467"/>
      <x:c r="P2467"/>
      <x:c r="Q2467"/>
      <x:c r="R2467"/>
      <x:c r="S2467"/>
      <x:c r="T2467"/>
      <x:c r="U2467"/>
      <x:c r="V2467"/>
      <x:c r="W2467"/>
    </x:row>
    <x:row r="2468">
      <x:c r="A2468"/>
      <x:c r="B2468"/>
      <x:c r="C2468"/>
      <x:c r="D2468"/>
      <x:c r="E2468"/>
      <x:c r="F2468"/>
      <x:c r="G2468"/>
      <x:c r="H2468"/>
      <x:c r="I2468"/>
      <x:c r="J2468"/>
      <x:c r="K2468"/>
      <x:c r="L2468"/>
      <x:c r="M2468"/>
      <x:c r="N2468"/>
      <x:c r="O2468"/>
      <x:c r="P2468"/>
      <x:c r="Q2468"/>
      <x:c r="R2468"/>
      <x:c r="S2468"/>
      <x:c r="T2468"/>
      <x:c r="U2468"/>
      <x:c r="V2468"/>
      <x:c r="W2468"/>
    </x:row>
    <x:row r="2469">
      <x:c r="A2469"/>
      <x:c r="B2469"/>
      <x:c r="C2469"/>
      <x:c r="D2469"/>
      <x:c r="E2469"/>
      <x:c r="F2469"/>
      <x:c r="G2469"/>
      <x:c r="H2469"/>
      <x:c r="I2469"/>
      <x:c r="J2469"/>
      <x:c r="K2469"/>
      <x:c r="L2469"/>
      <x:c r="M2469"/>
      <x:c r="N2469"/>
      <x:c r="O2469"/>
      <x:c r="P2469"/>
      <x:c r="Q2469"/>
      <x:c r="R2469"/>
      <x:c r="S2469"/>
      <x:c r="T2469"/>
      <x:c r="U2469"/>
      <x:c r="V2469"/>
      <x:c r="W2469"/>
    </x:row>
    <x:row r="2470">
      <x:c r="A2470"/>
      <x:c r="B2470"/>
      <x:c r="C2470"/>
      <x:c r="D2470"/>
      <x:c r="E2470"/>
      <x:c r="F2470"/>
      <x:c r="G2470"/>
      <x:c r="H2470"/>
      <x:c r="I2470"/>
      <x:c r="J2470"/>
      <x:c r="K2470"/>
      <x:c r="L2470"/>
      <x:c r="M2470"/>
      <x:c r="N2470"/>
      <x:c r="O2470"/>
      <x:c r="P2470"/>
      <x:c r="Q2470"/>
      <x:c r="R2470"/>
      <x:c r="S2470"/>
      <x:c r="T2470"/>
      <x:c r="U2470"/>
      <x:c r="V2470"/>
      <x:c r="W2470"/>
    </x:row>
    <x:row r="2471">
      <x:c r="A2471"/>
      <x:c r="B2471"/>
      <x:c r="C2471"/>
      <x:c r="D2471"/>
      <x:c r="E2471"/>
      <x:c r="F2471"/>
      <x:c r="G2471"/>
      <x:c r="H2471"/>
      <x:c r="I2471"/>
      <x:c r="J2471"/>
      <x:c r="K2471"/>
      <x:c r="L2471"/>
      <x:c r="M2471"/>
      <x:c r="N2471"/>
      <x:c r="O2471"/>
      <x:c r="P2471"/>
      <x:c r="Q2471"/>
      <x:c r="R2471"/>
      <x:c r="S2471"/>
      <x:c r="T2471"/>
      <x:c r="U2471"/>
      <x:c r="V2471"/>
      <x:c r="W2471"/>
    </x:row>
    <x:row r="2472">
      <x:c r="A2472"/>
      <x:c r="B2472"/>
      <x:c r="C2472"/>
      <x:c r="D2472"/>
      <x:c r="E2472"/>
      <x:c r="F2472"/>
      <x:c r="G2472"/>
      <x:c r="H2472"/>
      <x:c r="I2472"/>
      <x:c r="J2472"/>
      <x:c r="K2472"/>
      <x:c r="L2472"/>
      <x:c r="M2472"/>
      <x:c r="N2472"/>
      <x:c r="O2472"/>
      <x:c r="P2472"/>
      <x:c r="Q2472"/>
      <x:c r="R2472"/>
      <x:c r="S2472"/>
      <x:c r="T2472"/>
      <x:c r="U2472"/>
      <x:c r="V2472"/>
      <x:c r="W2472"/>
    </x:row>
    <x:row r="2473">
      <x:c r="A2473"/>
      <x:c r="B2473"/>
      <x:c r="C2473"/>
      <x:c r="D2473"/>
      <x:c r="E2473"/>
      <x:c r="F2473"/>
      <x:c r="G2473"/>
      <x:c r="H2473"/>
      <x:c r="I2473"/>
      <x:c r="J2473"/>
      <x:c r="K2473"/>
      <x:c r="L2473"/>
      <x:c r="M2473"/>
      <x:c r="N2473"/>
      <x:c r="O2473"/>
      <x:c r="P2473"/>
      <x:c r="Q2473"/>
      <x:c r="R2473"/>
      <x:c r="S2473"/>
      <x:c r="T2473"/>
      <x:c r="U2473"/>
      <x:c r="V2473"/>
      <x:c r="W2473"/>
    </x:row>
    <x:row r="2474">
      <x:c r="A2474"/>
      <x:c r="B2474"/>
      <x:c r="C2474"/>
      <x:c r="D2474"/>
      <x:c r="E2474"/>
      <x:c r="F2474"/>
      <x:c r="G2474"/>
      <x:c r="H2474"/>
      <x:c r="I2474"/>
      <x:c r="J2474"/>
      <x:c r="K2474"/>
      <x:c r="L2474"/>
      <x:c r="M2474"/>
      <x:c r="N2474"/>
      <x:c r="O2474"/>
      <x:c r="P2474"/>
      <x:c r="Q2474"/>
      <x:c r="R2474"/>
      <x:c r="S2474"/>
      <x:c r="T2474"/>
      <x:c r="U2474"/>
      <x:c r="V2474"/>
      <x:c r="W2474"/>
    </x:row>
    <x:row r="2475">
      <x:c r="A2475"/>
      <x:c r="B2475"/>
      <x:c r="C2475"/>
      <x:c r="D2475"/>
      <x:c r="E2475"/>
      <x:c r="F2475"/>
      <x:c r="G2475"/>
      <x:c r="H2475"/>
      <x:c r="I2475"/>
      <x:c r="J2475"/>
      <x:c r="K2475"/>
      <x:c r="L2475"/>
      <x:c r="M2475"/>
      <x:c r="N2475"/>
      <x:c r="O2475"/>
      <x:c r="P2475"/>
      <x:c r="Q2475"/>
      <x:c r="R2475"/>
      <x:c r="S2475"/>
      <x:c r="T2475"/>
      <x:c r="U2475"/>
      <x:c r="V2475"/>
      <x:c r="W2475"/>
    </x:row>
    <x:row r="2476">
      <x:c r="A2476"/>
      <x:c r="B2476"/>
      <x:c r="C2476"/>
      <x:c r="D2476"/>
      <x:c r="E2476"/>
      <x:c r="F2476"/>
      <x:c r="G2476"/>
      <x:c r="H2476"/>
      <x:c r="I2476"/>
      <x:c r="J2476"/>
      <x:c r="K2476"/>
      <x:c r="L2476"/>
      <x:c r="M2476"/>
      <x:c r="N2476"/>
      <x:c r="O2476"/>
      <x:c r="P2476"/>
      <x:c r="Q2476"/>
      <x:c r="R2476"/>
      <x:c r="S2476"/>
      <x:c r="T2476"/>
      <x:c r="U2476"/>
      <x:c r="V2476"/>
      <x:c r="W2476"/>
    </x:row>
    <x:row r="2477">
      <x:c r="A2477"/>
      <x:c r="B2477"/>
      <x:c r="C2477"/>
      <x:c r="D2477"/>
      <x:c r="E2477"/>
      <x:c r="F2477"/>
      <x:c r="G2477"/>
      <x:c r="H2477"/>
      <x:c r="I2477"/>
      <x:c r="J2477"/>
      <x:c r="K2477"/>
      <x:c r="L2477"/>
      <x:c r="M2477"/>
      <x:c r="N2477"/>
      <x:c r="O2477"/>
      <x:c r="P2477"/>
      <x:c r="Q2477"/>
      <x:c r="R2477"/>
      <x:c r="S2477"/>
      <x:c r="T2477"/>
      <x:c r="U2477"/>
      <x:c r="V2477"/>
      <x:c r="W2477"/>
    </x:row>
    <x:row r="2478">
      <x:c r="A2478"/>
      <x:c r="B2478"/>
      <x:c r="C2478"/>
      <x:c r="D2478"/>
      <x:c r="E2478"/>
      <x:c r="F2478"/>
      <x:c r="G2478"/>
      <x:c r="H2478"/>
      <x:c r="I2478"/>
      <x:c r="J2478"/>
      <x:c r="K2478"/>
      <x:c r="L2478"/>
      <x:c r="M2478"/>
      <x:c r="N2478"/>
      <x:c r="O2478"/>
      <x:c r="P2478"/>
      <x:c r="Q2478"/>
      <x:c r="R2478"/>
      <x:c r="S2478"/>
      <x:c r="T2478"/>
      <x:c r="U2478"/>
      <x:c r="V2478"/>
      <x:c r="W2478"/>
    </x:row>
    <x:row r="2479">
      <x:c r="A2479"/>
      <x:c r="B2479"/>
      <x:c r="C2479"/>
      <x:c r="D2479"/>
      <x:c r="E2479"/>
      <x:c r="F2479"/>
      <x:c r="G2479"/>
      <x:c r="H2479"/>
      <x:c r="I2479"/>
      <x:c r="J2479"/>
      <x:c r="K2479"/>
      <x:c r="L2479"/>
      <x:c r="M2479"/>
      <x:c r="N2479"/>
      <x:c r="O2479"/>
      <x:c r="P2479"/>
      <x:c r="Q2479"/>
      <x:c r="R2479"/>
      <x:c r="S2479"/>
      <x:c r="T2479"/>
      <x:c r="U2479"/>
      <x:c r="V2479"/>
      <x:c r="W2479"/>
    </x:row>
    <x:row r="2480">
      <x:c r="A2480"/>
      <x:c r="B2480"/>
      <x:c r="C2480"/>
      <x:c r="D2480"/>
      <x:c r="E2480"/>
      <x:c r="F2480"/>
      <x:c r="G2480"/>
      <x:c r="H2480"/>
      <x:c r="I2480"/>
      <x:c r="J2480"/>
      <x:c r="K2480"/>
      <x:c r="L2480"/>
      <x:c r="M2480"/>
      <x:c r="N2480"/>
      <x:c r="O2480"/>
      <x:c r="P2480"/>
      <x:c r="Q2480"/>
      <x:c r="R2480"/>
      <x:c r="S2480"/>
      <x:c r="T2480"/>
      <x:c r="U2480"/>
      <x:c r="V2480"/>
      <x:c r="W2480"/>
    </x:row>
    <x:row r="2481">
      <x:c r="A2481"/>
      <x:c r="B2481"/>
      <x:c r="C2481"/>
      <x:c r="D2481"/>
      <x:c r="E2481"/>
      <x:c r="F2481"/>
      <x:c r="G2481"/>
      <x:c r="H2481"/>
      <x:c r="I2481"/>
      <x:c r="J2481"/>
      <x:c r="K2481"/>
      <x:c r="L2481"/>
      <x:c r="M2481"/>
      <x:c r="N2481"/>
      <x:c r="O2481"/>
      <x:c r="P2481"/>
      <x:c r="Q2481"/>
      <x:c r="R2481"/>
      <x:c r="S2481"/>
      <x:c r="T2481"/>
      <x:c r="U2481"/>
      <x:c r="V2481"/>
      <x:c r="W2481"/>
    </x:row>
    <x:row r="2482">
      <x:c r="A2482"/>
      <x:c r="B2482"/>
      <x:c r="C2482"/>
      <x:c r="D2482"/>
      <x:c r="E2482"/>
      <x:c r="F2482"/>
      <x:c r="G2482"/>
      <x:c r="H2482"/>
      <x:c r="I2482"/>
      <x:c r="J2482"/>
      <x:c r="K2482"/>
      <x:c r="L2482"/>
      <x:c r="M2482"/>
      <x:c r="N2482"/>
      <x:c r="O2482"/>
      <x:c r="P2482"/>
      <x:c r="Q2482"/>
      <x:c r="R2482"/>
      <x:c r="S2482"/>
      <x:c r="T2482"/>
      <x:c r="U2482"/>
      <x:c r="V2482"/>
      <x:c r="W2482"/>
    </x:row>
    <x:row r="2483">
      <x:c r="A2483"/>
      <x:c r="B2483"/>
      <x:c r="C2483"/>
      <x:c r="D2483"/>
      <x:c r="E2483"/>
      <x:c r="F2483"/>
      <x:c r="G2483"/>
      <x:c r="H2483"/>
      <x:c r="I2483"/>
      <x:c r="J2483"/>
      <x:c r="K2483"/>
      <x:c r="L2483"/>
      <x:c r="M2483"/>
      <x:c r="N2483"/>
      <x:c r="O2483"/>
      <x:c r="P2483"/>
      <x:c r="Q2483"/>
      <x:c r="R2483"/>
      <x:c r="S2483"/>
      <x:c r="T2483"/>
      <x:c r="U2483"/>
      <x:c r="V2483"/>
      <x:c r="W2483"/>
    </x:row>
    <x:row r="2484">
      <x:c r="A2484"/>
      <x:c r="B2484"/>
      <x:c r="C2484"/>
      <x:c r="D2484"/>
      <x:c r="E2484"/>
      <x:c r="F2484"/>
      <x:c r="G2484"/>
      <x:c r="H2484"/>
      <x:c r="I2484"/>
      <x:c r="J2484"/>
      <x:c r="K2484"/>
      <x:c r="L2484"/>
      <x:c r="M2484"/>
      <x:c r="N2484"/>
      <x:c r="O2484"/>
      <x:c r="P2484"/>
      <x:c r="Q2484"/>
      <x:c r="R2484"/>
      <x:c r="S2484"/>
      <x:c r="T2484"/>
      <x:c r="U2484"/>
      <x:c r="V2484"/>
      <x:c r="W2484"/>
    </x:row>
    <x:row r="2485">
      <x:c r="A2485"/>
      <x:c r="B2485"/>
      <x:c r="C2485"/>
      <x:c r="D2485"/>
      <x:c r="E2485"/>
      <x:c r="F2485"/>
      <x:c r="G2485"/>
      <x:c r="H2485"/>
      <x:c r="I2485"/>
      <x:c r="J2485"/>
      <x:c r="K2485"/>
      <x:c r="L2485"/>
      <x:c r="M2485"/>
      <x:c r="N2485"/>
      <x:c r="O2485"/>
      <x:c r="P2485"/>
      <x:c r="Q2485"/>
      <x:c r="R2485"/>
      <x:c r="S2485"/>
      <x:c r="T2485"/>
      <x:c r="U2485"/>
      <x:c r="V2485"/>
      <x:c r="W2485"/>
    </x:row>
    <x:row r="2486">
      <x:c r="A2486"/>
      <x:c r="B2486"/>
      <x:c r="C2486"/>
      <x:c r="D2486"/>
      <x:c r="E2486"/>
      <x:c r="F2486"/>
      <x:c r="G2486"/>
      <x:c r="H2486"/>
      <x:c r="I2486"/>
      <x:c r="J2486"/>
      <x:c r="K2486"/>
      <x:c r="L2486"/>
      <x:c r="M2486"/>
      <x:c r="N2486"/>
      <x:c r="O2486"/>
      <x:c r="P2486"/>
      <x:c r="Q2486"/>
      <x:c r="R2486"/>
      <x:c r="S2486"/>
      <x:c r="T2486"/>
      <x:c r="U2486"/>
      <x:c r="V2486"/>
      <x:c r="W2486"/>
    </x:row>
    <x:row r="2487">
      <x:c r="A2487"/>
      <x:c r="B2487"/>
      <x:c r="C2487"/>
      <x:c r="D2487"/>
      <x:c r="E2487"/>
      <x:c r="F2487"/>
      <x:c r="G2487"/>
      <x:c r="H2487"/>
      <x:c r="I2487"/>
      <x:c r="J2487"/>
      <x:c r="K2487"/>
      <x:c r="L2487"/>
      <x:c r="M2487"/>
      <x:c r="N2487"/>
      <x:c r="O2487"/>
      <x:c r="P2487"/>
      <x:c r="Q2487"/>
      <x:c r="R2487"/>
      <x:c r="S2487"/>
      <x:c r="T2487"/>
      <x:c r="U2487"/>
      <x:c r="V2487"/>
      <x:c r="W2487"/>
    </x:row>
    <x:row r="2488">
      <x:c r="A2488"/>
      <x:c r="B2488"/>
      <x:c r="C2488"/>
      <x:c r="D2488"/>
      <x:c r="E2488"/>
      <x:c r="F2488"/>
      <x:c r="G2488"/>
      <x:c r="H2488"/>
      <x:c r="I2488"/>
      <x:c r="J2488"/>
      <x:c r="K2488"/>
      <x:c r="L2488"/>
      <x:c r="M2488"/>
      <x:c r="N2488"/>
      <x:c r="O2488"/>
      <x:c r="P2488"/>
      <x:c r="Q2488"/>
      <x:c r="R2488"/>
      <x:c r="S2488"/>
      <x:c r="T2488"/>
      <x:c r="U2488"/>
      <x:c r="V2488"/>
      <x:c r="W2488"/>
    </x:row>
    <x:row r="2489">
      <x:c r="A2489"/>
      <x:c r="B2489"/>
      <x:c r="C2489"/>
      <x:c r="D2489"/>
      <x:c r="E2489"/>
      <x:c r="F2489"/>
      <x:c r="G2489"/>
      <x:c r="H2489"/>
      <x:c r="I2489"/>
      <x:c r="J2489"/>
      <x:c r="K2489"/>
      <x:c r="L2489"/>
      <x:c r="M2489"/>
      <x:c r="N2489"/>
      <x:c r="O2489"/>
      <x:c r="P2489"/>
      <x:c r="Q2489"/>
      <x:c r="R2489"/>
      <x:c r="S2489"/>
      <x:c r="T2489"/>
      <x:c r="U2489"/>
      <x:c r="V2489"/>
      <x:c r="W2489"/>
    </x:row>
    <x:row r="2490">
      <x:c r="A2490"/>
      <x:c r="B2490"/>
      <x:c r="C2490"/>
      <x:c r="D2490"/>
      <x:c r="E2490"/>
      <x:c r="F2490"/>
      <x:c r="G2490"/>
      <x:c r="H2490"/>
      <x:c r="I2490"/>
      <x:c r="J2490"/>
      <x:c r="K2490"/>
      <x:c r="L2490"/>
      <x:c r="M2490"/>
      <x:c r="N2490"/>
      <x:c r="O2490"/>
      <x:c r="P2490"/>
      <x:c r="Q2490"/>
      <x:c r="R2490"/>
      <x:c r="S2490"/>
      <x:c r="T2490"/>
      <x:c r="U2490"/>
      <x:c r="V2490"/>
      <x:c r="W2490"/>
    </x:row>
    <x:row r="2491">
      <x:c r="A2491"/>
      <x:c r="B2491"/>
      <x:c r="C2491"/>
      <x:c r="D2491"/>
      <x:c r="E2491"/>
      <x:c r="F2491"/>
      <x:c r="G2491"/>
      <x:c r="H2491"/>
      <x:c r="I2491"/>
      <x:c r="J2491"/>
      <x:c r="K2491"/>
      <x:c r="L2491"/>
      <x:c r="M2491"/>
      <x:c r="N2491"/>
      <x:c r="O2491"/>
      <x:c r="P2491"/>
      <x:c r="Q2491"/>
      <x:c r="R2491"/>
      <x:c r="S2491"/>
      <x:c r="T2491"/>
      <x:c r="U2491"/>
      <x:c r="V2491"/>
      <x:c r="W2491"/>
    </x:row>
    <x:row r="2492">
      <x:c r="A2492"/>
      <x:c r="B2492"/>
      <x:c r="C2492"/>
      <x:c r="D2492"/>
      <x:c r="E2492"/>
      <x:c r="F2492"/>
      <x:c r="G2492"/>
      <x:c r="H2492"/>
      <x:c r="I2492"/>
      <x:c r="J2492"/>
      <x:c r="K2492"/>
      <x:c r="L2492"/>
      <x:c r="M2492"/>
      <x:c r="N2492"/>
      <x:c r="O2492"/>
      <x:c r="P2492"/>
      <x:c r="Q2492"/>
      <x:c r="R2492"/>
      <x:c r="S2492"/>
      <x:c r="T2492"/>
      <x:c r="U2492"/>
      <x:c r="V2492"/>
      <x:c r="W2492"/>
    </x:row>
    <x:row r="2493">
      <x:c r="A2493"/>
      <x:c r="B2493"/>
      <x:c r="C2493"/>
      <x:c r="D2493"/>
      <x:c r="E2493"/>
      <x:c r="F2493"/>
      <x:c r="G2493"/>
      <x:c r="H2493"/>
      <x:c r="I2493"/>
      <x:c r="J2493"/>
      <x:c r="K2493"/>
      <x:c r="L2493"/>
      <x:c r="M2493"/>
      <x:c r="N2493"/>
      <x:c r="O2493"/>
      <x:c r="P2493"/>
      <x:c r="Q2493"/>
      <x:c r="R2493"/>
      <x:c r="S2493"/>
      <x:c r="T2493"/>
      <x:c r="U2493"/>
      <x:c r="V2493"/>
      <x:c r="W2493"/>
    </x:row>
    <x:row r="2494">
      <x:c r="A2494"/>
      <x:c r="B2494"/>
      <x:c r="C2494"/>
      <x:c r="D2494"/>
      <x:c r="E2494"/>
      <x:c r="F2494"/>
      <x:c r="G2494"/>
      <x:c r="H2494"/>
      <x:c r="I2494"/>
      <x:c r="J2494"/>
      <x:c r="K2494"/>
      <x:c r="L2494"/>
      <x:c r="M2494"/>
      <x:c r="N2494"/>
      <x:c r="O2494"/>
      <x:c r="P2494"/>
      <x:c r="Q2494"/>
      <x:c r="R2494"/>
      <x:c r="S2494"/>
      <x:c r="T2494"/>
      <x:c r="U2494"/>
      <x:c r="V2494"/>
      <x:c r="W2494"/>
    </x:row>
    <x:row r="2495">
      <x:c r="A2495"/>
      <x:c r="B2495"/>
      <x:c r="C2495"/>
      <x:c r="D2495"/>
      <x:c r="E2495"/>
      <x:c r="F2495"/>
      <x:c r="G2495"/>
      <x:c r="H2495"/>
      <x:c r="I2495"/>
      <x:c r="J2495"/>
      <x:c r="K2495"/>
      <x:c r="L2495"/>
      <x:c r="M2495"/>
      <x:c r="N2495"/>
      <x:c r="O2495"/>
      <x:c r="P2495"/>
      <x:c r="Q2495"/>
      <x:c r="R2495"/>
      <x:c r="S2495"/>
      <x:c r="T2495"/>
      <x:c r="U2495"/>
      <x:c r="V2495"/>
      <x:c r="W2495"/>
    </x:row>
    <x:row r="2496">
      <x:c r="A2496"/>
      <x:c r="B2496"/>
      <x:c r="C2496"/>
      <x:c r="D2496"/>
      <x:c r="E2496"/>
      <x:c r="F2496"/>
      <x:c r="G2496"/>
      <x:c r="H2496"/>
      <x:c r="I2496"/>
      <x:c r="J2496"/>
      <x:c r="K2496"/>
      <x:c r="L2496"/>
      <x:c r="M2496"/>
      <x:c r="N2496"/>
      <x:c r="O2496"/>
      <x:c r="P2496"/>
      <x:c r="Q2496"/>
      <x:c r="R2496"/>
      <x:c r="S2496"/>
      <x:c r="T2496"/>
      <x:c r="U2496"/>
      <x:c r="V2496"/>
      <x:c r="W2496"/>
    </x:row>
    <x:row r="2497">
      <x:c r="A2497"/>
      <x:c r="B2497"/>
      <x:c r="C2497"/>
      <x:c r="D2497"/>
      <x:c r="E2497"/>
      <x:c r="F2497"/>
      <x:c r="G2497"/>
      <x:c r="H2497"/>
      <x:c r="I2497"/>
      <x:c r="J2497"/>
      <x:c r="K2497"/>
      <x:c r="L2497"/>
      <x:c r="M2497"/>
      <x:c r="N2497"/>
      <x:c r="O2497"/>
      <x:c r="P2497"/>
      <x:c r="Q2497"/>
      <x:c r="R2497"/>
      <x:c r="S2497"/>
      <x:c r="T2497"/>
      <x:c r="U2497"/>
      <x:c r="V2497"/>
      <x:c r="W2497"/>
    </x:row>
    <x:row r="2498">
      <x:c r="A2498"/>
      <x:c r="B2498"/>
      <x:c r="C2498"/>
      <x:c r="D2498"/>
      <x:c r="E2498"/>
      <x:c r="F2498"/>
      <x:c r="G2498"/>
      <x:c r="H2498"/>
      <x:c r="I2498"/>
      <x:c r="J2498"/>
      <x:c r="K2498"/>
      <x:c r="L2498"/>
      <x:c r="M2498"/>
      <x:c r="N2498"/>
      <x:c r="O2498"/>
      <x:c r="P2498"/>
      <x:c r="Q2498"/>
      <x:c r="R2498"/>
      <x:c r="S2498"/>
      <x:c r="T2498"/>
      <x:c r="U2498"/>
      <x:c r="V2498"/>
      <x:c r="W2498"/>
    </x:row>
    <x:row r="2499">
      <x:c r="A2499"/>
      <x:c r="B2499"/>
      <x:c r="C2499"/>
      <x:c r="D2499"/>
      <x:c r="E2499"/>
      <x:c r="F2499"/>
      <x:c r="G2499"/>
      <x:c r="H2499"/>
      <x:c r="I2499"/>
      <x:c r="J2499"/>
      <x:c r="K2499"/>
      <x:c r="L2499"/>
      <x:c r="M2499"/>
      <x:c r="N2499"/>
      <x:c r="O2499"/>
      <x:c r="P2499"/>
      <x:c r="Q2499"/>
      <x:c r="R2499"/>
      <x:c r="S2499"/>
      <x:c r="T2499"/>
      <x:c r="U2499"/>
      <x:c r="V2499"/>
      <x:c r="W2499"/>
    </x:row>
    <x:row r="2500">
      <x:c r="A2500"/>
      <x:c r="B2500"/>
      <x:c r="C2500"/>
      <x:c r="D2500"/>
      <x:c r="E2500"/>
      <x:c r="F2500"/>
      <x:c r="G2500"/>
      <x:c r="H2500"/>
      <x:c r="I2500"/>
      <x:c r="J2500"/>
      <x:c r="K2500"/>
      <x:c r="L2500"/>
      <x:c r="M2500"/>
      <x:c r="N2500"/>
      <x:c r="O2500"/>
      <x:c r="P2500"/>
      <x:c r="Q2500"/>
      <x:c r="R2500"/>
      <x:c r="S2500"/>
      <x:c r="T2500"/>
      <x:c r="U2500"/>
      <x:c r="V2500"/>
      <x:c r="W2500"/>
    </x:row>
    <x:row r="2501">
      <x:c r="A2501"/>
      <x:c r="B2501"/>
      <x:c r="C2501"/>
      <x:c r="D2501"/>
      <x:c r="E2501"/>
      <x:c r="F2501"/>
      <x:c r="G2501"/>
      <x:c r="H2501"/>
      <x:c r="I2501"/>
      <x:c r="J2501"/>
      <x:c r="K2501"/>
      <x:c r="L2501"/>
      <x:c r="M2501"/>
      <x:c r="N2501"/>
      <x:c r="O2501"/>
      <x:c r="P2501"/>
      <x:c r="Q2501"/>
      <x:c r="R2501"/>
      <x:c r="S2501"/>
      <x:c r="T2501"/>
      <x:c r="U2501"/>
      <x:c r="V2501"/>
      <x:c r="W2501"/>
    </x:row>
    <x:row r="2502">
      <x:c r="A2502"/>
      <x:c r="B2502"/>
      <x:c r="C2502"/>
      <x:c r="D2502"/>
      <x:c r="E2502"/>
      <x:c r="F2502"/>
      <x:c r="G2502"/>
      <x:c r="H2502"/>
      <x:c r="I2502"/>
      <x:c r="J2502"/>
      <x:c r="K2502"/>
      <x:c r="L2502"/>
      <x:c r="M2502"/>
      <x:c r="N2502"/>
      <x:c r="O2502"/>
      <x:c r="P2502"/>
      <x:c r="Q2502"/>
      <x:c r="R2502"/>
      <x:c r="S2502"/>
      <x:c r="T2502"/>
      <x:c r="U2502"/>
      <x:c r="V2502"/>
      <x:c r="W2502"/>
    </x:row>
    <x:row r="2503">
      <x:c r="A2503"/>
      <x:c r="B2503"/>
      <x:c r="C2503"/>
      <x:c r="D2503"/>
      <x:c r="E2503"/>
      <x:c r="F2503"/>
      <x:c r="G2503"/>
      <x:c r="H2503"/>
      <x:c r="I2503"/>
      <x:c r="J2503"/>
      <x:c r="K2503"/>
      <x:c r="L2503"/>
      <x:c r="M2503"/>
      <x:c r="N2503"/>
      <x:c r="O2503"/>
      <x:c r="P2503"/>
      <x:c r="Q2503"/>
      <x:c r="R2503"/>
      <x:c r="S2503"/>
      <x:c r="T2503"/>
      <x:c r="U2503"/>
      <x:c r="V2503"/>
      <x:c r="W2503"/>
    </x:row>
    <x:row r="2504">
      <x:c r="A2504"/>
      <x:c r="B2504"/>
      <x:c r="C2504"/>
      <x:c r="D2504"/>
      <x:c r="E2504"/>
      <x:c r="F2504"/>
      <x:c r="G2504"/>
      <x:c r="H2504"/>
      <x:c r="I2504"/>
      <x:c r="J2504"/>
      <x:c r="K2504"/>
      <x:c r="L2504"/>
      <x:c r="M2504"/>
      <x:c r="N2504"/>
      <x:c r="O2504"/>
      <x:c r="P2504"/>
      <x:c r="Q2504"/>
      <x:c r="R2504"/>
      <x:c r="S2504"/>
      <x:c r="T2504"/>
      <x:c r="U2504"/>
      <x:c r="V2504"/>
      <x:c r="W2504"/>
    </x:row>
    <x:row r="2505">
      <x:c r="A2505"/>
      <x:c r="B2505"/>
      <x:c r="C2505"/>
      <x:c r="D2505"/>
      <x:c r="E2505"/>
      <x:c r="F2505"/>
      <x:c r="G2505"/>
      <x:c r="H2505"/>
      <x:c r="I2505"/>
      <x:c r="J2505"/>
      <x:c r="K2505"/>
      <x:c r="L2505"/>
      <x:c r="M2505"/>
      <x:c r="N2505"/>
      <x:c r="O2505"/>
      <x:c r="P2505"/>
      <x:c r="Q2505"/>
      <x:c r="R2505"/>
      <x:c r="S2505"/>
      <x:c r="T2505"/>
      <x:c r="U2505"/>
      <x:c r="V2505"/>
      <x:c r="W2505"/>
    </x:row>
    <x:row r="2506">
      <x:c r="A2506"/>
      <x:c r="B2506"/>
      <x:c r="C2506"/>
      <x:c r="D2506"/>
      <x:c r="E2506"/>
      <x:c r="F2506"/>
      <x:c r="G2506"/>
      <x:c r="H2506"/>
      <x:c r="I2506"/>
      <x:c r="J2506"/>
      <x:c r="K2506"/>
      <x:c r="L2506"/>
      <x:c r="M2506"/>
      <x:c r="N2506"/>
      <x:c r="O2506"/>
      <x:c r="P2506"/>
      <x:c r="Q2506"/>
      <x:c r="R2506"/>
      <x:c r="S2506"/>
      <x:c r="T2506"/>
      <x:c r="U2506"/>
      <x:c r="V2506"/>
      <x:c r="W2506"/>
    </x:row>
    <x:row r="2507">
      <x:c r="A2507"/>
      <x:c r="B2507"/>
      <x:c r="C2507"/>
      <x:c r="D2507"/>
      <x:c r="E2507"/>
      <x:c r="F2507"/>
      <x:c r="G2507"/>
      <x:c r="H2507"/>
      <x:c r="I2507"/>
      <x:c r="J2507"/>
      <x:c r="K2507"/>
      <x:c r="L2507"/>
      <x:c r="M2507"/>
      <x:c r="N2507"/>
      <x:c r="O2507"/>
      <x:c r="P2507"/>
      <x:c r="Q2507"/>
      <x:c r="R2507"/>
      <x:c r="S2507"/>
      <x:c r="T2507"/>
      <x:c r="U2507"/>
      <x:c r="V2507"/>
      <x:c r="W2507"/>
    </x:row>
    <x:row r="2508">
      <x:c r="A2508"/>
      <x:c r="B2508"/>
      <x:c r="C2508"/>
      <x:c r="D2508"/>
      <x:c r="E2508"/>
      <x:c r="F2508"/>
      <x:c r="G2508"/>
      <x:c r="H2508"/>
      <x:c r="I2508"/>
      <x:c r="J2508"/>
      <x:c r="K2508"/>
      <x:c r="L2508"/>
      <x:c r="M2508"/>
      <x:c r="N2508"/>
      <x:c r="O2508"/>
      <x:c r="P2508"/>
      <x:c r="Q2508"/>
      <x:c r="R2508"/>
      <x:c r="S2508"/>
      <x:c r="T2508"/>
      <x:c r="U2508"/>
      <x:c r="V2508"/>
      <x:c r="W2508"/>
    </x:row>
    <x:row r="2509">
      <x:c r="A2509"/>
      <x:c r="B2509"/>
      <x:c r="C2509"/>
      <x:c r="D2509"/>
      <x:c r="E2509"/>
      <x:c r="F2509"/>
      <x:c r="G2509"/>
      <x:c r="H2509"/>
      <x:c r="I2509"/>
      <x:c r="J2509"/>
      <x:c r="K2509"/>
      <x:c r="L2509"/>
      <x:c r="M2509"/>
      <x:c r="N2509"/>
      <x:c r="O2509"/>
      <x:c r="P2509"/>
      <x:c r="Q2509"/>
      <x:c r="R2509"/>
      <x:c r="S2509"/>
      <x:c r="T2509"/>
      <x:c r="U2509"/>
      <x:c r="V2509"/>
      <x:c r="W2509"/>
    </x:row>
    <x:row r="2510">
      <x:c r="A2510"/>
      <x:c r="B2510"/>
      <x:c r="C2510"/>
      <x:c r="D2510"/>
      <x:c r="E2510"/>
      <x:c r="F2510"/>
      <x:c r="G2510"/>
      <x:c r="H2510"/>
      <x:c r="I2510"/>
      <x:c r="J2510"/>
      <x:c r="K2510"/>
      <x:c r="L2510"/>
      <x:c r="M2510"/>
      <x:c r="N2510"/>
      <x:c r="O2510"/>
      <x:c r="P2510"/>
      <x:c r="Q2510"/>
      <x:c r="R2510"/>
      <x:c r="S2510"/>
      <x:c r="T2510"/>
      <x:c r="U2510"/>
      <x:c r="V2510"/>
      <x:c r="W2510"/>
    </x:row>
    <x:row r="2511">
      <x:c r="A2511"/>
      <x:c r="B2511"/>
      <x:c r="C2511"/>
      <x:c r="D2511"/>
      <x:c r="E2511"/>
      <x:c r="F2511"/>
      <x:c r="G2511"/>
      <x:c r="H2511"/>
      <x:c r="I2511"/>
      <x:c r="J2511"/>
      <x:c r="K2511"/>
      <x:c r="L2511"/>
      <x:c r="M2511"/>
      <x:c r="N2511"/>
      <x:c r="O2511"/>
      <x:c r="P2511"/>
      <x:c r="Q2511"/>
      <x:c r="R2511"/>
      <x:c r="S2511"/>
      <x:c r="T2511"/>
      <x:c r="U2511"/>
      <x:c r="V2511"/>
      <x:c r="W2511"/>
    </x:row>
    <x:row r="2512">
      <x:c r="A2512"/>
      <x:c r="B2512"/>
      <x:c r="C2512"/>
      <x:c r="D2512"/>
      <x:c r="E2512"/>
      <x:c r="F2512"/>
      <x:c r="G2512"/>
      <x:c r="H2512"/>
      <x:c r="I2512"/>
      <x:c r="J2512"/>
      <x:c r="K2512"/>
      <x:c r="L2512"/>
      <x:c r="M2512"/>
      <x:c r="N2512"/>
      <x:c r="O2512"/>
      <x:c r="P2512"/>
      <x:c r="Q2512"/>
      <x:c r="R2512"/>
      <x:c r="S2512"/>
      <x:c r="T2512"/>
      <x:c r="U2512"/>
      <x:c r="V2512"/>
      <x:c r="W2512"/>
    </x:row>
    <x:row r="2513">
      <x:c r="A2513"/>
      <x:c r="B2513"/>
      <x:c r="C2513"/>
      <x:c r="D2513"/>
      <x:c r="E2513"/>
      <x:c r="F2513"/>
      <x:c r="G2513"/>
      <x:c r="H2513"/>
      <x:c r="I2513"/>
      <x:c r="J2513"/>
      <x:c r="K2513"/>
      <x:c r="L2513"/>
      <x:c r="M2513"/>
      <x:c r="N2513"/>
      <x:c r="O2513"/>
      <x:c r="P2513"/>
      <x:c r="Q2513"/>
      <x:c r="R2513"/>
      <x:c r="S2513"/>
      <x:c r="T2513"/>
      <x:c r="U2513"/>
      <x:c r="V2513"/>
      <x:c r="W2513"/>
    </x:row>
    <x:row r="2514">
      <x:c r="A2514"/>
      <x:c r="B2514"/>
      <x:c r="C2514"/>
      <x:c r="D2514"/>
      <x:c r="E2514"/>
      <x:c r="F2514"/>
      <x:c r="G2514"/>
      <x:c r="H2514"/>
      <x:c r="I2514"/>
      <x:c r="J2514"/>
      <x:c r="K2514"/>
      <x:c r="L2514"/>
      <x:c r="M2514"/>
      <x:c r="N2514"/>
      <x:c r="O2514"/>
      <x:c r="P2514"/>
      <x:c r="Q2514"/>
      <x:c r="R2514"/>
      <x:c r="S2514"/>
      <x:c r="T2514"/>
      <x:c r="U2514"/>
      <x:c r="V2514"/>
      <x:c r="W2514"/>
    </x:row>
    <x:row r="2515">
      <x:c r="A2515"/>
      <x:c r="B2515"/>
      <x:c r="C2515"/>
      <x:c r="D2515"/>
      <x:c r="E2515"/>
      <x:c r="F2515"/>
      <x:c r="G2515"/>
      <x:c r="H2515"/>
      <x:c r="I2515"/>
      <x:c r="J2515"/>
      <x:c r="K2515"/>
      <x:c r="L2515"/>
      <x:c r="M2515"/>
      <x:c r="N2515"/>
      <x:c r="O2515"/>
      <x:c r="P2515"/>
      <x:c r="Q2515"/>
      <x:c r="R2515"/>
      <x:c r="S2515"/>
      <x:c r="T2515"/>
      <x:c r="U2515"/>
      <x:c r="V2515"/>
      <x:c r="W2515"/>
    </x:row>
    <x:row r="2516">
      <x:c r="A2516"/>
      <x:c r="B2516"/>
      <x:c r="C2516"/>
      <x:c r="D2516"/>
      <x:c r="E2516"/>
      <x:c r="F2516"/>
      <x:c r="G2516"/>
      <x:c r="H2516"/>
      <x:c r="I2516"/>
      <x:c r="J2516"/>
      <x:c r="K2516"/>
      <x:c r="L2516"/>
      <x:c r="M2516"/>
      <x:c r="N2516"/>
      <x:c r="O2516"/>
      <x:c r="P2516"/>
      <x:c r="Q2516"/>
      <x:c r="R2516"/>
      <x:c r="S2516"/>
      <x:c r="T2516"/>
      <x:c r="U2516"/>
      <x:c r="V2516"/>
      <x:c r="W2516"/>
    </x:row>
    <x:row r="2517">
      <x:c r="A2517"/>
      <x:c r="B2517"/>
      <x:c r="C2517"/>
      <x:c r="D2517"/>
      <x:c r="E2517"/>
      <x:c r="F2517"/>
      <x:c r="G2517"/>
      <x:c r="H2517"/>
      <x:c r="I2517"/>
      <x:c r="J2517"/>
      <x:c r="K2517"/>
      <x:c r="L2517"/>
      <x:c r="M2517"/>
      <x:c r="N2517"/>
      <x:c r="O2517"/>
      <x:c r="P2517"/>
      <x:c r="Q2517"/>
      <x:c r="R2517"/>
      <x:c r="S2517"/>
      <x:c r="T2517"/>
      <x:c r="U2517"/>
      <x:c r="V2517"/>
      <x:c r="W2517"/>
    </x:row>
    <x:row r="2518">
      <x:c r="A2518"/>
      <x:c r="B2518"/>
      <x:c r="C2518"/>
      <x:c r="D2518"/>
      <x:c r="E2518"/>
      <x:c r="F2518"/>
      <x:c r="G2518"/>
      <x:c r="H2518"/>
      <x:c r="I2518"/>
      <x:c r="J2518"/>
      <x:c r="K2518"/>
      <x:c r="L2518"/>
      <x:c r="M2518"/>
      <x:c r="N2518"/>
      <x:c r="O2518"/>
      <x:c r="P2518"/>
      <x:c r="Q2518"/>
      <x:c r="R2518"/>
      <x:c r="S2518"/>
      <x:c r="T2518"/>
      <x:c r="U2518"/>
      <x:c r="V2518"/>
      <x:c r="W2518"/>
    </x:row>
    <x:row r="2519">
      <x:c r="A2519"/>
      <x:c r="B2519"/>
      <x:c r="C2519"/>
      <x:c r="D2519"/>
      <x:c r="E2519"/>
      <x:c r="F2519"/>
      <x:c r="G2519"/>
      <x:c r="H2519"/>
      <x:c r="I2519"/>
      <x:c r="J2519"/>
      <x:c r="K2519"/>
      <x:c r="L2519"/>
      <x:c r="M2519"/>
      <x:c r="N2519"/>
      <x:c r="O2519"/>
      <x:c r="P2519"/>
      <x:c r="Q2519"/>
      <x:c r="R2519"/>
      <x:c r="S2519"/>
      <x:c r="T2519"/>
      <x:c r="U2519"/>
      <x:c r="V2519"/>
      <x:c r="W2519"/>
    </x:row>
    <x:row r="2520">
      <x:c r="A2520"/>
      <x:c r="B2520"/>
      <x:c r="C2520"/>
      <x:c r="D2520"/>
      <x:c r="E2520"/>
      <x:c r="F2520"/>
      <x:c r="G2520"/>
      <x:c r="H2520"/>
      <x:c r="I2520"/>
      <x:c r="J2520"/>
      <x:c r="K2520"/>
      <x:c r="L2520"/>
      <x:c r="M2520"/>
      <x:c r="N2520"/>
      <x:c r="O2520"/>
      <x:c r="P2520"/>
      <x:c r="Q2520"/>
      <x:c r="R2520"/>
      <x:c r="S2520"/>
      <x:c r="T2520"/>
      <x:c r="U2520"/>
      <x:c r="V2520"/>
      <x:c r="W2520"/>
    </x:row>
    <x:row r="2521">
      <x:c r="A2521"/>
      <x:c r="B2521"/>
      <x:c r="C2521"/>
      <x:c r="D2521"/>
      <x:c r="E2521"/>
      <x:c r="F2521"/>
      <x:c r="G2521"/>
      <x:c r="H2521"/>
      <x:c r="I2521"/>
      <x:c r="J2521"/>
      <x:c r="K2521"/>
      <x:c r="L2521"/>
      <x:c r="M2521"/>
      <x:c r="N2521"/>
      <x:c r="O2521"/>
      <x:c r="P2521"/>
      <x:c r="Q2521"/>
      <x:c r="R2521"/>
      <x:c r="S2521"/>
      <x:c r="T2521"/>
      <x:c r="U2521"/>
      <x:c r="V2521"/>
      <x:c r="W2521"/>
    </x:row>
    <x:row r="2522">
      <x:c r="A2522"/>
      <x:c r="B2522"/>
      <x:c r="C2522"/>
      <x:c r="D2522"/>
      <x:c r="E2522"/>
      <x:c r="F2522"/>
      <x:c r="G2522"/>
      <x:c r="H2522"/>
      <x:c r="I2522"/>
      <x:c r="J2522"/>
      <x:c r="K2522"/>
      <x:c r="L2522"/>
      <x:c r="M2522"/>
      <x:c r="N2522"/>
      <x:c r="O2522"/>
      <x:c r="P2522"/>
      <x:c r="Q2522"/>
      <x:c r="R2522"/>
      <x:c r="S2522"/>
      <x:c r="T2522"/>
      <x:c r="U2522"/>
      <x:c r="V2522"/>
      <x:c r="W2522"/>
    </x:row>
    <x:row r="2523">
      <x:c r="A2523"/>
      <x:c r="B2523"/>
      <x:c r="C2523"/>
      <x:c r="D2523"/>
      <x:c r="E2523"/>
      <x:c r="F2523"/>
      <x:c r="G2523"/>
      <x:c r="H2523"/>
      <x:c r="I2523"/>
      <x:c r="J2523"/>
      <x:c r="K2523"/>
      <x:c r="L2523"/>
      <x:c r="M2523"/>
      <x:c r="N2523"/>
      <x:c r="O2523"/>
      <x:c r="P2523"/>
      <x:c r="Q2523"/>
      <x:c r="R2523"/>
      <x:c r="S2523"/>
      <x:c r="T2523"/>
      <x:c r="U2523"/>
      <x:c r="V2523"/>
      <x:c r="W2523"/>
    </x:row>
    <x:row r="2524">
      <x:c r="A2524"/>
      <x:c r="B2524"/>
      <x:c r="C2524"/>
      <x:c r="D2524"/>
      <x:c r="E2524"/>
      <x:c r="F2524"/>
      <x:c r="G2524"/>
      <x:c r="H2524"/>
      <x:c r="I2524"/>
      <x:c r="J2524"/>
      <x:c r="K2524"/>
      <x:c r="L2524"/>
      <x:c r="M2524"/>
      <x:c r="N2524"/>
      <x:c r="O2524"/>
      <x:c r="P2524"/>
      <x:c r="Q2524"/>
      <x:c r="R2524"/>
      <x:c r="S2524"/>
      <x:c r="T2524"/>
      <x:c r="U2524"/>
      <x:c r="V2524"/>
      <x:c r="W2524"/>
    </x:row>
    <x:row r="2525">
      <x:c r="A2525"/>
      <x:c r="B2525"/>
      <x:c r="C2525"/>
      <x:c r="D2525"/>
      <x:c r="E2525"/>
      <x:c r="F2525"/>
      <x:c r="G2525"/>
      <x:c r="H2525"/>
      <x:c r="I2525"/>
      <x:c r="J2525"/>
      <x:c r="K2525"/>
      <x:c r="L2525"/>
      <x:c r="M2525"/>
      <x:c r="N2525"/>
      <x:c r="O2525"/>
      <x:c r="P2525"/>
      <x:c r="Q2525"/>
      <x:c r="R2525"/>
      <x:c r="S2525"/>
      <x:c r="T2525"/>
      <x:c r="U2525"/>
      <x:c r="V2525"/>
      <x:c r="W2525"/>
    </x:row>
    <x:row r="2526">
      <x:c r="A2526"/>
      <x:c r="B2526"/>
      <x:c r="C2526"/>
      <x:c r="D2526"/>
      <x:c r="E2526"/>
      <x:c r="F2526"/>
      <x:c r="G2526"/>
      <x:c r="H2526"/>
      <x:c r="I2526"/>
      <x:c r="J2526"/>
      <x:c r="K2526"/>
      <x:c r="L2526"/>
      <x:c r="M2526"/>
      <x:c r="N2526"/>
      <x:c r="O2526"/>
      <x:c r="P2526"/>
      <x:c r="Q2526"/>
      <x:c r="R2526"/>
      <x:c r="S2526"/>
      <x:c r="T2526"/>
      <x:c r="U2526"/>
      <x:c r="V2526"/>
      <x:c r="W2526"/>
    </x:row>
    <x:row r="2527">
      <x:c r="A2527"/>
      <x:c r="B2527"/>
      <x:c r="C2527"/>
      <x:c r="D2527"/>
      <x:c r="E2527"/>
      <x:c r="F2527"/>
      <x:c r="G2527"/>
      <x:c r="H2527"/>
      <x:c r="I2527"/>
      <x:c r="J2527"/>
      <x:c r="K2527"/>
      <x:c r="L2527"/>
      <x:c r="M2527"/>
      <x:c r="N2527"/>
      <x:c r="O2527"/>
      <x:c r="P2527"/>
      <x:c r="Q2527"/>
      <x:c r="R2527"/>
      <x:c r="S2527"/>
      <x:c r="T2527"/>
      <x:c r="U2527"/>
      <x:c r="V2527"/>
      <x:c r="W2527"/>
    </x:row>
    <x:row r="2528">
      <x:c r="A2528"/>
      <x:c r="B2528"/>
      <x:c r="C2528"/>
      <x:c r="D2528"/>
      <x:c r="E2528"/>
      <x:c r="F2528"/>
      <x:c r="G2528"/>
      <x:c r="H2528"/>
      <x:c r="I2528"/>
      <x:c r="J2528"/>
      <x:c r="K2528"/>
      <x:c r="L2528"/>
      <x:c r="M2528"/>
      <x:c r="N2528"/>
      <x:c r="O2528"/>
      <x:c r="P2528"/>
      <x:c r="Q2528"/>
      <x:c r="R2528"/>
      <x:c r="S2528"/>
      <x:c r="T2528"/>
      <x:c r="U2528"/>
      <x:c r="V2528"/>
      <x:c r="W2528"/>
    </x:row>
    <x:row r="2529">
      <x:c r="A2529"/>
      <x:c r="B2529"/>
      <x:c r="C2529"/>
      <x:c r="D2529"/>
      <x:c r="E2529"/>
      <x:c r="F2529"/>
      <x:c r="G2529"/>
      <x:c r="H2529"/>
      <x:c r="I2529"/>
      <x:c r="J2529"/>
      <x:c r="K2529"/>
      <x:c r="L2529"/>
      <x:c r="M2529"/>
      <x:c r="N2529"/>
      <x:c r="O2529"/>
      <x:c r="P2529"/>
      <x:c r="Q2529"/>
      <x:c r="R2529"/>
      <x:c r="S2529"/>
      <x:c r="T2529"/>
      <x:c r="U2529"/>
      <x:c r="V2529"/>
      <x:c r="W2529"/>
    </x:row>
    <x:row r="2530">
      <x:c r="A2530"/>
      <x:c r="B2530"/>
      <x:c r="C2530"/>
      <x:c r="D2530"/>
      <x:c r="E2530"/>
      <x:c r="F2530"/>
      <x:c r="G2530"/>
      <x:c r="H2530"/>
      <x:c r="I2530"/>
      <x:c r="J2530"/>
      <x:c r="K2530"/>
      <x:c r="L2530"/>
      <x:c r="M2530"/>
      <x:c r="N2530"/>
      <x:c r="O2530"/>
      <x:c r="P2530"/>
      <x:c r="Q2530"/>
      <x:c r="R2530"/>
      <x:c r="S2530"/>
      <x:c r="T2530"/>
      <x:c r="U2530"/>
      <x:c r="V2530"/>
      <x:c r="W2530"/>
    </x:row>
    <x:row r="2531">
      <x:c r="A2531"/>
      <x:c r="B2531"/>
      <x:c r="C2531"/>
      <x:c r="D2531"/>
      <x:c r="E2531"/>
      <x:c r="F2531"/>
      <x:c r="G2531"/>
      <x:c r="H2531"/>
      <x:c r="I2531"/>
      <x:c r="J2531"/>
      <x:c r="K2531"/>
      <x:c r="L2531"/>
      <x:c r="M2531"/>
      <x:c r="N2531"/>
      <x:c r="O2531"/>
      <x:c r="P2531"/>
      <x:c r="Q2531"/>
      <x:c r="R2531"/>
      <x:c r="S2531"/>
      <x:c r="T2531"/>
      <x:c r="U2531"/>
      <x:c r="V2531"/>
      <x:c r="W2531"/>
    </x:row>
    <x:row r="2532">
      <x:c r="A2532"/>
      <x:c r="B2532"/>
      <x:c r="C2532"/>
      <x:c r="D2532"/>
      <x:c r="E2532"/>
      <x:c r="F2532"/>
      <x:c r="G2532"/>
      <x:c r="H2532"/>
      <x:c r="I2532"/>
      <x:c r="J2532"/>
      <x:c r="K2532"/>
      <x:c r="L2532"/>
      <x:c r="M2532"/>
      <x:c r="N2532"/>
      <x:c r="O2532"/>
      <x:c r="P2532"/>
      <x:c r="Q2532"/>
      <x:c r="R2532"/>
      <x:c r="S2532"/>
      <x:c r="T2532"/>
      <x:c r="U2532"/>
      <x:c r="V2532"/>
      <x:c r="W2532"/>
    </x:row>
    <x:row r="2533">
      <x:c r="A2533"/>
      <x:c r="B2533"/>
      <x:c r="C2533"/>
      <x:c r="D2533"/>
      <x:c r="E2533"/>
      <x:c r="F2533"/>
      <x:c r="G2533"/>
      <x:c r="H2533"/>
      <x:c r="I2533"/>
      <x:c r="J2533"/>
      <x:c r="K2533"/>
      <x:c r="L2533"/>
      <x:c r="M2533"/>
      <x:c r="N2533"/>
      <x:c r="O2533"/>
      <x:c r="P2533"/>
      <x:c r="Q2533"/>
      <x:c r="R2533"/>
      <x:c r="S2533"/>
      <x:c r="T2533"/>
      <x:c r="U2533"/>
      <x:c r="V2533"/>
      <x:c r="W2533"/>
    </x:row>
    <x:row r="2534">
      <x:c r="A2534"/>
      <x:c r="B2534"/>
      <x:c r="C2534"/>
      <x:c r="D2534"/>
      <x:c r="E2534"/>
      <x:c r="F2534"/>
      <x:c r="G2534"/>
      <x:c r="H2534"/>
      <x:c r="I2534"/>
      <x:c r="J2534"/>
      <x:c r="K2534"/>
      <x:c r="L2534"/>
      <x:c r="M2534"/>
      <x:c r="N2534"/>
      <x:c r="O2534"/>
      <x:c r="P2534"/>
      <x:c r="Q2534"/>
      <x:c r="R2534"/>
      <x:c r="S2534"/>
      <x:c r="T2534"/>
      <x:c r="U2534"/>
      <x:c r="V2534"/>
      <x:c r="W2534"/>
    </x:row>
    <x:row r="2535">
      <x:c r="A2535"/>
      <x:c r="B2535"/>
      <x:c r="C2535"/>
      <x:c r="D2535"/>
      <x:c r="E2535"/>
      <x:c r="F2535"/>
      <x:c r="G2535"/>
      <x:c r="H2535"/>
      <x:c r="I2535"/>
      <x:c r="J2535"/>
      <x:c r="K2535"/>
      <x:c r="L2535"/>
      <x:c r="M2535"/>
      <x:c r="N2535"/>
      <x:c r="O2535"/>
      <x:c r="P2535"/>
      <x:c r="Q2535"/>
      <x:c r="R2535"/>
      <x:c r="S2535"/>
      <x:c r="T2535"/>
      <x:c r="U2535"/>
      <x:c r="V2535"/>
      <x:c r="W2535"/>
    </x:row>
    <x:row r="2536">
      <x:c r="A2536"/>
      <x:c r="B2536"/>
      <x:c r="C2536"/>
      <x:c r="D2536"/>
      <x:c r="E2536"/>
      <x:c r="F2536"/>
      <x:c r="G2536"/>
      <x:c r="H2536"/>
      <x:c r="I2536"/>
      <x:c r="J2536"/>
      <x:c r="K2536"/>
      <x:c r="L2536"/>
      <x:c r="M2536"/>
      <x:c r="N2536"/>
      <x:c r="O2536"/>
      <x:c r="P2536"/>
      <x:c r="Q2536"/>
      <x:c r="R2536"/>
      <x:c r="S2536"/>
      <x:c r="T2536"/>
      <x:c r="U2536"/>
      <x:c r="V2536"/>
      <x:c r="W2536"/>
    </x:row>
    <x:row r="2537">
      <x:c r="A2537"/>
      <x:c r="B2537"/>
      <x:c r="C2537"/>
      <x:c r="D2537"/>
      <x:c r="E2537"/>
      <x:c r="F2537"/>
      <x:c r="G2537"/>
      <x:c r="H2537"/>
      <x:c r="I2537"/>
      <x:c r="J2537"/>
      <x:c r="K2537"/>
      <x:c r="L2537"/>
      <x:c r="M2537"/>
      <x:c r="N2537"/>
      <x:c r="O2537"/>
      <x:c r="P2537"/>
      <x:c r="Q2537"/>
      <x:c r="R2537"/>
      <x:c r="S2537"/>
      <x:c r="T2537"/>
      <x:c r="U2537"/>
      <x:c r="V2537"/>
      <x:c r="W2537"/>
    </x:row>
    <x:row r="2538">
      <x:c r="A2538"/>
      <x:c r="B2538"/>
      <x:c r="C2538"/>
      <x:c r="D2538"/>
      <x:c r="E2538"/>
      <x:c r="F2538"/>
      <x:c r="G2538"/>
      <x:c r="H2538"/>
      <x:c r="I2538"/>
      <x:c r="J2538"/>
      <x:c r="K2538"/>
      <x:c r="L2538"/>
      <x:c r="M2538"/>
      <x:c r="N2538"/>
      <x:c r="O2538"/>
      <x:c r="P2538"/>
      <x:c r="Q2538"/>
      <x:c r="R2538"/>
      <x:c r="S2538"/>
      <x:c r="T2538"/>
      <x:c r="U2538"/>
      <x:c r="V2538"/>
      <x:c r="W2538"/>
    </x:row>
    <x:row r="2539">
      <x:c r="A2539"/>
      <x:c r="B2539"/>
      <x:c r="C2539"/>
      <x:c r="D2539"/>
      <x:c r="E2539"/>
      <x:c r="F2539"/>
      <x:c r="G2539"/>
      <x:c r="H2539"/>
      <x:c r="I2539"/>
      <x:c r="J2539"/>
      <x:c r="K2539"/>
      <x:c r="L2539"/>
      <x:c r="M2539"/>
      <x:c r="N2539"/>
      <x:c r="O2539"/>
      <x:c r="P2539"/>
      <x:c r="Q2539"/>
      <x:c r="R2539"/>
      <x:c r="S2539"/>
      <x:c r="T2539"/>
      <x:c r="U2539"/>
      <x:c r="V2539"/>
      <x:c r="W2539"/>
    </x:row>
    <x:row r="2540">
      <x:c r="A2540"/>
      <x:c r="B2540"/>
      <x:c r="C2540"/>
      <x:c r="D2540"/>
      <x:c r="E2540"/>
      <x:c r="F2540"/>
      <x:c r="G2540"/>
      <x:c r="H2540"/>
      <x:c r="I2540"/>
      <x:c r="J2540"/>
      <x:c r="K2540"/>
      <x:c r="L2540"/>
      <x:c r="M2540"/>
      <x:c r="N2540"/>
      <x:c r="O2540"/>
      <x:c r="P2540"/>
      <x:c r="Q2540"/>
      <x:c r="R2540"/>
      <x:c r="S2540"/>
      <x:c r="T2540"/>
      <x:c r="U2540"/>
      <x:c r="V2540"/>
      <x:c r="W2540"/>
    </x:row>
    <x:row r="2541">
      <x:c r="A2541"/>
      <x:c r="B2541"/>
      <x:c r="C2541"/>
      <x:c r="D2541"/>
      <x:c r="E2541"/>
      <x:c r="F2541"/>
      <x:c r="G2541"/>
      <x:c r="H2541"/>
      <x:c r="I2541"/>
      <x:c r="J2541"/>
      <x:c r="K2541"/>
      <x:c r="L2541"/>
      <x:c r="M2541"/>
      <x:c r="N2541"/>
      <x:c r="O2541"/>
      <x:c r="P2541"/>
      <x:c r="Q2541"/>
      <x:c r="R2541"/>
      <x:c r="S2541"/>
      <x:c r="T2541"/>
      <x:c r="U2541"/>
      <x:c r="V2541"/>
      <x:c r="W2541"/>
    </x:row>
    <x:row r="2542">
      <x:c r="A2542"/>
      <x:c r="B2542"/>
      <x:c r="C2542"/>
      <x:c r="D2542"/>
      <x:c r="E2542"/>
      <x:c r="F2542"/>
      <x:c r="G2542"/>
      <x:c r="H2542"/>
      <x:c r="I2542"/>
      <x:c r="J2542"/>
      <x:c r="K2542"/>
      <x:c r="L2542"/>
      <x:c r="M2542"/>
      <x:c r="N2542"/>
      <x:c r="O2542"/>
      <x:c r="P2542"/>
      <x:c r="Q2542"/>
      <x:c r="R2542"/>
      <x:c r="S2542"/>
      <x:c r="T2542"/>
      <x:c r="U2542"/>
      <x:c r="V2542"/>
      <x:c r="W2542"/>
    </x:row>
    <x:row r="2543">
      <x:c r="A2543"/>
      <x:c r="B2543"/>
      <x:c r="C2543"/>
      <x:c r="D2543"/>
      <x:c r="E2543"/>
      <x:c r="F2543"/>
      <x:c r="G2543"/>
      <x:c r="H2543"/>
      <x:c r="I2543"/>
      <x:c r="J2543"/>
      <x:c r="K2543"/>
      <x:c r="L2543"/>
      <x:c r="M2543"/>
      <x:c r="N2543"/>
      <x:c r="O2543"/>
      <x:c r="P2543"/>
      <x:c r="Q2543"/>
      <x:c r="R2543"/>
      <x:c r="S2543"/>
      <x:c r="T2543"/>
      <x:c r="U2543"/>
      <x:c r="V2543"/>
      <x:c r="W2543"/>
    </x:row>
    <x:row r="2544">
      <x:c r="A2544"/>
      <x:c r="B2544"/>
      <x:c r="C2544"/>
      <x:c r="D2544"/>
      <x:c r="E2544"/>
      <x:c r="F2544"/>
      <x:c r="G2544"/>
      <x:c r="H2544"/>
      <x:c r="I2544"/>
      <x:c r="J2544"/>
      <x:c r="K2544"/>
      <x:c r="L2544"/>
      <x:c r="M2544"/>
      <x:c r="N2544"/>
      <x:c r="O2544"/>
      <x:c r="P2544"/>
      <x:c r="Q2544"/>
      <x:c r="R2544"/>
      <x:c r="S2544"/>
      <x:c r="T2544"/>
      <x:c r="U2544"/>
      <x:c r="V2544"/>
      <x:c r="W2544"/>
    </x:row>
    <x:row r="2545">
      <x:c r="A2545"/>
      <x:c r="B2545"/>
      <x:c r="C2545"/>
      <x:c r="D2545"/>
      <x:c r="E2545"/>
      <x:c r="F2545"/>
      <x:c r="G2545"/>
      <x:c r="H2545"/>
      <x:c r="I2545"/>
      <x:c r="J2545"/>
      <x:c r="K2545"/>
      <x:c r="L2545"/>
      <x:c r="M2545"/>
      <x:c r="N2545"/>
      <x:c r="O2545"/>
      <x:c r="P2545"/>
      <x:c r="Q2545"/>
      <x:c r="R2545"/>
      <x:c r="S2545"/>
      <x:c r="T2545"/>
      <x:c r="U2545"/>
      <x:c r="V2545"/>
      <x:c r="W2545"/>
    </x:row>
    <x:row r="2546">
      <x:c r="A2546"/>
      <x:c r="B2546"/>
      <x:c r="C2546"/>
      <x:c r="D2546"/>
      <x:c r="E2546"/>
      <x:c r="F2546"/>
      <x:c r="G2546"/>
      <x:c r="H2546"/>
      <x:c r="I2546"/>
      <x:c r="J2546"/>
      <x:c r="K2546"/>
      <x:c r="L2546"/>
      <x:c r="M2546"/>
      <x:c r="N2546"/>
      <x:c r="O2546"/>
      <x:c r="P2546"/>
      <x:c r="Q2546"/>
      <x:c r="R2546"/>
      <x:c r="S2546"/>
      <x:c r="T2546"/>
      <x:c r="U2546"/>
      <x:c r="V2546"/>
      <x:c r="W2546"/>
    </x:row>
    <x:row r="2547">
      <x:c r="A2547"/>
      <x:c r="B2547"/>
      <x:c r="C2547"/>
      <x:c r="D2547"/>
      <x:c r="E2547"/>
      <x:c r="F2547"/>
      <x:c r="G2547"/>
      <x:c r="H2547"/>
      <x:c r="I2547"/>
      <x:c r="J2547"/>
      <x:c r="K2547"/>
      <x:c r="L2547"/>
      <x:c r="M2547"/>
      <x:c r="N2547"/>
      <x:c r="O2547"/>
      <x:c r="P2547"/>
      <x:c r="Q2547"/>
      <x:c r="R2547"/>
      <x:c r="S2547"/>
      <x:c r="T2547"/>
      <x:c r="U2547"/>
      <x:c r="V2547"/>
      <x:c r="W2547"/>
    </x:row>
    <x:row r="2548">
      <x:c r="A2548"/>
      <x:c r="B2548"/>
      <x:c r="C2548"/>
      <x:c r="D2548"/>
      <x:c r="E2548"/>
      <x:c r="F2548"/>
      <x:c r="G2548"/>
      <x:c r="H2548"/>
      <x:c r="I2548"/>
      <x:c r="J2548"/>
      <x:c r="K2548"/>
      <x:c r="L2548"/>
      <x:c r="M2548"/>
      <x:c r="N2548"/>
      <x:c r="O2548"/>
      <x:c r="P2548"/>
      <x:c r="Q2548"/>
      <x:c r="R2548"/>
      <x:c r="S2548"/>
      <x:c r="T2548"/>
      <x:c r="U2548"/>
      <x:c r="V2548"/>
      <x:c r="W2548"/>
    </x:row>
    <x:row r="2549">
      <x:c r="A2549"/>
      <x:c r="B2549"/>
      <x:c r="C2549"/>
      <x:c r="D2549"/>
      <x:c r="E2549"/>
      <x:c r="F2549"/>
      <x:c r="G2549"/>
      <x:c r="H2549"/>
      <x:c r="I2549"/>
      <x:c r="J2549"/>
      <x:c r="K2549"/>
      <x:c r="L2549"/>
      <x:c r="M2549"/>
      <x:c r="N2549"/>
      <x:c r="O2549"/>
      <x:c r="P2549"/>
      <x:c r="Q2549"/>
      <x:c r="R2549"/>
      <x:c r="S2549"/>
      <x:c r="T2549"/>
      <x:c r="U2549"/>
      <x:c r="V2549"/>
      <x:c r="W2549"/>
    </x:row>
    <x:row r="2550">
      <x:c r="A2550"/>
      <x:c r="B2550"/>
      <x:c r="C2550"/>
      <x:c r="D2550"/>
      <x:c r="E2550"/>
      <x:c r="F2550"/>
      <x:c r="G2550"/>
      <x:c r="H2550"/>
      <x:c r="I2550"/>
      <x:c r="J2550"/>
      <x:c r="K2550"/>
      <x:c r="L2550"/>
      <x:c r="M2550"/>
      <x:c r="N2550"/>
      <x:c r="O2550"/>
      <x:c r="P2550"/>
      <x:c r="Q2550"/>
      <x:c r="R2550"/>
      <x:c r="S2550"/>
      <x:c r="T2550"/>
      <x:c r="U2550"/>
      <x:c r="V2550"/>
      <x:c r="W2550"/>
    </x:row>
    <x:row r="2551">
      <x:c r="A2551"/>
      <x:c r="B2551"/>
      <x:c r="C2551"/>
      <x:c r="D2551"/>
      <x:c r="E2551"/>
      <x:c r="F2551"/>
      <x:c r="G2551"/>
      <x:c r="H2551"/>
      <x:c r="I2551"/>
      <x:c r="J2551"/>
      <x:c r="K2551"/>
      <x:c r="L2551"/>
      <x:c r="M2551"/>
      <x:c r="N2551"/>
      <x:c r="O2551"/>
      <x:c r="P2551"/>
      <x:c r="Q2551"/>
      <x:c r="R2551"/>
      <x:c r="S2551"/>
      <x:c r="T2551"/>
      <x:c r="U2551"/>
      <x:c r="V2551"/>
      <x:c r="W2551"/>
    </x:row>
    <x:row r="2552">
      <x:c r="A2552"/>
      <x:c r="B2552"/>
      <x:c r="C2552"/>
      <x:c r="D2552"/>
      <x:c r="E2552"/>
      <x:c r="F2552"/>
      <x:c r="G2552"/>
      <x:c r="H2552"/>
      <x:c r="I2552"/>
      <x:c r="J2552"/>
      <x:c r="K2552"/>
      <x:c r="L2552"/>
      <x:c r="M2552"/>
      <x:c r="N2552"/>
      <x:c r="O2552"/>
      <x:c r="P2552"/>
      <x:c r="Q2552"/>
      <x:c r="R2552"/>
      <x:c r="S2552"/>
      <x:c r="T2552"/>
      <x:c r="U2552"/>
      <x:c r="V2552"/>
      <x:c r="W2552"/>
    </x:row>
    <x:row r="2553">
      <x:c r="A2553"/>
      <x:c r="B2553"/>
      <x:c r="C2553"/>
      <x:c r="D2553"/>
      <x:c r="E2553"/>
      <x:c r="F2553"/>
      <x:c r="G2553"/>
      <x:c r="H2553"/>
      <x:c r="I2553"/>
      <x:c r="J2553"/>
      <x:c r="K2553"/>
      <x:c r="L2553"/>
      <x:c r="M2553"/>
      <x:c r="N2553"/>
      <x:c r="O2553"/>
      <x:c r="P2553"/>
      <x:c r="Q2553"/>
      <x:c r="R2553"/>
      <x:c r="S2553"/>
      <x:c r="T2553"/>
      <x:c r="U2553"/>
      <x:c r="V2553"/>
      <x:c r="W2553"/>
    </x:row>
    <x:row r="2554">
      <x:c r="A2554"/>
      <x:c r="B2554"/>
      <x:c r="C2554"/>
      <x:c r="D2554"/>
      <x:c r="E2554"/>
      <x:c r="F2554"/>
      <x:c r="G2554"/>
      <x:c r="H2554"/>
      <x:c r="I2554"/>
      <x:c r="J2554"/>
      <x:c r="K2554"/>
      <x:c r="L2554"/>
      <x:c r="M2554"/>
      <x:c r="N2554"/>
      <x:c r="O2554"/>
      <x:c r="P2554"/>
      <x:c r="Q2554"/>
      <x:c r="R2554"/>
      <x:c r="S2554"/>
      <x:c r="T2554"/>
      <x:c r="U2554"/>
      <x:c r="V2554"/>
      <x:c r="W2554"/>
    </x:row>
    <x:row r="2555">
      <x:c r="A2555"/>
      <x:c r="B2555"/>
      <x:c r="C2555"/>
      <x:c r="D2555"/>
      <x:c r="E2555"/>
      <x:c r="F2555"/>
      <x:c r="G2555"/>
      <x:c r="H2555"/>
      <x:c r="I2555"/>
      <x:c r="J2555"/>
      <x:c r="K2555"/>
      <x:c r="L2555"/>
      <x:c r="M2555"/>
      <x:c r="N2555"/>
      <x:c r="O2555"/>
      <x:c r="P2555"/>
      <x:c r="Q2555"/>
      <x:c r="R2555"/>
      <x:c r="S2555"/>
      <x:c r="T2555"/>
      <x:c r="U2555"/>
      <x:c r="V2555"/>
      <x:c r="W2555"/>
    </x:row>
    <x:row r="2556">
      <x:c r="A2556"/>
      <x:c r="B2556"/>
      <x:c r="C2556"/>
      <x:c r="D2556"/>
      <x:c r="E2556"/>
      <x:c r="F2556"/>
      <x:c r="G2556"/>
      <x:c r="H2556"/>
      <x:c r="I2556"/>
      <x:c r="J2556"/>
      <x:c r="K2556"/>
      <x:c r="L2556"/>
      <x:c r="M2556"/>
      <x:c r="N2556"/>
      <x:c r="O2556"/>
      <x:c r="P2556"/>
      <x:c r="Q2556"/>
      <x:c r="R2556"/>
      <x:c r="S2556"/>
      <x:c r="T2556"/>
      <x:c r="U2556"/>
      <x:c r="V2556"/>
      <x:c r="W2556"/>
    </x:row>
    <x:row r="2557">
      <x:c r="A2557"/>
      <x:c r="B2557"/>
      <x:c r="C2557"/>
      <x:c r="D2557"/>
      <x:c r="E2557"/>
      <x:c r="F2557"/>
      <x:c r="G2557"/>
      <x:c r="H2557"/>
      <x:c r="I2557"/>
      <x:c r="J2557"/>
      <x:c r="K2557"/>
      <x:c r="L2557"/>
      <x:c r="M2557"/>
      <x:c r="N2557"/>
      <x:c r="O2557"/>
      <x:c r="P2557"/>
      <x:c r="Q2557"/>
      <x:c r="R2557"/>
      <x:c r="S2557"/>
      <x:c r="T2557"/>
      <x:c r="U2557"/>
      <x:c r="V2557"/>
      <x:c r="W2557"/>
    </x:row>
    <x:row r="2558">
      <x:c r="A2558"/>
      <x:c r="B2558"/>
      <x:c r="C2558"/>
      <x:c r="D2558"/>
      <x:c r="E2558"/>
      <x:c r="F2558"/>
      <x:c r="G2558"/>
      <x:c r="H2558"/>
      <x:c r="I2558"/>
      <x:c r="J2558"/>
      <x:c r="K2558"/>
      <x:c r="L2558"/>
      <x:c r="M2558"/>
      <x:c r="N2558"/>
      <x:c r="O2558"/>
      <x:c r="P2558"/>
      <x:c r="Q2558"/>
      <x:c r="R2558"/>
      <x:c r="S2558"/>
      <x:c r="T2558"/>
      <x:c r="U2558"/>
      <x:c r="V2558"/>
      <x:c r="W2558"/>
    </x:row>
    <x:row r="2559">
      <x:c r="A2559"/>
      <x:c r="B2559"/>
      <x:c r="C2559"/>
      <x:c r="D2559"/>
      <x:c r="E2559"/>
      <x:c r="F2559"/>
      <x:c r="G2559"/>
      <x:c r="H2559"/>
      <x:c r="I2559"/>
      <x:c r="J2559"/>
      <x:c r="K2559"/>
      <x:c r="L2559"/>
      <x:c r="M2559"/>
      <x:c r="N2559"/>
      <x:c r="O2559"/>
      <x:c r="P2559"/>
      <x:c r="Q2559"/>
      <x:c r="R2559"/>
      <x:c r="S2559"/>
      <x:c r="T2559"/>
      <x:c r="U2559"/>
      <x:c r="V2559"/>
      <x:c r="W2559"/>
    </x:row>
    <x:row r="2560">
      <x:c r="A2560"/>
      <x:c r="B2560"/>
      <x:c r="C2560"/>
      <x:c r="D2560"/>
      <x:c r="E2560"/>
      <x:c r="F2560"/>
      <x:c r="G2560"/>
      <x:c r="H2560"/>
      <x:c r="I2560"/>
      <x:c r="J2560"/>
      <x:c r="K2560"/>
      <x:c r="L2560"/>
      <x:c r="M2560"/>
      <x:c r="N2560"/>
      <x:c r="O2560"/>
      <x:c r="P2560"/>
      <x:c r="Q2560"/>
      <x:c r="R2560"/>
      <x:c r="S2560"/>
      <x:c r="T2560"/>
      <x:c r="U2560"/>
      <x:c r="V2560"/>
      <x:c r="W2560"/>
    </x:row>
    <x:row r="2561">
      <x:c r="A2561"/>
      <x:c r="B2561"/>
      <x:c r="C2561"/>
      <x:c r="D2561"/>
      <x:c r="E2561"/>
      <x:c r="F2561"/>
      <x:c r="G2561"/>
      <x:c r="H2561"/>
      <x:c r="I2561"/>
      <x:c r="J2561"/>
      <x:c r="K2561"/>
      <x:c r="L2561"/>
      <x:c r="M2561"/>
      <x:c r="N2561"/>
      <x:c r="O2561"/>
      <x:c r="P2561"/>
      <x:c r="Q2561"/>
      <x:c r="R2561"/>
      <x:c r="S2561"/>
      <x:c r="T2561"/>
      <x:c r="U2561"/>
      <x:c r="V2561"/>
      <x:c r="W2561"/>
    </x:row>
    <x:row r="2562">
      <x:c r="A2562"/>
      <x:c r="B2562"/>
      <x:c r="C2562"/>
      <x:c r="D2562"/>
      <x:c r="E2562"/>
      <x:c r="F2562"/>
      <x:c r="G2562"/>
      <x:c r="H2562"/>
      <x:c r="I2562"/>
      <x:c r="J2562"/>
      <x:c r="K2562"/>
      <x:c r="L2562"/>
      <x:c r="M2562"/>
      <x:c r="N2562"/>
      <x:c r="O2562"/>
      <x:c r="P2562"/>
      <x:c r="Q2562"/>
      <x:c r="R2562"/>
      <x:c r="S2562"/>
      <x:c r="T2562"/>
      <x:c r="U2562"/>
      <x:c r="V2562"/>
      <x:c r="W2562"/>
    </x:row>
    <x:row r="2563">
      <x:c r="A2563"/>
      <x:c r="B2563"/>
      <x:c r="C2563"/>
      <x:c r="D2563"/>
      <x:c r="E2563"/>
      <x:c r="F2563"/>
      <x:c r="G2563"/>
      <x:c r="H2563"/>
      <x:c r="I2563"/>
      <x:c r="J2563"/>
      <x:c r="K2563"/>
      <x:c r="L2563"/>
      <x:c r="M2563"/>
      <x:c r="N2563"/>
      <x:c r="O2563"/>
      <x:c r="P2563"/>
      <x:c r="Q2563"/>
      <x:c r="R2563"/>
      <x:c r="S2563"/>
      <x:c r="T2563"/>
      <x:c r="U2563"/>
      <x:c r="V2563"/>
      <x:c r="W2563"/>
    </x:row>
    <x:row r="2564">
      <x:c r="A2564"/>
      <x:c r="B2564"/>
      <x:c r="C2564"/>
      <x:c r="D2564"/>
      <x:c r="E2564"/>
      <x:c r="F2564"/>
      <x:c r="G2564"/>
      <x:c r="H2564"/>
      <x:c r="I2564"/>
      <x:c r="J2564"/>
      <x:c r="K2564"/>
      <x:c r="L2564"/>
      <x:c r="M2564"/>
      <x:c r="N2564"/>
      <x:c r="O2564"/>
      <x:c r="P2564"/>
      <x:c r="Q2564"/>
      <x:c r="R2564"/>
      <x:c r="S2564"/>
      <x:c r="T2564"/>
      <x:c r="U2564"/>
      <x:c r="V2564"/>
      <x:c r="W2564"/>
    </x:row>
    <x:row r="2565">
      <x:c r="A2565"/>
      <x:c r="B2565"/>
      <x:c r="C2565"/>
      <x:c r="D2565"/>
      <x:c r="E2565"/>
      <x:c r="F2565"/>
      <x:c r="G2565"/>
      <x:c r="H2565"/>
      <x:c r="I2565"/>
      <x:c r="J2565"/>
      <x:c r="K2565"/>
      <x:c r="L2565"/>
      <x:c r="M2565"/>
      <x:c r="N2565"/>
      <x:c r="O2565"/>
      <x:c r="P2565"/>
      <x:c r="Q2565"/>
      <x:c r="R2565"/>
      <x:c r="S2565"/>
      <x:c r="T2565"/>
      <x:c r="U2565"/>
      <x:c r="V2565"/>
      <x:c r="W2565"/>
    </x:row>
    <x:row r="2566">
      <x:c r="A2566"/>
      <x:c r="B2566"/>
      <x:c r="C2566"/>
      <x:c r="D2566"/>
      <x:c r="E2566"/>
      <x:c r="F2566"/>
      <x:c r="G2566"/>
      <x:c r="H2566"/>
      <x:c r="I2566"/>
      <x:c r="J2566"/>
      <x:c r="K2566"/>
      <x:c r="L2566"/>
      <x:c r="M2566"/>
      <x:c r="N2566"/>
      <x:c r="O2566"/>
      <x:c r="P2566"/>
      <x:c r="Q2566"/>
      <x:c r="R2566"/>
      <x:c r="S2566"/>
      <x:c r="T2566"/>
      <x:c r="U2566"/>
      <x:c r="V2566"/>
      <x:c r="W2566"/>
    </x:row>
    <x:row r="2567">
      <x:c r="A2567"/>
      <x:c r="B2567"/>
      <x:c r="C2567"/>
      <x:c r="D2567"/>
      <x:c r="E2567"/>
      <x:c r="F2567"/>
      <x:c r="G2567"/>
      <x:c r="H2567"/>
      <x:c r="I2567"/>
      <x:c r="J2567"/>
      <x:c r="K2567"/>
      <x:c r="L2567"/>
      <x:c r="M2567"/>
      <x:c r="N2567"/>
      <x:c r="O2567"/>
      <x:c r="P2567"/>
      <x:c r="Q2567"/>
      <x:c r="R2567"/>
      <x:c r="S2567"/>
      <x:c r="T2567"/>
      <x:c r="U2567"/>
      <x:c r="V2567"/>
      <x:c r="W2567"/>
    </x:row>
    <x:row r="2568">
      <x:c r="A2568"/>
      <x:c r="B2568"/>
      <x:c r="C2568"/>
      <x:c r="D2568"/>
      <x:c r="E2568"/>
      <x:c r="F2568"/>
      <x:c r="G2568"/>
      <x:c r="H2568"/>
      <x:c r="I2568"/>
      <x:c r="J2568"/>
      <x:c r="K2568"/>
      <x:c r="L2568"/>
      <x:c r="M2568"/>
      <x:c r="N2568"/>
      <x:c r="O2568"/>
      <x:c r="P2568"/>
      <x:c r="Q2568"/>
      <x:c r="R2568"/>
      <x:c r="S2568"/>
      <x:c r="T2568"/>
      <x:c r="U2568"/>
      <x:c r="V2568"/>
      <x:c r="W2568"/>
    </x:row>
    <x:row r="2569">
      <x:c r="A2569"/>
      <x:c r="B2569"/>
      <x:c r="C2569"/>
      <x:c r="D2569"/>
      <x:c r="E2569"/>
      <x:c r="F2569"/>
      <x:c r="G2569"/>
      <x:c r="H2569"/>
      <x:c r="I2569"/>
      <x:c r="J2569"/>
      <x:c r="K2569"/>
      <x:c r="L2569"/>
      <x:c r="M2569"/>
      <x:c r="N2569"/>
      <x:c r="O2569"/>
      <x:c r="P2569"/>
      <x:c r="Q2569"/>
      <x:c r="R2569"/>
      <x:c r="S2569"/>
      <x:c r="T2569"/>
      <x:c r="U2569"/>
      <x:c r="V2569"/>
      <x:c r="W2569"/>
    </x:row>
    <x:row r="2570">
      <x:c r="A2570"/>
      <x:c r="B2570"/>
      <x:c r="C2570"/>
      <x:c r="D2570"/>
      <x:c r="E2570"/>
      <x:c r="F2570"/>
      <x:c r="G2570"/>
      <x:c r="H2570"/>
      <x:c r="I2570"/>
      <x:c r="J2570"/>
      <x:c r="K2570"/>
      <x:c r="L2570"/>
      <x:c r="M2570"/>
      <x:c r="N2570"/>
      <x:c r="O2570"/>
      <x:c r="P2570"/>
      <x:c r="Q2570"/>
      <x:c r="R2570"/>
      <x:c r="S2570"/>
      <x:c r="T2570"/>
      <x:c r="U2570"/>
      <x:c r="V2570"/>
      <x:c r="W2570"/>
    </x:row>
    <x:row r="2571">
      <x:c r="A2571"/>
      <x:c r="B2571"/>
      <x:c r="C2571"/>
      <x:c r="D2571"/>
      <x:c r="E2571"/>
      <x:c r="F2571"/>
      <x:c r="G2571"/>
      <x:c r="H2571"/>
      <x:c r="I2571"/>
      <x:c r="J2571"/>
      <x:c r="K2571"/>
      <x:c r="L2571"/>
      <x:c r="M2571"/>
      <x:c r="N2571"/>
      <x:c r="O2571"/>
      <x:c r="P2571"/>
      <x:c r="Q2571"/>
      <x:c r="R2571"/>
      <x:c r="S2571"/>
      <x:c r="T2571"/>
      <x:c r="U2571"/>
      <x:c r="V2571"/>
      <x:c r="W2571"/>
    </x:row>
    <x:row r="2572">
      <x:c r="A2572"/>
      <x:c r="B2572"/>
      <x:c r="C2572"/>
      <x:c r="D2572"/>
      <x:c r="E2572"/>
      <x:c r="F2572"/>
      <x:c r="G2572"/>
      <x:c r="H2572"/>
      <x:c r="I2572"/>
      <x:c r="J2572"/>
      <x:c r="K2572"/>
      <x:c r="L2572"/>
      <x:c r="M2572"/>
      <x:c r="N2572"/>
      <x:c r="O2572"/>
      <x:c r="P2572"/>
      <x:c r="Q2572"/>
      <x:c r="R2572"/>
      <x:c r="S2572"/>
      <x:c r="T2572"/>
      <x:c r="U2572"/>
      <x:c r="V2572"/>
      <x:c r="W2572"/>
    </x:row>
    <x:row r="2573">
      <x:c r="A2573"/>
      <x:c r="B2573"/>
      <x:c r="C2573"/>
      <x:c r="D2573"/>
      <x:c r="E2573"/>
      <x:c r="F2573"/>
      <x:c r="G2573"/>
      <x:c r="H2573"/>
      <x:c r="I2573"/>
      <x:c r="J2573"/>
      <x:c r="K2573"/>
      <x:c r="L2573"/>
      <x:c r="M2573"/>
      <x:c r="N2573"/>
      <x:c r="O2573"/>
      <x:c r="P2573"/>
      <x:c r="Q2573"/>
      <x:c r="R2573"/>
      <x:c r="S2573"/>
      <x:c r="T2573"/>
      <x:c r="U2573"/>
      <x:c r="V2573"/>
      <x:c r="W2573"/>
    </x:row>
    <x:row r="2574">
      <x:c r="A2574"/>
      <x:c r="B2574"/>
      <x:c r="C2574"/>
      <x:c r="D2574"/>
      <x:c r="E2574"/>
      <x:c r="F2574"/>
      <x:c r="G2574"/>
      <x:c r="H2574"/>
      <x:c r="I2574"/>
      <x:c r="J2574"/>
      <x:c r="K2574"/>
      <x:c r="L2574"/>
      <x:c r="M2574"/>
      <x:c r="N2574"/>
      <x:c r="O2574"/>
      <x:c r="P2574"/>
      <x:c r="Q2574"/>
      <x:c r="R2574"/>
      <x:c r="S2574"/>
      <x:c r="T2574"/>
      <x:c r="U2574"/>
      <x:c r="V2574"/>
      <x:c r="W2574"/>
    </x:row>
    <x:row r="2575">
      <x:c r="A2575"/>
      <x:c r="B2575"/>
      <x:c r="C2575"/>
      <x:c r="D2575"/>
      <x:c r="E2575"/>
      <x:c r="F2575"/>
      <x:c r="G2575"/>
      <x:c r="H2575"/>
      <x:c r="I2575"/>
      <x:c r="J2575"/>
      <x:c r="K2575"/>
      <x:c r="L2575"/>
      <x:c r="M2575"/>
      <x:c r="N2575"/>
      <x:c r="O2575"/>
      <x:c r="P2575"/>
      <x:c r="Q2575"/>
      <x:c r="R2575"/>
      <x:c r="S2575"/>
      <x:c r="T2575"/>
      <x:c r="U2575"/>
      <x:c r="V2575"/>
      <x:c r="W2575"/>
    </x:row>
    <x:row r="2576">
      <x:c r="A2576"/>
      <x:c r="B2576"/>
      <x:c r="C2576"/>
      <x:c r="D2576"/>
      <x:c r="E2576"/>
      <x:c r="F2576"/>
      <x:c r="G2576"/>
      <x:c r="H2576"/>
      <x:c r="I2576"/>
      <x:c r="J2576"/>
      <x:c r="K2576"/>
      <x:c r="L2576"/>
      <x:c r="M2576"/>
      <x:c r="N2576"/>
      <x:c r="O2576"/>
      <x:c r="P2576"/>
      <x:c r="Q2576"/>
      <x:c r="R2576"/>
      <x:c r="S2576"/>
      <x:c r="T2576"/>
      <x:c r="U2576"/>
      <x:c r="V2576"/>
      <x:c r="W2576"/>
    </x:row>
    <x:row r="2577">
      <x:c r="A2577"/>
      <x:c r="B2577"/>
      <x:c r="C2577"/>
      <x:c r="D2577"/>
      <x:c r="E2577"/>
      <x:c r="F2577"/>
      <x:c r="G2577"/>
      <x:c r="H2577"/>
      <x:c r="I2577"/>
      <x:c r="J2577"/>
      <x:c r="K2577"/>
      <x:c r="L2577"/>
      <x:c r="M2577"/>
      <x:c r="N2577"/>
      <x:c r="O2577"/>
      <x:c r="P2577"/>
      <x:c r="Q2577"/>
      <x:c r="R2577"/>
      <x:c r="S2577"/>
      <x:c r="T2577"/>
      <x:c r="U2577"/>
      <x:c r="V2577"/>
      <x:c r="W2577"/>
    </x:row>
    <x:row r="2578">
      <x:c r="A2578"/>
      <x:c r="B2578"/>
      <x:c r="C2578"/>
      <x:c r="D2578"/>
      <x:c r="E2578"/>
      <x:c r="F2578"/>
      <x:c r="G2578"/>
      <x:c r="H2578"/>
      <x:c r="I2578"/>
      <x:c r="J2578"/>
      <x:c r="K2578"/>
      <x:c r="L2578"/>
      <x:c r="M2578"/>
      <x:c r="N2578"/>
      <x:c r="O2578"/>
      <x:c r="P2578"/>
      <x:c r="Q2578"/>
      <x:c r="R2578"/>
      <x:c r="S2578"/>
      <x:c r="T2578"/>
      <x:c r="U2578"/>
      <x:c r="V2578"/>
      <x:c r="W2578"/>
    </x:row>
    <x:row r="2579">
      <x:c r="A2579"/>
      <x:c r="B2579"/>
      <x:c r="C2579"/>
      <x:c r="D2579"/>
      <x:c r="E2579"/>
      <x:c r="F2579"/>
      <x:c r="G2579"/>
      <x:c r="H2579"/>
      <x:c r="I2579"/>
      <x:c r="J2579"/>
      <x:c r="K2579"/>
      <x:c r="L2579"/>
      <x:c r="M2579"/>
      <x:c r="N2579"/>
      <x:c r="O2579"/>
      <x:c r="P2579"/>
      <x:c r="Q2579"/>
      <x:c r="R2579"/>
      <x:c r="S2579"/>
      <x:c r="T2579"/>
      <x:c r="U2579"/>
      <x:c r="V2579"/>
      <x:c r="W2579"/>
    </x:row>
    <x:row r="2580">
      <x:c r="A2580"/>
      <x:c r="B2580"/>
      <x:c r="C2580"/>
      <x:c r="D2580"/>
      <x:c r="E2580"/>
      <x:c r="F2580"/>
      <x:c r="G2580"/>
      <x:c r="H2580"/>
      <x:c r="I2580"/>
      <x:c r="J2580"/>
      <x:c r="K2580"/>
      <x:c r="L2580"/>
      <x:c r="M2580"/>
      <x:c r="N2580"/>
      <x:c r="O2580"/>
      <x:c r="P2580"/>
      <x:c r="Q2580"/>
      <x:c r="R2580"/>
      <x:c r="S2580"/>
      <x:c r="T2580"/>
      <x:c r="U2580"/>
      <x:c r="V2580"/>
      <x:c r="W2580"/>
    </x:row>
    <x:row r="2581">
      <x:c r="A2581"/>
      <x:c r="B2581"/>
      <x:c r="C2581"/>
      <x:c r="D2581"/>
      <x:c r="E2581"/>
      <x:c r="F2581"/>
      <x:c r="G2581"/>
      <x:c r="H2581"/>
      <x:c r="I2581"/>
      <x:c r="J2581"/>
      <x:c r="K2581"/>
      <x:c r="L2581"/>
      <x:c r="M2581"/>
      <x:c r="N2581"/>
      <x:c r="O2581"/>
      <x:c r="P2581"/>
      <x:c r="Q2581"/>
      <x:c r="R2581"/>
      <x:c r="S2581"/>
      <x:c r="T2581"/>
      <x:c r="U2581"/>
      <x:c r="V2581"/>
      <x:c r="W2581"/>
    </x:row>
    <x:row r="2582">
      <x:c r="A2582"/>
      <x:c r="B2582"/>
      <x:c r="C2582"/>
      <x:c r="D2582"/>
      <x:c r="E2582"/>
      <x:c r="F2582"/>
      <x:c r="G2582"/>
      <x:c r="H2582"/>
      <x:c r="I2582"/>
      <x:c r="J2582"/>
      <x:c r="K2582"/>
      <x:c r="L2582"/>
      <x:c r="M2582"/>
      <x:c r="N2582"/>
      <x:c r="O2582"/>
      <x:c r="P2582"/>
      <x:c r="Q2582"/>
      <x:c r="R2582"/>
      <x:c r="S2582"/>
      <x:c r="T2582"/>
      <x:c r="U2582"/>
      <x:c r="V2582"/>
      <x:c r="W2582"/>
    </x:row>
    <x:row r="2583">
      <x:c r="A2583"/>
      <x:c r="B2583"/>
      <x:c r="C2583"/>
      <x:c r="D2583"/>
      <x:c r="E2583"/>
      <x:c r="F2583"/>
      <x:c r="G2583"/>
      <x:c r="H2583"/>
      <x:c r="I2583"/>
      <x:c r="J2583"/>
      <x:c r="K2583"/>
      <x:c r="L2583"/>
      <x:c r="M2583"/>
      <x:c r="N2583"/>
      <x:c r="O2583"/>
      <x:c r="P2583"/>
      <x:c r="Q2583"/>
      <x:c r="R2583"/>
      <x:c r="S2583"/>
      <x:c r="T2583"/>
      <x:c r="U2583"/>
      <x:c r="V2583"/>
      <x:c r="W2583"/>
    </x:row>
    <x:row r="2584">
      <x:c r="A2584"/>
      <x:c r="B2584"/>
      <x:c r="C2584"/>
      <x:c r="D2584"/>
      <x:c r="E2584"/>
      <x:c r="F2584"/>
      <x:c r="G2584"/>
      <x:c r="H2584"/>
      <x:c r="I2584"/>
      <x:c r="J2584"/>
      <x:c r="K2584"/>
      <x:c r="L2584"/>
      <x:c r="M2584"/>
      <x:c r="N2584"/>
      <x:c r="O2584"/>
      <x:c r="P2584"/>
      <x:c r="Q2584"/>
      <x:c r="R2584"/>
      <x:c r="S2584"/>
      <x:c r="T2584"/>
      <x:c r="U2584"/>
      <x:c r="V2584"/>
      <x:c r="W2584"/>
    </x:row>
    <x:row r="2585">
      <x:c r="A2585"/>
      <x:c r="B2585"/>
      <x:c r="C2585"/>
      <x:c r="D2585"/>
      <x:c r="E2585"/>
      <x:c r="F2585"/>
      <x:c r="G2585"/>
      <x:c r="H2585"/>
      <x:c r="I2585"/>
      <x:c r="J2585"/>
      <x:c r="K2585"/>
      <x:c r="L2585"/>
      <x:c r="M2585"/>
      <x:c r="N2585"/>
      <x:c r="O2585"/>
      <x:c r="P2585"/>
      <x:c r="Q2585"/>
      <x:c r="R2585"/>
      <x:c r="S2585"/>
      <x:c r="T2585"/>
      <x:c r="U2585"/>
      <x:c r="V2585"/>
      <x:c r="W2585"/>
    </x:row>
    <x:row r="2586">
      <x:c r="A2586"/>
      <x:c r="B2586"/>
      <x:c r="C2586"/>
      <x:c r="D2586"/>
      <x:c r="E2586"/>
      <x:c r="F2586"/>
      <x:c r="G2586"/>
      <x:c r="H2586"/>
      <x:c r="I2586"/>
      <x:c r="J2586"/>
      <x:c r="K2586"/>
      <x:c r="L2586"/>
      <x:c r="M2586"/>
      <x:c r="N2586"/>
      <x:c r="O2586"/>
      <x:c r="P2586"/>
      <x:c r="Q2586"/>
      <x:c r="R2586"/>
      <x:c r="S2586"/>
      <x:c r="T2586"/>
      <x:c r="U2586"/>
      <x:c r="V2586"/>
      <x:c r="W2586"/>
    </x:row>
    <x:row r="2587">
      <x:c r="A2587"/>
      <x:c r="B2587"/>
      <x:c r="C2587"/>
      <x:c r="D2587"/>
      <x:c r="E2587"/>
      <x:c r="F2587"/>
      <x:c r="G2587"/>
      <x:c r="H2587"/>
      <x:c r="I2587"/>
      <x:c r="J2587"/>
      <x:c r="K2587"/>
      <x:c r="L2587"/>
      <x:c r="M2587"/>
      <x:c r="N2587"/>
      <x:c r="O2587"/>
      <x:c r="P2587"/>
      <x:c r="Q2587"/>
      <x:c r="R2587"/>
      <x:c r="S2587"/>
      <x:c r="T2587"/>
      <x:c r="U2587"/>
      <x:c r="V2587"/>
      <x:c r="W2587"/>
    </x:row>
    <x:row r="2588">
      <x:c r="A2588"/>
      <x:c r="B2588"/>
      <x:c r="C2588"/>
      <x:c r="D2588"/>
      <x:c r="E2588"/>
      <x:c r="F2588"/>
      <x:c r="G2588"/>
      <x:c r="H2588"/>
      <x:c r="I2588"/>
      <x:c r="J2588"/>
      <x:c r="K2588"/>
      <x:c r="L2588"/>
      <x:c r="M2588"/>
      <x:c r="N2588"/>
      <x:c r="O2588"/>
      <x:c r="P2588"/>
      <x:c r="Q2588"/>
      <x:c r="R2588"/>
      <x:c r="S2588"/>
      <x:c r="T2588"/>
      <x:c r="U2588"/>
      <x:c r="V2588"/>
      <x:c r="W2588"/>
    </x:row>
    <x:row r="2589">
      <x:c r="A2589"/>
      <x:c r="B2589"/>
      <x:c r="C2589"/>
      <x:c r="D2589"/>
      <x:c r="E2589"/>
      <x:c r="F2589"/>
      <x:c r="G2589"/>
      <x:c r="H2589"/>
      <x:c r="I2589"/>
      <x:c r="J2589"/>
      <x:c r="K2589"/>
      <x:c r="L2589"/>
      <x:c r="M2589"/>
      <x:c r="N2589"/>
      <x:c r="O2589"/>
      <x:c r="P2589"/>
      <x:c r="Q2589"/>
      <x:c r="R2589"/>
      <x:c r="S2589"/>
      <x:c r="T2589"/>
      <x:c r="U2589"/>
      <x:c r="V2589"/>
      <x:c r="W2589"/>
    </x:row>
    <x:row r="2590">
      <x:c r="A2590"/>
      <x:c r="B2590"/>
      <x:c r="C2590"/>
      <x:c r="D2590"/>
      <x:c r="E2590"/>
      <x:c r="F2590"/>
      <x:c r="G2590"/>
      <x:c r="H2590"/>
      <x:c r="I2590"/>
      <x:c r="J2590"/>
      <x:c r="K2590"/>
      <x:c r="L2590"/>
      <x:c r="M2590"/>
      <x:c r="N2590"/>
      <x:c r="O2590"/>
      <x:c r="P2590"/>
      <x:c r="Q2590"/>
      <x:c r="R2590"/>
      <x:c r="S2590"/>
      <x:c r="T2590"/>
      <x:c r="U2590"/>
      <x:c r="V2590"/>
      <x:c r="W2590"/>
    </x:row>
    <x:row r="2591">
      <x:c r="A2591"/>
      <x:c r="B2591"/>
      <x:c r="C2591"/>
      <x:c r="D2591"/>
      <x:c r="E2591"/>
      <x:c r="F2591"/>
      <x:c r="G2591"/>
      <x:c r="H2591"/>
      <x:c r="I2591"/>
      <x:c r="J2591"/>
      <x:c r="K2591"/>
      <x:c r="L2591"/>
      <x:c r="M2591"/>
      <x:c r="N2591"/>
      <x:c r="O2591"/>
      <x:c r="P2591"/>
      <x:c r="Q2591"/>
      <x:c r="R2591"/>
      <x:c r="S2591"/>
      <x:c r="T2591"/>
      <x:c r="U2591"/>
      <x:c r="V2591"/>
      <x:c r="W2591"/>
    </x:row>
    <x:row r="2592">
      <x:c r="A2592"/>
      <x:c r="B2592"/>
      <x:c r="C2592"/>
      <x:c r="D2592"/>
      <x:c r="E2592"/>
      <x:c r="F2592"/>
      <x:c r="G2592"/>
      <x:c r="H2592"/>
      <x:c r="I2592"/>
      <x:c r="J2592"/>
      <x:c r="K2592"/>
      <x:c r="L2592"/>
      <x:c r="M2592"/>
      <x:c r="N2592"/>
      <x:c r="O2592"/>
      <x:c r="P2592"/>
      <x:c r="Q2592"/>
      <x:c r="R2592"/>
      <x:c r="S2592"/>
      <x:c r="T2592"/>
      <x:c r="U2592"/>
      <x:c r="V2592"/>
      <x:c r="W2592"/>
    </x:row>
    <x:row r="2593">
      <x:c r="A2593"/>
      <x:c r="B2593"/>
      <x:c r="C2593"/>
      <x:c r="D2593"/>
      <x:c r="E2593"/>
      <x:c r="F2593"/>
      <x:c r="G2593"/>
      <x:c r="H2593"/>
      <x:c r="I2593"/>
      <x:c r="J2593"/>
      <x:c r="K2593"/>
      <x:c r="L2593"/>
      <x:c r="M2593"/>
      <x:c r="N2593"/>
      <x:c r="O2593"/>
      <x:c r="P2593"/>
      <x:c r="Q2593"/>
      <x:c r="R2593"/>
      <x:c r="S2593"/>
      <x:c r="T2593"/>
      <x:c r="U2593"/>
      <x:c r="V2593"/>
      <x:c r="W2593"/>
    </x:row>
    <x:row r="2594">
      <x:c r="A2594"/>
      <x:c r="B2594"/>
      <x:c r="C2594"/>
      <x:c r="D2594"/>
      <x:c r="E2594"/>
      <x:c r="F2594"/>
      <x:c r="G2594"/>
      <x:c r="H2594"/>
      <x:c r="I2594"/>
      <x:c r="J2594"/>
      <x:c r="K2594"/>
      <x:c r="L2594"/>
      <x:c r="M2594"/>
      <x:c r="N2594"/>
      <x:c r="O2594"/>
      <x:c r="P2594"/>
      <x:c r="Q2594"/>
      <x:c r="R2594"/>
      <x:c r="S2594"/>
      <x:c r="T2594"/>
      <x:c r="U2594"/>
      <x:c r="V2594"/>
      <x:c r="W2594"/>
    </x:row>
    <x:row r="2595">
      <x:c r="A2595"/>
      <x:c r="B2595"/>
      <x:c r="C2595"/>
      <x:c r="D2595"/>
      <x:c r="E2595"/>
      <x:c r="F2595"/>
      <x:c r="G2595"/>
      <x:c r="H2595"/>
      <x:c r="I2595"/>
      <x:c r="J2595"/>
      <x:c r="K2595"/>
      <x:c r="L2595"/>
      <x:c r="M2595"/>
      <x:c r="N2595"/>
      <x:c r="O2595"/>
      <x:c r="P2595"/>
      <x:c r="Q2595"/>
      <x:c r="R2595"/>
      <x:c r="S2595"/>
      <x:c r="T2595"/>
      <x:c r="U2595"/>
      <x:c r="V2595"/>
      <x:c r="W2595"/>
    </x:row>
    <x:row r="2596">
      <x:c r="A2596"/>
      <x:c r="B2596"/>
      <x:c r="C2596"/>
      <x:c r="D2596"/>
      <x:c r="E2596"/>
      <x:c r="F2596"/>
      <x:c r="G2596"/>
      <x:c r="H2596"/>
      <x:c r="I2596"/>
      <x:c r="J2596"/>
      <x:c r="K2596"/>
      <x:c r="L2596"/>
      <x:c r="M2596"/>
      <x:c r="N2596"/>
      <x:c r="O2596"/>
      <x:c r="P2596"/>
      <x:c r="Q2596"/>
      <x:c r="R2596"/>
      <x:c r="S2596"/>
      <x:c r="T2596"/>
      <x:c r="U2596"/>
      <x:c r="V2596"/>
      <x:c r="W2596"/>
    </x:row>
    <x:row r="2597">
      <x:c r="A2597"/>
      <x:c r="B2597"/>
      <x:c r="C2597"/>
      <x:c r="D2597"/>
      <x:c r="E2597"/>
      <x:c r="F2597"/>
      <x:c r="G2597"/>
      <x:c r="H2597"/>
      <x:c r="I2597"/>
      <x:c r="J2597"/>
      <x:c r="K2597"/>
      <x:c r="L2597"/>
      <x:c r="M2597"/>
      <x:c r="N2597"/>
      <x:c r="O2597"/>
      <x:c r="P2597"/>
      <x:c r="Q2597"/>
      <x:c r="R2597"/>
      <x:c r="S2597"/>
      <x:c r="T2597"/>
      <x:c r="U2597"/>
      <x:c r="V2597"/>
      <x:c r="W2597"/>
    </x:row>
    <x:row r="2598">
      <x:c r="A2598"/>
      <x:c r="B2598"/>
      <x:c r="C2598"/>
      <x:c r="D2598"/>
      <x:c r="E2598"/>
      <x:c r="F2598"/>
      <x:c r="G2598"/>
      <x:c r="H2598"/>
      <x:c r="I2598"/>
      <x:c r="J2598"/>
      <x:c r="K2598"/>
      <x:c r="L2598"/>
      <x:c r="M2598"/>
      <x:c r="N2598"/>
      <x:c r="O2598"/>
      <x:c r="P2598"/>
      <x:c r="Q2598"/>
      <x:c r="R2598"/>
      <x:c r="S2598"/>
      <x:c r="T2598"/>
      <x:c r="U2598"/>
      <x:c r="V2598"/>
      <x:c r="W2598"/>
    </x:row>
    <x:row r="2599">
      <x:c r="A2599"/>
      <x:c r="B2599"/>
      <x:c r="C2599"/>
      <x:c r="D2599"/>
      <x:c r="E2599"/>
      <x:c r="F2599"/>
      <x:c r="G2599"/>
      <x:c r="H2599"/>
      <x:c r="I2599"/>
      <x:c r="J2599"/>
      <x:c r="K2599"/>
      <x:c r="L2599"/>
      <x:c r="M2599"/>
      <x:c r="N2599"/>
      <x:c r="O2599"/>
      <x:c r="P2599"/>
      <x:c r="Q2599"/>
      <x:c r="R2599"/>
      <x:c r="S2599"/>
      <x:c r="T2599"/>
      <x:c r="U2599"/>
      <x:c r="V2599"/>
      <x:c r="W2599"/>
    </x:row>
    <x:row r="2600">
      <x:c r="A2600"/>
      <x:c r="B2600"/>
      <x:c r="C2600"/>
      <x:c r="D2600"/>
      <x:c r="E2600"/>
      <x:c r="F2600"/>
      <x:c r="G2600"/>
      <x:c r="H2600"/>
      <x:c r="I2600"/>
      <x:c r="J2600"/>
      <x:c r="K2600"/>
      <x:c r="L2600"/>
      <x:c r="M2600"/>
      <x:c r="N2600"/>
      <x:c r="O2600"/>
      <x:c r="P2600"/>
      <x:c r="Q2600"/>
      <x:c r="R2600"/>
      <x:c r="S2600"/>
      <x:c r="T2600"/>
      <x:c r="U2600"/>
      <x:c r="V2600"/>
      <x:c r="W2600"/>
    </x:row>
    <x:row r="2601">
      <x:c r="A2601"/>
      <x:c r="B2601"/>
      <x:c r="C2601"/>
      <x:c r="D2601"/>
      <x:c r="E2601"/>
      <x:c r="F2601"/>
      <x:c r="G2601"/>
      <x:c r="H2601"/>
      <x:c r="I2601"/>
      <x:c r="J2601"/>
      <x:c r="K2601"/>
      <x:c r="L2601"/>
      <x:c r="M2601"/>
      <x:c r="N2601"/>
      <x:c r="O2601"/>
      <x:c r="P2601"/>
      <x:c r="Q2601"/>
      <x:c r="R2601"/>
      <x:c r="S2601"/>
      <x:c r="T2601"/>
      <x:c r="U2601"/>
      <x:c r="V2601"/>
      <x:c r="W2601"/>
    </x:row>
    <x:row r="2602">
      <x:c r="A2602"/>
      <x:c r="B2602"/>
      <x:c r="C2602"/>
      <x:c r="D2602"/>
      <x:c r="E2602"/>
      <x:c r="F2602"/>
      <x:c r="G2602"/>
      <x:c r="H2602"/>
      <x:c r="I2602"/>
      <x:c r="J2602"/>
      <x:c r="K2602"/>
      <x:c r="L2602"/>
      <x:c r="M2602"/>
      <x:c r="N2602"/>
      <x:c r="O2602"/>
      <x:c r="P2602"/>
      <x:c r="Q2602"/>
      <x:c r="R2602"/>
      <x:c r="S2602"/>
      <x:c r="T2602"/>
      <x:c r="U2602"/>
      <x:c r="V2602"/>
      <x:c r="W2602"/>
    </x:row>
    <x:row r="2603">
      <x:c r="A2603"/>
      <x:c r="B2603"/>
      <x:c r="C2603"/>
      <x:c r="D2603"/>
      <x:c r="E2603"/>
      <x:c r="F2603"/>
      <x:c r="G2603"/>
      <x:c r="H2603"/>
      <x:c r="I2603"/>
      <x:c r="J2603"/>
      <x:c r="K2603"/>
      <x:c r="L2603"/>
      <x:c r="M2603"/>
      <x:c r="N2603"/>
      <x:c r="O2603"/>
      <x:c r="P2603"/>
      <x:c r="Q2603"/>
      <x:c r="R2603"/>
      <x:c r="S2603"/>
      <x:c r="T2603"/>
      <x:c r="U2603"/>
      <x:c r="V2603"/>
      <x:c r="W2603"/>
    </x:row>
    <x:row r="2604">
      <x:c r="A2604"/>
      <x:c r="B2604"/>
      <x:c r="C2604"/>
      <x:c r="D2604"/>
      <x:c r="E2604"/>
      <x:c r="F2604"/>
      <x:c r="G2604"/>
      <x:c r="H2604"/>
      <x:c r="I2604"/>
      <x:c r="J2604"/>
      <x:c r="K2604"/>
      <x:c r="L2604"/>
      <x:c r="M2604"/>
      <x:c r="N2604"/>
      <x:c r="O2604"/>
      <x:c r="P2604"/>
      <x:c r="Q2604"/>
      <x:c r="R2604"/>
      <x:c r="S2604"/>
      <x:c r="T2604"/>
      <x:c r="U2604"/>
      <x:c r="V2604"/>
      <x:c r="W2604"/>
    </x:row>
    <x:row r="2605">
      <x:c r="A2605"/>
      <x:c r="B2605"/>
      <x:c r="C2605"/>
      <x:c r="D2605"/>
      <x:c r="E2605"/>
      <x:c r="F2605"/>
      <x:c r="G2605"/>
      <x:c r="H2605"/>
      <x:c r="I2605"/>
      <x:c r="J2605"/>
      <x:c r="K2605"/>
      <x:c r="L2605"/>
      <x:c r="M2605"/>
      <x:c r="N2605"/>
      <x:c r="O2605"/>
      <x:c r="P2605"/>
      <x:c r="Q2605"/>
      <x:c r="R2605"/>
      <x:c r="S2605"/>
      <x:c r="T2605"/>
      <x:c r="U2605"/>
      <x:c r="V2605"/>
      <x:c r="W2605"/>
    </x:row>
    <x:row r="2606">
      <x:c r="A2606"/>
      <x:c r="B2606"/>
      <x:c r="C2606"/>
      <x:c r="D2606"/>
      <x:c r="E2606"/>
      <x:c r="F2606"/>
      <x:c r="G2606"/>
      <x:c r="H2606"/>
      <x:c r="I2606"/>
      <x:c r="J2606"/>
      <x:c r="K2606"/>
      <x:c r="L2606"/>
      <x:c r="M2606"/>
      <x:c r="N2606"/>
      <x:c r="O2606"/>
      <x:c r="P2606"/>
      <x:c r="Q2606"/>
      <x:c r="R2606"/>
      <x:c r="S2606"/>
      <x:c r="T2606"/>
      <x:c r="U2606"/>
      <x:c r="V2606"/>
      <x:c r="W2606"/>
    </x:row>
    <x:row r="2607">
      <x:c r="A2607"/>
      <x:c r="B2607"/>
      <x:c r="C2607"/>
      <x:c r="D2607"/>
      <x:c r="E2607"/>
      <x:c r="F2607"/>
      <x:c r="G2607"/>
      <x:c r="H2607"/>
      <x:c r="I2607"/>
      <x:c r="J2607"/>
      <x:c r="K2607"/>
      <x:c r="L2607"/>
      <x:c r="M2607"/>
      <x:c r="N2607"/>
      <x:c r="O2607"/>
      <x:c r="P2607"/>
      <x:c r="Q2607"/>
      <x:c r="R2607"/>
      <x:c r="S2607"/>
      <x:c r="T2607"/>
      <x:c r="U2607"/>
      <x:c r="V2607"/>
      <x:c r="W2607"/>
    </x:row>
    <x:row r="2608">
      <x:c r="A2608"/>
      <x:c r="B2608"/>
      <x:c r="C2608"/>
      <x:c r="D2608"/>
      <x:c r="E2608"/>
      <x:c r="F2608"/>
      <x:c r="G2608"/>
      <x:c r="H2608"/>
      <x:c r="I2608"/>
      <x:c r="J2608"/>
      <x:c r="K2608"/>
      <x:c r="L2608"/>
      <x:c r="M2608"/>
      <x:c r="N2608"/>
      <x:c r="O2608"/>
      <x:c r="P2608"/>
      <x:c r="Q2608"/>
      <x:c r="R2608"/>
      <x:c r="S2608"/>
      <x:c r="T2608"/>
      <x:c r="U2608"/>
      <x:c r="V2608"/>
      <x:c r="W2608"/>
    </x:row>
    <x:row r="2609">
      <x:c r="A2609"/>
      <x:c r="B2609"/>
      <x:c r="C2609"/>
      <x:c r="D2609"/>
      <x:c r="E2609"/>
      <x:c r="F2609"/>
      <x:c r="G2609"/>
      <x:c r="H2609"/>
      <x:c r="I2609"/>
      <x:c r="J2609"/>
      <x:c r="K2609"/>
      <x:c r="L2609"/>
      <x:c r="M2609"/>
      <x:c r="N2609"/>
      <x:c r="O2609"/>
      <x:c r="P2609"/>
      <x:c r="Q2609"/>
      <x:c r="R2609"/>
      <x:c r="S2609"/>
      <x:c r="T2609"/>
      <x:c r="U2609"/>
      <x:c r="V2609"/>
      <x:c r="W2609"/>
    </x:row>
    <x:row r="2610">
      <x:c r="A2610"/>
      <x:c r="B2610"/>
      <x:c r="C2610"/>
      <x:c r="D2610"/>
      <x:c r="E2610"/>
      <x:c r="F2610"/>
      <x:c r="G2610"/>
      <x:c r="H2610"/>
      <x:c r="I2610"/>
      <x:c r="J2610"/>
      <x:c r="K2610"/>
      <x:c r="L2610"/>
      <x:c r="M2610"/>
      <x:c r="N2610"/>
      <x:c r="O2610"/>
      <x:c r="P2610"/>
      <x:c r="Q2610"/>
      <x:c r="R2610"/>
      <x:c r="S2610"/>
      <x:c r="T2610"/>
      <x:c r="U2610"/>
      <x:c r="V2610"/>
      <x:c r="W2610"/>
    </x:row>
    <x:row r="2611">
      <x:c r="A2611"/>
      <x:c r="B2611"/>
      <x:c r="C2611"/>
      <x:c r="D2611"/>
      <x:c r="E2611"/>
      <x:c r="F2611"/>
      <x:c r="G2611"/>
      <x:c r="H2611"/>
      <x:c r="I2611"/>
      <x:c r="J2611"/>
      <x:c r="K2611"/>
      <x:c r="L2611"/>
      <x:c r="M2611"/>
      <x:c r="N2611"/>
      <x:c r="O2611"/>
      <x:c r="P2611"/>
      <x:c r="Q2611"/>
      <x:c r="R2611"/>
      <x:c r="S2611"/>
      <x:c r="T2611"/>
      <x:c r="U2611"/>
      <x:c r="V2611"/>
      <x:c r="W2611"/>
    </x:row>
    <x:row r="2612">
      <x:c r="A2612"/>
      <x:c r="B2612"/>
      <x:c r="C2612"/>
      <x:c r="D2612"/>
      <x:c r="E2612"/>
      <x:c r="F2612"/>
      <x:c r="G2612"/>
      <x:c r="H2612"/>
      <x:c r="I2612"/>
      <x:c r="J2612"/>
      <x:c r="K2612"/>
      <x:c r="L2612"/>
      <x:c r="M2612"/>
      <x:c r="N2612"/>
      <x:c r="O2612"/>
      <x:c r="P2612"/>
      <x:c r="Q2612"/>
      <x:c r="R2612"/>
      <x:c r="S2612"/>
      <x:c r="T2612"/>
      <x:c r="U2612"/>
      <x:c r="V2612"/>
      <x:c r="W2612"/>
    </x:row>
    <x:row r="2613">
      <x:c r="A2613"/>
      <x:c r="B2613"/>
      <x:c r="C2613"/>
      <x:c r="D2613"/>
      <x:c r="E2613"/>
      <x:c r="F2613"/>
      <x:c r="G2613"/>
      <x:c r="H2613"/>
      <x:c r="I2613"/>
      <x:c r="J2613"/>
      <x:c r="K2613"/>
      <x:c r="L2613"/>
      <x:c r="M2613"/>
      <x:c r="N2613"/>
      <x:c r="O2613"/>
      <x:c r="P2613"/>
      <x:c r="Q2613"/>
      <x:c r="R2613"/>
      <x:c r="S2613"/>
      <x:c r="T2613"/>
      <x:c r="U2613"/>
      <x:c r="V2613"/>
      <x:c r="W2613"/>
    </x:row>
    <x:row r="2614">
      <x:c r="A2614"/>
      <x:c r="B2614"/>
      <x:c r="C2614"/>
      <x:c r="D2614"/>
      <x:c r="E2614"/>
      <x:c r="F2614"/>
      <x:c r="G2614"/>
      <x:c r="H2614"/>
      <x:c r="I2614"/>
      <x:c r="J2614"/>
      <x:c r="K2614"/>
      <x:c r="L2614"/>
      <x:c r="M2614"/>
      <x:c r="N2614"/>
      <x:c r="O2614"/>
      <x:c r="P2614"/>
      <x:c r="Q2614"/>
      <x:c r="R2614"/>
      <x:c r="S2614"/>
      <x:c r="T2614"/>
      <x:c r="U2614"/>
      <x:c r="V2614"/>
      <x:c r="W2614"/>
    </x:row>
    <x:row r="2615">
      <x:c r="A2615"/>
      <x:c r="B2615"/>
      <x:c r="C2615"/>
      <x:c r="D2615"/>
      <x:c r="E2615"/>
      <x:c r="F2615"/>
      <x:c r="G2615"/>
      <x:c r="H2615"/>
      <x:c r="I2615"/>
      <x:c r="J2615"/>
      <x:c r="K2615"/>
      <x:c r="L2615"/>
      <x:c r="M2615"/>
      <x:c r="N2615"/>
      <x:c r="O2615"/>
      <x:c r="P2615"/>
      <x:c r="Q2615"/>
      <x:c r="R2615"/>
      <x:c r="S2615"/>
      <x:c r="T2615"/>
      <x:c r="U2615"/>
      <x:c r="V2615"/>
      <x:c r="W2615"/>
    </x:row>
    <x:row r="2616">
      <x:c r="A2616"/>
      <x:c r="B2616"/>
      <x:c r="C2616"/>
      <x:c r="D2616"/>
      <x:c r="E2616"/>
      <x:c r="F2616"/>
      <x:c r="G2616"/>
      <x:c r="H2616"/>
      <x:c r="I2616"/>
      <x:c r="J2616"/>
      <x:c r="K2616"/>
      <x:c r="L2616"/>
      <x:c r="M2616"/>
      <x:c r="N2616"/>
      <x:c r="O2616"/>
      <x:c r="P2616"/>
      <x:c r="Q2616"/>
      <x:c r="R2616"/>
      <x:c r="S2616"/>
      <x:c r="T2616"/>
      <x:c r="U2616"/>
      <x:c r="V2616"/>
      <x:c r="W2616"/>
    </x:row>
    <x:row r="2617">
      <x:c r="A2617"/>
      <x:c r="B2617"/>
      <x:c r="C2617"/>
      <x:c r="D2617"/>
      <x:c r="E2617"/>
      <x:c r="F2617"/>
      <x:c r="G2617"/>
      <x:c r="H2617"/>
      <x:c r="I2617"/>
      <x:c r="J2617"/>
      <x:c r="K2617"/>
      <x:c r="L2617"/>
      <x:c r="M2617"/>
      <x:c r="N2617"/>
      <x:c r="O2617"/>
      <x:c r="P2617"/>
      <x:c r="Q2617"/>
      <x:c r="R2617"/>
      <x:c r="S2617"/>
      <x:c r="T2617"/>
      <x:c r="U2617"/>
      <x:c r="V2617"/>
      <x:c r="W2617"/>
    </x:row>
    <x:row r="2618">
      <x:c r="A2618"/>
      <x:c r="B2618"/>
      <x:c r="C2618"/>
      <x:c r="D2618"/>
      <x:c r="E2618"/>
      <x:c r="F2618"/>
      <x:c r="G2618"/>
      <x:c r="H2618"/>
      <x:c r="I2618"/>
      <x:c r="J2618"/>
      <x:c r="K2618"/>
      <x:c r="L2618"/>
      <x:c r="M2618"/>
      <x:c r="N2618"/>
      <x:c r="O2618"/>
      <x:c r="P2618"/>
      <x:c r="Q2618"/>
      <x:c r="R2618"/>
      <x:c r="S2618"/>
      <x:c r="T2618"/>
      <x:c r="U2618"/>
      <x:c r="V2618"/>
      <x:c r="W2618"/>
    </x:row>
    <x:row r="2619">
      <x:c r="A2619"/>
      <x:c r="B2619"/>
      <x:c r="C2619"/>
      <x:c r="D2619"/>
      <x:c r="E2619"/>
      <x:c r="F2619"/>
      <x:c r="G2619"/>
      <x:c r="H2619"/>
      <x:c r="I2619"/>
      <x:c r="J2619"/>
      <x:c r="K2619"/>
      <x:c r="L2619"/>
      <x:c r="M2619"/>
      <x:c r="N2619"/>
      <x:c r="O2619"/>
      <x:c r="P2619"/>
      <x:c r="Q2619"/>
      <x:c r="R2619"/>
      <x:c r="S2619"/>
      <x:c r="T2619"/>
      <x:c r="U2619"/>
      <x:c r="V2619"/>
      <x:c r="W2619"/>
    </x:row>
    <x:row r="2620">
      <x:c r="A2620"/>
      <x:c r="B2620"/>
      <x:c r="C2620"/>
      <x:c r="D2620"/>
      <x:c r="E2620"/>
      <x:c r="F2620"/>
      <x:c r="G2620"/>
      <x:c r="H2620"/>
      <x:c r="I2620"/>
      <x:c r="J2620"/>
      <x:c r="K2620"/>
      <x:c r="L2620"/>
      <x:c r="M2620"/>
      <x:c r="N2620"/>
      <x:c r="O2620"/>
      <x:c r="P2620"/>
      <x:c r="Q2620"/>
      <x:c r="R2620"/>
      <x:c r="S2620"/>
      <x:c r="T2620"/>
      <x:c r="U2620"/>
      <x:c r="V2620"/>
      <x:c r="W2620"/>
    </x:row>
    <x:row r="2621">
      <x:c r="A2621"/>
      <x:c r="B2621"/>
      <x:c r="C2621"/>
      <x:c r="D2621"/>
      <x:c r="E2621"/>
      <x:c r="F2621"/>
      <x:c r="G2621"/>
      <x:c r="H2621"/>
      <x:c r="I2621"/>
      <x:c r="J2621"/>
      <x:c r="K2621"/>
      <x:c r="L2621"/>
      <x:c r="M2621"/>
      <x:c r="N2621"/>
      <x:c r="O2621"/>
      <x:c r="P2621"/>
      <x:c r="Q2621"/>
      <x:c r="R2621"/>
      <x:c r="S2621"/>
      <x:c r="T2621"/>
      <x:c r="U2621"/>
      <x:c r="V2621"/>
      <x:c r="W2621"/>
    </x:row>
    <x:row r="2622">
      <x:c r="A2622"/>
      <x:c r="B2622"/>
      <x:c r="C2622"/>
      <x:c r="D2622"/>
      <x:c r="E2622"/>
      <x:c r="F2622"/>
      <x:c r="G2622"/>
      <x:c r="H2622"/>
      <x:c r="I2622"/>
      <x:c r="J2622"/>
      <x:c r="K2622"/>
      <x:c r="L2622"/>
      <x:c r="M2622"/>
      <x:c r="N2622"/>
      <x:c r="O2622"/>
      <x:c r="P2622"/>
      <x:c r="Q2622"/>
      <x:c r="R2622"/>
      <x:c r="S2622"/>
      <x:c r="T2622"/>
      <x:c r="U2622"/>
      <x:c r="V2622"/>
      <x:c r="W2622"/>
    </x:row>
    <x:row r="2623">
      <x:c r="A2623"/>
      <x:c r="B2623"/>
      <x:c r="C2623"/>
      <x:c r="D2623"/>
      <x:c r="E2623"/>
      <x:c r="F2623"/>
      <x:c r="G2623"/>
      <x:c r="H2623"/>
      <x:c r="I2623"/>
      <x:c r="J2623"/>
      <x:c r="K2623"/>
      <x:c r="L2623"/>
      <x:c r="M2623"/>
      <x:c r="N2623"/>
      <x:c r="O2623"/>
      <x:c r="P2623"/>
      <x:c r="Q2623"/>
      <x:c r="R2623"/>
      <x:c r="S2623"/>
      <x:c r="T2623"/>
      <x:c r="U2623"/>
      <x:c r="V2623"/>
      <x:c r="W2623"/>
    </x:row>
    <x:row r="2624">
      <x:c r="A2624"/>
      <x:c r="B2624"/>
      <x:c r="C2624"/>
      <x:c r="D2624"/>
      <x:c r="E2624"/>
      <x:c r="F2624"/>
      <x:c r="G2624"/>
      <x:c r="H2624"/>
      <x:c r="I2624"/>
      <x:c r="J2624"/>
      <x:c r="K2624"/>
      <x:c r="L2624"/>
      <x:c r="M2624"/>
      <x:c r="N2624"/>
      <x:c r="O2624"/>
      <x:c r="P2624"/>
      <x:c r="Q2624"/>
      <x:c r="R2624"/>
      <x:c r="S2624"/>
      <x:c r="T2624"/>
      <x:c r="U2624"/>
      <x:c r="V2624"/>
      <x:c r="W2624"/>
    </x:row>
    <x:row r="2625">
      <x:c r="A2625"/>
      <x:c r="B2625"/>
      <x:c r="C2625"/>
      <x:c r="D2625"/>
      <x:c r="E2625"/>
      <x:c r="F2625"/>
      <x:c r="G2625"/>
      <x:c r="H2625"/>
      <x:c r="I2625"/>
      <x:c r="J2625"/>
      <x:c r="K2625"/>
      <x:c r="L2625"/>
      <x:c r="M2625"/>
      <x:c r="N2625"/>
      <x:c r="O2625"/>
      <x:c r="P2625"/>
      <x:c r="Q2625"/>
      <x:c r="R2625"/>
      <x:c r="S2625"/>
      <x:c r="T2625"/>
      <x:c r="U2625"/>
      <x:c r="V2625"/>
      <x:c r="W2625"/>
    </x:row>
    <x:row r="2626">
      <x:c r="A2626"/>
      <x:c r="B2626"/>
      <x:c r="C2626"/>
      <x:c r="D2626"/>
      <x:c r="E2626"/>
      <x:c r="F2626"/>
      <x:c r="G2626"/>
      <x:c r="H2626"/>
      <x:c r="I2626"/>
      <x:c r="J2626"/>
      <x:c r="K2626"/>
      <x:c r="L2626"/>
      <x:c r="M2626"/>
      <x:c r="N2626"/>
      <x:c r="O2626"/>
      <x:c r="P2626"/>
      <x:c r="Q2626"/>
      <x:c r="R2626"/>
      <x:c r="S2626"/>
      <x:c r="T2626"/>
      <x:c r="U2626"/>
      <x:c r="V2626"/>
      <x:c r="W2626"/>
    </x:row>
    <x:row r="2627">
      <x:c r="A2627"/>
      <x:c r="B2627"/>
      <x:c r="C2627"/>
      <x:c r="D2627"/>
      <x:c r="E2627"/>
      <x:c r="F2627"/>
      <x:c r="G2627"/>
      <x:c r="H2627"/>
      <x:c r="I2627"/>
      <x:c r="J2627"/>
      <x:c r="K2627"/>
      <x:c r="L2627"/>
      <x:c r="M2627"/>
      <x:c r="N2627"/>
      <x:c r="O2627"/>
      <x:c r="P2627"/>
      <x:c r="Q2627"/>
      <x:c r="R2627"/>
      <x:c r="S2627"/>
      <x:c r="T2627"/>
      <x:c r="U2627"/>
      <x:c r="V2627"/>
      <x:c r="W2627"/>
    </x:row>
    <x:row r="2628">
      <x:c r="A2628"/>
      <x:c r="B2628"/>
      <x:c r="C2628"/>
      <x:c r="D2628"/>
      <x:c r="E2628"/>
      <x:c r="F2628"/>
      <x:c r="G2628"/>
      <x:c r="H2628"/>
      <x:c r="I2628"/>
      <x:c r="J2628"/>
      <x:c r="K2628"/>
      <x:c r="L2628"/>
      <x:c r="M2628"/>
      <x:c r="N2628"/>
      <x:c r="O2628"/>
      <x:c r="P2628"/>
      <x:c r="Q2628"/>
      <x:c r="R2628"/>
      <x:c r="S2628"/>
      <x:c r="T2628"/>
      <x:c r="U2628"/>
      <x:c r="V2628"/>
      <x:c r="W2628"/>
    </x:row>
    <x:row r="2629">
      <x:c r="A2629"/>
      <x:c r="B2629"/>
      <x:c r="C2629"/>
      <x:c r="D2629"/>
      <x:c r="E2629"/>
      <x:c r="F2629"/>
      <x:c r="G2629"/>
      <x:c r="H2629"/>
      <x:c r="I2629"/>
      <x:c r="J2629"/>
      <x:c r="K2629"/>
      <x:c r="L2629"/>
      <x:c r="M2629"/>
      <x:c r="N2629"/>
      <x:c r="O2629"/>
      <x:c r="P2629"/>
      <x:c r="Q2629"/>
      <x:c r="R2629"/>
      <x:c r="S2629"/>
      <x:c r="T2629"/>
      <x:c r="U2629"/>
      <x:c r="V2629"/>
      <x:c r="W2629"/>
    </x:row>
    <x:row r="2630">
      <x:c r="A2630"/>
      <x:c r="B2630"/>
      <x:c r="C2630"/>
      <x:c r="D2630"/>
      <x:c r="E2630"/>
      <x:c r="F2630"/>
      <x:c r="G2630"/>
      <x:c r="H2630"/>
      <x:c r="I2630"/>
      <x:c r="J2630"/>
      <x:c r="K2630"/>
      <x:c r="L2630"/>
      <x:c r="M2630"/>
      <x:c r="N2630"/>
      <x:c r="O2630"/>
      <x:c r="P2630"/>
      <x:c r="Q2630"/>
      <x:c r="R2630"/>
      <x:c r="S2630"/>
      <x:c r="T2630"/>
      <x:c r="U2630"/>
      <x:c r="V2630"/>
      <x:c r="W2630"/>
    </x:row>
    <x:row r="2631">
      <x:c r="A2631"/>
      <x:c r="B2631"/>
      <x:c r="C2631"/>
      <x:c r="D2631"/>
      <x:c r="E2631"/>
      <x:c r="F2631"/>
      <x:c r="G2631"/>
      <x:c r="H2631"/>
      <x:c r="I2631"/>
      <x:c r="J2631"/>
      <x:c r="K2631"/>
      <x:c r="L2631"/>
      <x:c r="M2631"/>
      <x:c r="N2631"/>
      <x:c r="O2631"/>
      <x:c r="P2631"/>
      <x:c r="Q2631"/>
      <x:c r="R2631"/>
      <x:c r="S2631"/>
      <x:c r="T2631"/>
      <x:c r="U2631"/>
      <x:c r="V2631"/>
      <x:c r="W2631"/>
    </x:row>
    <x:row r="2632">
      <x:c r="A2632"/>
      <x:c r="B2632"/>
      <x:c r="C2632"/>
      <x:c r="D2632"/>
      <x:c r="E2632"/>
      <x:c r="F2632"/>
      <x:c r="G2632"/>
      <x:c r="H2632"/>
      <x:c r="I2632"/>
      <x:c r="J2632"/>
      <x:c r="K2632"/>
      <x:c r="L2632"/>
      <x:c r="M2632"/>
      <x:c r="N2632"/>
      <x:c r="O2632"/>
      <x:c r="P2632"/>
      <x:c r="Q2632"/>
      <x:c r="R2632"/>
      <x:c r="S2632"/>
      <x:c r="T2632"/>
      <x:c r="U2632"/>
      <x:c r="V2632"/>
      <x:c r="W2632"/>
    </x:row>
    <x:row r="2633">
      <x:c r="A2633"/>
      <x:c r="B2633"/>
      <x:c r="C2633"/>
      <x:c r="D2633"/>
      <x:c r="E2633"/>
      <x:c r="F2633"/>
      <x:c r="G2633"/>
      <x:c r="H2633"/>
      <x:c r="I2633"/>
      <x:c r="J2633"/>
      <x:c r="K2633"/>
      <x:c r="L2633"/>
      <x:c r="M2633"/>
      <x:c r="N2633"/>
      <x:c r="O2633"/>
      <x:c r="P2633"/>
      <x:c r="Q2633"/>
      <x:c r="R2633"/>
      <x:c r="S2633"/>
      <x:c r="T2633"/>
      <x:c r="U2633"/>
      <x:c r="V2633"/>
      <x:c r="W2633"/>
    </x:row>
    <x:row r="2634">
      <x:c r="A2634"/>
      <x:c r="B2634"/>
      <x:c r="C2634"/>
      <x:c r="D2634"/>
      <x:c r="E2634"/>
      <x:c r="F2634"/>
      <x:c r="G2634"/>
      <x:c r="H2634"/>
      <x:c r="I2634"/>
      <x:c r="J2634"/>
      <x:c r="K2634"/>
      <x:c r="L2634"/>
      <x:c r="M2634"/>
      <x:c r="N2634"/>
      <x:c r="O2634"/>
      <x:c r="P2634"/>
      <x:c r="Q2634"/>
      <x:c r="R2634"/>
      <x:c r="S2634"/>
      <x:c r="T2634"/>
      <x:c r="U2634"/>
      <x:c r="V2634"/>
      <x:c r="W2634"/>
    </x:row>
    <x:row r="2635">
      <x:c r="A2635"/>
      <x:c r="B2635"/>
      <x:c r="C2635"/>
      <x:c r="D2635"/>
      <x:c r="E2635"/>
      <x:c r="F2635"/>
      <x:c r="G2635"/>
      <x:c r="H2635"/>
      <x:c r="I2635"/>
      <x:c r="J2635"/>
      <x:c r="K2635"/>
      <x:c r="L2635"/>
      <x:c r="M2635"/>
      <x:c r="N2635"/>
      <x:c r="O2635"/>
      <x:c r="P2635"/>
      <x:c r="Q2635"/>
      <x:c r="R2635"/>
      <x:c r="S2635"/>
      <x:c r="T2635"/>
      <x:c r="U2635"/>
      <x:c r="V2635"/>
      <x:c r="W2635"/>
    </x:row>
    <x:row r="2636">
      <x:c r="A2636"/>
      <x:c r="B2636"/>
      <x:c r="C2636"/>
      <x:c r="D2636"/>
      <x:c r="E2636"/>
      <x:c r="F2636"/>
      <x:c r="G2636"/>
      <x:c r="H2636"/>
      <x:c r="I2636"/>
      <x:c r="J2636"/>
      <x:c r="K2636"/>
      <x:c r="L2636"/>
      <x:c r="M2636"/>
      <x:c r="N2636"/>
      <x:c r="O2636"/>
      <x:c r="P2636"/>
      <x:c r="Q2636"/>
      <x:c r="R2636"/>
      <x:c r="S2636"/>
      <x:c r="T2636"/>
      <x:c r="U2636"/>
      <x:c r="V2636"/>
      <x:c r="W2636"/>
    </x:row>
    <x:row r="2637">
      <x:c r="A2637"/>
      <x:c r="B2637"/>
      <x:c r="C2637"/>
      <x:c r="D2637"/>
      <x:c r="E2637"/>
      <x:c r="F2637"/>
      <x:c r="G2637"/>
      <x:c r="H2637"/>
      <x:c r="I2637"/>
      <x:c r="J2637"/>
      <x:c r="K2637"/>
      <x:c r="L2637"/>
      <x:c r="M2637"/>
      <x:c r="N2637"/>
      <x:c r="O2637"/>
      <x:c r="P2637"/>
      <x:c r="Q2637"/>
      <x:c r="R2637"/>
      <x:c r="S2637"/>
      <x:c r="T2637"/>
      <x:c r="U2637"/>
      <x:c r="V2637"/>
      <x:c r="W2637"/>
    </x:row>
    <x:row r="2638">
      <x:c r="A2638"/>
      <x:c r="B2638"/>
      <x:c r="C2638"/>
      <x:c r="D2638"/>
      <x:c r="E2638"/>
      <x:c r="F2638"/>
      <x:c r="G2638"/>
      <x:c r="H2638"/>
      <x:c r="I2638"/>
      <x:c r="J2638"/>
      <x:c r="K2638"/>
      <x:c r="L2638"/>
      <x:c r="M2638"/>
      <x:c r="N2638"/>
      <x:c r="O2638"/>
      <x:c r="P2638"/>
      <x:c r="Q2638"/>
      <x:c r="R2638"/>
      <x:c r="S2638"/>
      <x:c r="T2638"/>
      <x:c r="U2638"/>
      <x:c r="V2638"/>
      <x:c r="W2638"/>
    </x:row>
    <x:row r="2639">
      <x:c r="A2639"/>
      <x:c r="B2639"/>
      <x:c r="C2639"/>
      <x:c r="D2639"/>
      <x:c r="E2639"/>
      <x:c r="F2639"/>
      <x:c r="G2639"/>
      <x:c r="H2639"/>
      <x:c r="I2639"/>
      <x:c r="J2639"/>
      <x:c r="K2639"/>
      <x:c r="L2639"/>
      <x:c r="M2639"/>
      <x:c r="N2639"/>
      <x:c r="O2639"/>
      <x:c r="P2639"/>
      <x:c r="Q2639"/>
      <x:c r="R2639"/>
      <x:c r="S2639"/>
      <x:c r="T2639"/>
      <x:c r="U2639"/>
      <x:c r="V2639"/>
      <x:c r="W2639"/>
    </x:row>
    <x:row r="2640">
      <x:c r="A2640"/>
      <x:c r="B2640"/>
      <x:c r="C2640"/>
      <x:c r="D2640"/>
      <x:c r="E2640"/>
      <x:c r="F2640"/>
      <x:c r="G2640"/>
      <x:c r="H2640"/>
      <x:c r="I2640"/>
      <x:c r="J2640"/>
      <x:c r="K2640"/>
      <x:c r="L2640"/>
      <x:c r="M2640"/>
      <x:c r="N2640"/>
      <x:c r="O2640"/>
      <x:c r="P2640"/>
      <x:c r="Q2640"/>
      <x:c r="R2640"/>
      <x:c r="S2640"/>
      <x:c r="T2640"/>
      <x:c r="U2640"/>
      <x:c r="V2640"/>
      <x:c r="W2640"/>
    </x:row>
    <x:row r="2641">
      <x:c r="A2641"/>
      <x:c r="B2641"/>
      <x:c r="C2641"/>
      <x:c r="D2641"/>
      <x:c r="E2641"/>
      <x:c r="F2641"/>
      <x:c r="G2641"/>
      <x:c r="H2641"/>
      <x:c r="I2641"/>
      <x:c r="J2641"/>
      <x:c r="K2641"/>
      <x:c r="L2641"/>
      <x:c r="M2641"/>
      <x:c r="N2641"/>
      <x:c r="O2641"/>
      <x:c r="P2641"/>
      <x:c r="Q2641"/>
      <x:c r="R2641"/>
      <x:c r="S2641"/>
      <x:c r="T2641"/>
      <x:c r="U2641"/>
      <x:c r="V2641"/>
      <x:c r="W2641"/>
    </x:row>
    <x:row r="2642">
      <x:c r="A2642"/>
      <x:c r="B2642"/>
      <x:c r="C2642"/>
      <x:c r="D2642"/>
      <x:c r="E2642"/>
      <x:c r="F2642"/>
      <x:c r="G2642"/>
      <x:c r="H2642"/>
      <x:c r="I2642"/>
      <x:c r="J2642"/>
      <x:c r="K2642"/>
      <x:c r="L2642"/>
      <x:c r="M2642"/>
      <x:c r="N2642"/>
      <x:c r="O2642"/>
      <x:c r="P2642"/>
      <x:c r="Q2642"/>
      <x:c r="R2642"/>
      <x:c r="S2642"/>
      <x:c r="T2642"/>
      <x:c r="U2642"/>
      <x:c r="V2642"/>
      <x:c r="W2642"/>
    </x:row>
    <x:row r="2643">
      <x:c r="A2643"/>
      <x:c r="B2643"/>
      <x:c r="C2643"/>
      <x:c r="D2643"/>
      <x:c r="E2643"/>
      <x:c r="F2643"/>
      <x:c r="G2643"/>
      <x:c r="H2643"/>
      <x:c r="I2643"/>
      <x:c r="J2643"/>
      <x:c r="K2643"/>
      <x:c r="L2643"/>
      <x:c r="M2643"/>
      <x:c r="N2643"/>
      <x:c r="O2643"/>
      <x:c r="P2643"/>
      <x:c r="Q2643"/>
      <x:c r="R2643"/>
      <x:c r="S2643"/>
      <x:c r="T2643"/>
      <x:c r="U2643"/>
      <x:c r="V2643"/>
      <x:c r="W2643"/>
    </x:row>
    <x:row r="2644">
      <x:c r="A2644"/>
      <x:c r="B2644"/>
      <x:c r="C2644"/>
      <x:c r="D2644"/>
      <x:c r="E2644"/>
      <x:c r="F2644"/>
      <x:c r="G2644"/>
      <x:c r="H2644"/>
      <x:c r="I2644"/>
      <x:c r="J2644"/>
      <x:c r="K2644"/>
      <x:c r="L2644"/>
      <x:c r="M2644"/>
      <x:c r="N2644"/>
      <x:c r="O2644"/>
      <x:c r="P2644"/>
      <x:c r="Q2644"/>
      <x:c r="R2644"/>
      <x:c r="S2644"/>
      <x:c r="T2644"/>
      <x:c r="U2644"/>
      <x:c r="V2644"/>
      <x:c r="W2644"/>
    </x:row>
    <x:row r="2645">
      <x:c r="A2645"/>
      <x:c r="B2645"/>
      <x:c r="C2645"/>
      <x:c r="D2645"/>
      <x:c r="E2645"/>
      <x:c r="F2645"/>
      <x:c r="G2645"/>
      <x:c r="H2645"/>
      <x:c r="I2645"/>
      <x:c r="J2645"/>
      <x:c r="K2645"/>
      <x:c r="L2645"/>
      <x:c r="M2645"/>
      <x:c r="N2645"/>
      <x:c r="O2645"/>
      <x:c r="P2645"/>
      <x:c r="Q2645"/>
      <x:c r="R2645"/>
      <x:c r="S2645"/>
      <x:c r="T2645"/>
      <x:c r="U2645"/>
      <x:c r="V2645"/>
      <x:c r="W2645"/>
    </x:row>
    <x:row r="2646">
      <x:c r="A2646"/>
      <x:c r="B2646"/>
      <x:c r="C2646"/>
      <x:c r="D2646"/>
      <x:c r="E2646"/>
      <x:c r="F2646"/>
      <x:c r="G2646"/>
      <x:c r="H2646"/>
      <x:c r="I2646"/>
      <x:c r="J2646"/>
      <x:c r="K2646"/>
      <x:c r="L2646"/>
      <x:c r="M2646"/>
      <x:c r="N2646"/>
      <x:c r="O2646"/>
      <x:c r="P2646"/>
      <x:c r="Q2646"/>
      <x:c r="R2646"/>
      <x:c r="S2646"/>
      <x:c r="T2646"/>
      <x:c r="U2646"/>
      <x:c r="V2646"/>
      <x:c r="W2646"/>
    </x:row>
    <x:row r="2647">
      <x:c r="A2647"/>
      <x:c r="B2647"/>
      <x:c r="C2647"/>
      <x:c r="D2647"/>
      <x:c r="E2647"/>
      <x:c r="F2647"/>
      <x:c r="G2647"/>
      <x:c r="H2647"/>
      <x:c r="I2647"/>
      <x:c r="J2647"/>
      <x:c r="K2647"/>
      <x:c r="L2647"/>
      <x:c r="M2647"/>
      <x:c r="N2647"/>
      <x:c r="O2647"/>
      <x:c r="P2647"/>
      <x:c r="Q2647"/>
      <x:c r="R2647"/>
      <x:c r="S2647"/>
      <x:c r="T2647"/>
      <x:c r="U2647"/>
      <x:c r="V2647"/>
      <x:c r="W2647"/>
    </x:row>
    <x:row r="2648">
      <x:c r="A2648"/>
      <x:c r="B2648"/>
      <x:c r="C2648"/>
      <x:c r="D2648"/>
      <x:c r="E2648"/>
      <x:c r="F2648"/>
      <x:c r="G2648"/>
      <x:c r="H2648"/>
      <x:c r="I2648"/>
      <x:c r="J2648"/>
      <x:c r="K2648"/>
      <x:c r="L2648"/>
      <x:c r="M2648"/>
      <x:c r="N2648"/>
      <x:c r="O2648"/>
      <x:c r="P2648"/>
      <x:c r="Q2648"/>
      <x:c r="R2648"/>
      <x:c r="S2648"/>
      <x:c r="T2648"/>
      <x:c r="U2648"/>
      <x:c r="V2648"/>
      <x:c r="W2648"/>
    </x:row>
    <x:row r="2649">
      <x:c r="A2649"/>
      <x:c r="B2649"/>
      <x:c r="C2649"/>
      <x:c r="D2649"/>
      <x:c r="E2649"/>
      <x:c r="F2649"/>
      <x:c r="G2649"/>
      <x:c r="H2649"/>
      <x:c r="I2649"/>
      <x:c r="J2649"/>
      <x:c r="K2649"/>
      <x:c r="L2649"/>
      <x:c r="M2649"/>
      <x:c r="N2649"/>
      <x:c r="O2649"/>
      <x:c r="P2649"/>
      <x:c r="Q2649"/>
      <x:c r="R2649"/>
      <x:c r="S2649"/>
      <x:c r="T2649"/>
      <x:c r="U2649"/>
      <x:c r="V2649"/>
      <x:c r="W2649"/>
    </x:row>
    <x:row r="2650">
      <x:c r="A2650"/>
      <x:c r="B2650"/>
      <x:c r="C2650"/>
      <x:c r="D2650"/>
      <x:c r="E2650"/>
      <x:c r="F2650"/>
      <x:c r="G2650"/>
      <x:c r="H2650"/>
      <x:c r="I2650"/>
      <x:c r="J2650"/>
      <x:c r="K2650"/>
      <x:c r="L2650"/>
      <x:c r="M2650"/>
      <x:c r="N2650"/>
      <x:c r="O2650"/>
      <x:c r="P2650"/>
      <x:c r="Q2650"/>
      <x:c r="R2650"/>
      <x:c r="S2650"/>
      <x:c r="T2650"/>
      <x:c r="U2650"/>
      <x:c r="V2650"/>
      <x:c r="W2650"/>
    </x:row>
    <x:row r="2651">
      <x:c r="A2651"/>
      <x:c r="B2651"/>
      <x:c r="C2651"/>
      <x:c r="D2651"/>
      <x:c r="E2651"/>
      <x:c r="F2651"/>
      <x:c r="G2651"/>
      <x:c r="H2651"/>
      <x:c r="I2651"/>
      <x:c r="J2651"/>
      <x:c r="K2651"/>
      <x:c r="L2651"/>
      <x:c r="M2651"/>
      <x:c r="N2651"/>
      <x:c r="O2651"/>
      <x:c r="P2651"/>
      <x:c r="Q2651"/>
      <x:c r="R2651"/>
      <x:c r="S2651"/>
      <x:c r="T2651"/>
      <x:c r="U2651"/>
      <x:c r="V2651"/>
      <x:c r="W2651"/>
    </x:row>
    <x:row r="2652">
      <x:c r="A2652"/>
      <x:c r="B2652"/>
      <x:c r="C2652"/>
      <x:c r="D2652"/>
      <x:c r="E2652"/>
      <x:c r="F2652"/>
      <x:c r="G2652"/>
      <x:c r="H2652"/>
      <x:c r="I2652"/>
      <x:c r="J2652"/>
      <x:c r="K2652"/>
      <x:c r="L2652"/>
      <x:c r="M2652"/>
      <x:c r="N2652"/>
      <x:c r="O2652"/>
      <x:c r="P2652"/>
      <x:c r="Q2652"/>
      <x:c r="R2652"/>
      <x:c r="S2652"/>
      <x:c r="T2652"/>
      <x:c r="U2652"/>
      <x:c r="V2652"/>
      <x:c r="W2652"/>
    </x:row>
    <x:row r="2653">
      <x:c r="A2653"/>
      <x:c r="B2653"/>
      <x:c r="C2653"/>
      <x:c r="D2653"/>
      <x:c r="E2653"/>
      <x:c r="F2653"/>
      <x:c r="G2653"/>
      <x:c r="H2653"/>
      <x:c r="I2653"/>
      <x:c r="J2653"/>
      <x:c r="K2653"/>
      <x:c r="L2653"/>
      <x:c r="M2653"/>
      <x:c r="N2653"/>
      <x:c r="O2653"/>
      <x:c r="P2653"/>
      <x:c r="Q2653"/>
      <x:c r="R2653"/>
      <x:c r="S2653"/>
      <x:c r="T2653"/>
      <x:c r="U2653"/>
      <x:c r="V2653"/>
      <x:c r="W2653"/>
    </x:row>
    <x:row r="2654">
      <x:c r="A2654"/>
      <x:c r="B2654"/>
      <x:c r="C2654"/>
      <x:c r="D2654"/>
      <x:c r="E2654"/>
      <x:c r="F2654"/>
      <x:c r="G2654"/>
      <x:c r="H2654"/>
      <x:c r="I2654"/>
      <x:c r="J2654"/>
      <x:c r="K2654"/>
      <x:c r="L2654"/>
      <x:c r="M2654"/>
      <x:c r="N2654"/>
      <x:c r="O2654"/>
      <x:c r="P2654"/>
      <x:c r="Q2654"/>
      <x:c r="R2654"/>
      <x:c r="S2654"/>
      <x:c r="T2654"/>
      <x:c r="U2654"/>
      <x:c r="V2654"/>
      <x:c r="W2654"/>
    </x:row>
    <x:row r="2655">
      <x:c r="A2655"/>
      <x:c r="B2655"/>
      <x:c r="C2655"/>
      <x:c r="D2655"/>
      <x:c r="E2655"/>
      <x:c r="F2655"/>
      <x:c r="G2655"/>
      <x:c r="H2655"/>
      <x:c r="I2655"/>
      <x:c r="J2655"/>
      <x:c r="K2655"/>
      <x:c r="L2655"/>
      <x:c r="M2655"/>
      <x:c r="N2655"/>
      <x:c r="O2655"/>
      <x:c r="P2655"/>
      <x:c r="Q2655"/>
      <x:c r="R2655"/>
      <x:c r="S2655"/>
      <x:c r="T2655"/>
      <x:c r="U2655"/>
      <x:c r="V2655"/>
      <x:c r="W2655"/>
    </x:row>
    <x:row r="2656">
      <x:c r="A2656"/>
      <x:c r="B2656"/>
      <x:c r="C2656"/>
      <x:c r="D2656"/>
      <x:c r="E2656"/>
      <x:c r="F2656"/>
      <x:c r="G2656"/>
      <x:c r="H2656"/>
      <x:c r="I2656"/>
      <x:c r="J2656"/>
      <x:c r="K2656"/>
      <x:c r="L2656"/>
      <x:c r="M2656"/>
      <x:c r="N2656"/>
      <x:c r="O2656"/>
      <x:c r="P2656"/>
      <x:c r="Q2656"/>
      <x:c r="R2656"/>
      <x:c r="S2656"/>
      <x:c r="T2656"/>
      <x:c r="U2656"/>
      <x:c r="V2656"/>
      <x:c r="W2656"/>
    </x:row>
    <x:row r="2657">
      <x:c r="A2657"/>
      <x:c r="B2657"/>
      <x:c r="C2657"/>
      <x:c r="D2657"/>
      <x:c r="E2657"/>
      <x:c r="F2657"/>
      <x:c r="G2657"/>
      <x:c r="H2657"/>
      <x:c r="I2657"/>
      <x:c r="J2657"/>
      <x:c r="K2657"/>
      <x:c r="L2657"/>
      <x:c r="M2657"/>
      <x:c r="N2657"/>
      <x:c r="O2657"/>
      <x:c r="P2657"/>
      <x:c r="Q2657"/>
      <x:c r="R2657"/>
      <x:c r="S2657"/>
      <x:c r="T2657"/>
      <x:c r="U2657"/>
      <x:c r="V2657"/>
      <x:c r="W2657"/>
    </x:row>
    <x:row r="2658">
      <x:c r="A2658"/>
      <x:c r="B2658"/>
      <x:c r="C2658"/>
      <x:c r="D2658"/>
      <x:c r="E2658"/>
      <x:c r="F2658"/>
      <x:c r="G2658"/>
      <x:c r="H2658"/>
      <x:c r="I2658"/>
      <x:c r="J2658"/>
      <x:c r="K2658"/>
      <x:c r="L2658"/>
      <x:c r="M2658"/>
      <x:c r="N2658"/>
      <x:c r="O2658"/>
      <x:c r="P2658"/>
      <x:c r="Q2658"/>
      <x:c r="R2658"/>
      <x:c r="S2658"/>
      <x:c r="T2658"/>
      <x:c r="U2658"/>
      <x:c r="V2658"/>
      <x:c r="W2658"/>
    </x:row>
    <x:row r="2659">
      <x:c r="A2659"/>
      <x:c r="B2659"/>
      <x:c r="C2659"/>
      <x:c r="D2659"/>
      <x:c r="E2659"/>
      <x:c r="F2659"/>
      <x:c r="G2659"/>
      <x:c r="H2659"/>
      <x:c r="I2659"/>
      <x:c r="J2659"/>
      <x:c r="K2659"/>
      <x:c r="L2659"/>
      <x:c r="M2659"/>
      <x:c r="N2659"/>
      <x:c r="O2659"/>
      <x:c r="P2659"/>
      <x:c r="Q2659"/>
      <x:c r="R2659"/>
      <x:c r="S2659"/>
      <x:c r="T2659"/>
      <x:c r="U2659"/>
      <x:c r="V2659"/>
      <x:c r="W2659"/>
    </x:row>
    <x:row r="2660">
      <x:c r="A2660"/>
      <x:c r="B2660"/>
      <x:c r="C2660"/>
      <x:c r="D2660"/>
      <x:c r="E2660"/>
      <x:c r="F2660"/>
      <x:c r="G2660"/>
      <x:c r="H2660"/>
      <x:c r="I2660"/>
      <x:c r="J2660"/>
      <x:c r="K2660"/>
      <x:c r="L2660"/>
      <x:c r="M2660"/>
      <x:c r="N2660"/>
      <x:c r="O2660"/>
      <x:c r="P2660"/>
      <x:c r="Q2660"/>
      <x:c r="R2660"/>
      <x:c r="S2660"/>
      <x:c r="T2660"/>
      <x:c r="U2660"/>
      <x:c r="V2660"/>
      <x:c r="W2660"/>
    </x:row>
    <x:row r="2661">
      <x:c r="A2661"/>
      <x:c r="B2661"/>
      <x:c r="C2661"/>
      <x:c r="D2661"/>
      <x:c r="E2661"/>
      <x:c r="F2661"/>
      <x:c r="G2661"/>
      <x:c r="H2661"/>
      <x:c r="I2661"/>
      <x:c r="J2661"/>
      <x:c r="K2661"/>
      <x:c r="L2661"/>
      <x:c r="M2661"/>
      <x:c r="N2661"/>
      <x:c r="O2661"/>
      <x:c r="P2661"/>
      <x:c r="Q2661"/>
      <x:c r="R2661"/>
      <x:c r="S2661"/>
      <x:c r="T2661"/>
      <x:c r="U2661"/>
      <x:c r="V2661"/>
      <x:c r="W2661"/>
    </x:row>
    <x:row r="2662">
      <x:c r="A2662"/>
      <x:c r="B2662"/>
      <x:c r="C2662"/>
      <x:c r="D2662"/>
      <x:c r="E2662"/>
      <x:c r="F2662"/>
      <x:c r="G2662"/>
      <x:c r="H2662"/>
      <x:c r="I2662"/>
      <x:c r="J2662"/>
      <x:c r="K2662"/>
      <x:c r="L2662"/>
      <x:c r="M2662"/>
      <x:c r="N2662"/>
      <x:c r="O2662"/>
      <x:c r="P2662"/>
      <x:c r="Q2662"/>
      <x:c r="R2662"/>
      <x:c r="S2662"/>
      <x:c r="T2662"/>
      <x:c r="U2662"/>
      <x:c r="V2662"/>
      <x:c r="W2662"/>
    </x:row>
    <x:row r="2663">
      <x:c r="A2663"/>
      <x:c r="B2663"/>
      <x:c r="C2663"/>
      <x:c r="D2663"/>
      <x:c r="E2663"/>
      <x:c r="F2663"/>
      <x:c r="G2663"/>
      <x:c r="H2663"/>
      <x:c r="I2663"/>
      <x:c r="J2663"/>
      <x:c r="K2663"/>
      <x:c r="L2663"/>
      <x:c r="M2663"/>
      <x:c r="N2663"/>
      <x:c r="O2663"/>
      <x:c r="P2663"/>
      <x:c r="Q2663"/>
      <x:c r="R2663"/>
      <x:c r="S2663"/>
      <x:c r="T2663"/>
      <x:c r="U2663"/>
      <x:c r="V2663"/>
      <x:c r="W2663"/>
    </x:row>
    <x:row r="2664">
      <x:c r="A2664"/>
      <x:c r="B2664"/>
      <x:c r="C2664"/>
      <x:c r="D2664"/>
      <x:c r="E2664"/>
      <x:c r="F2664"/>
      <x:c r="G2664"/>
      <x:c r="H2664"/>
      <x:c r="I2664"/>
      <x:c r="J2664"/>
      <x:c r="K2664"/>
      <x:c r="L2664"/>
      <x:c r="M2664"/>
      <x:c r="N2664"/>
      <x:c r="O2664"/>
      <x:c r="P2664"/>
      <x:c r="Q2664"/>
      <x:c r="R2664"/>
      <x:c r="S2664"/>
      <x:c r="T2664"/>
      <x:c r="U2664"/>
      <x:c r="V2664"/>
      <x:c r="W2664"/>
    </x:row>
    <x:row r="2665">
      <x:c r="A2665"/>
      <x:c r="B2665"/>
      <x:c r="C2665"/>
      <x:c r="D2665"/>
      <x:c r="E2665"/>
      <x:c r="F2665"/>
      <x:c r="G2665"/>
      <x:c r="H2665"/>
      <x:c r="I2665"/>
      <x:c r="J2665"/>
      <x:c r="K2665"/>
      <x:c r="L2665"/>
      <x:c r="M2665"/>
      <x:c r="N2665"/>
      <x:c r="O2665"/>
      <x:c r="P2665"/>
      <x:c r="Q2665"/>
      <x:c r="R2665"/>
      <x:c r="S2665"/>
      <x:c r="T2665"/>
      <x:c r="U2665"/>
      <x:c r="V2665"/>
      <x:c r="W2665"/>
    </x:row>
    <x:row r="2666">
      <x:c r="A2666"/>
      <x:c r="B2666"/>
      <x:c r="C2666"/>
      <x:c r="D2666"/>
      <x:c r="E2666"/>
      <x:c r="F2666"/>
      <x:c r="G2666"/>
      <x:c r="H2666"/>
      <x:c r="I2666"/>
      <x:c r="J2666"/>
      <x:c r="K2666"/>
      <x:c r="L2666"/>
      <x:c r="M2666"/>
      <x:c r="N2666"/>
      <x:c r="O2666"/>
      <x:c r="P2666"/>
      <x:c r="Q2666"/>
      <x:c r="R2666"/>
      <x:c r="S2666"/>
      <x:c r="T2666"/>
      <x:c r="U2666"/>
      <x:c r="V2666"/>
      <x:c r="W2666"/>
    </x:row>
    <x:row r="2667">
      <x:c r="A2667"/>
      <x:c r="B2667"/>
      <x:c r="C2667"/>
      <x:c r="D2667"/>
      <x:c r="E2667"/>
      <x:c r="F2667"/>
      <x:c r="G2667"/>
      <x:c r="H2667"/>
      <x:c r="I2667"/>
      <x:c r="J2667"/>
      <x:c r="K2667"/>
      <x:c r="L2667"/>
      <x:c r="M2667"/>
      <x:c r="N2667"/>
      <x:c r="O2667"/>
      <x:c r="P2667"/>
      <x:c r="Q2667"/>
      <x:c r="R2667"/>
      <x:c r="S2667"/>
      <x:c r="T2667"/>
      <x:c r="U2667"/>
      <x:c r="V2667"/>
      <x:c r="W2667"/>
    </x:row>
    <x:row r="2668">
      <x:c r="A2668"/>
      <x:c r="B2668"/>
      <x:c r="C2668"/>
      <x:c r="D2668"/>
      <x:c r="E2668"/>
      <x:c r="F2668"/>
      <x:c r="G2668"/>
      <x:c r="H2668"/>
      <x:c r="I2668"/>
      <x:c r="J2668"/>
      <x:c r="K2668"/>
      <x:c r="L2668"/>
      <x:c r="M2668"/>
      <x:c r="N2668"/>
      <x:c r="O2668"/>
      <x:c r="P2668"/>
      <x:c r="Q2668"/>
      <x:c r="R2668"/>
      <x:c r="S2668"/>
      <x:c r="T2668"/>
      <x:c r="U2668"/>
      <x:c r="V2668"/>
      <x:c r="W2668"/>
    </x:row>
    <x:row r="2669">
      <x:c r="A2669"/>
      <x:c r="B2669"/>
      <x:c r="C2669"/>
      <x:c r="D2669"/>
      <x:c r="E2669"/>
      <x:c r="F2669"/>
      <x:c r="G2669"/>
      <x:c r="H2669"/>
      <x:c r="I2669"/>
      <x:c r="J2669"/>
      <x:c r="K2669"/>
      <x:c r="L2669"/>
      <x:c r="M2669"/>
      <x:c r="N2669"/>
      <x:c r="O2669"/>
      <x:c r="P2669"/>
      <x:c r="Q2669"/>
      <x:c r="R2669"/>
      <x:c r="S2669"/>
      <x:c r="T2669"/>
      <x:c r="U2669"/>
      <x:c r="V2669"/>
      <x:c r="W2669"/>
    </x:row>
    <x:row r="2670">
      <x:c r="A2670"/>
      <x:c r="B2670"/>
      <x:c r="C2670"/>
      <x:c r="D2670"/>
      <x:c r="E2670"/>
      <x:c r="F2670"/>
      <x:c r="G2670"/>
      <x:c r="H2670"/>
      <x:c r="I2670"/>
      <x:c r="J2670"/>
      <x:c r="K2670"/>
      <x:c r="L2670"/>
      <x:c r="M2670"/>
      <x:c r="N2670"/>
      <x:c r="O2670"/>
      <x:c r="P2670"/>
      <x:c r="Q2670"/>
      <x:c r="R2670"/>
      <x:c r="S2670"/>
      <x:c r="T2670"/>
      <x:c r="U2670"/>
      <x:c r="V2670"/>
      <x:c r="W2670"/>
    </x:row>
    <x:row r="2671">
      <x:c r="A2671"/>
      <x:c r="B2671"/>
      <x:c r="C2671"/>
      <x:c r="D2671"/>
      <x:c r="E2671"/>
      <x:c r="F2671"/>
      <x:c r="G2671"/>
      <x:c r="H2671"/>
      <x:c r="I2671"/>
      <x:c r="J2671"/>
      <x:c r="K2671"/>
      <x:c r="L2671"/>
      <x:c r="M2671"/>
      <x:c r="N2671"/>
      <x:c r="O2671"/>
      <x:c r="P2671"/>
      <x:c r="Q2671"/>
      <x:c r="R2671"/>
      <x:c r="S2671"/>
      <x:c r="T2671"/>
      <x:c r="U2671"/>
      <x:c r="V2671"/>
      <x:c r="W2671"/>
    </x:row>
    <x:row r="2672">
      <x:c r="A2672"/>
      <x:c r="B2672"/>
      <x:c r="C2672"/>
      <x:c r="D2672"/>
      <x:c r="E2672"/>
      <x:c r="F2672"/>
      <x:c r="G2672"/>
      <x:c r="H2672"/>
      <x:c r="I2672"/>
      <x:c r="J2672"/>
      <x:c r="K2672"/>
      <x:c r="L2672"/>
      <x:c r="M2672"/>
      <x:c r="N2672"/>
      <x:c r="O2672"/>
      <x:c r="P2672"/>
      <x:c r="Q2672"/>
      <x:c r="R2672"/>
      <x:c r="S2672"/>
      <x:c r="T2672"/>
      <x:c r="U2672"/>
      <x:c r="V2672"/>
      <x:c r="W2672"/>
    </x:row>
    <x:row r="2673">
      <x:c r="A2673"/>
      <x:c r="B2673"/>
      <x:c r="C2673"/>
      <x:c r="D2673"/>
      <x:c r="E2673"/>
      <x:c r="F2673"/>
      <x:c r="G2673"/>
      <x:c r="H2673"/>
      <x:c r="I2673"/>
      <x:c r="J2673"/>
      <x:c r="K2673"/>
      <x:c r="L2673"/>
      <x:c r="M2673"/>
      <x:c r="N2673"/>
      <x:c r="O2673"/>
      <x:c r="P2673"/>
      <x:c r="Q2673"/>
      <x:c r="R2673"/>
      <x:c r="S2673"/>
      <x:c r="T2673"/>
      <x:c r="U2673"/>
      <x:c r="V2673"/>
      <x:c r="W2673"/>
    </x:row>
    <x:row r="2674">
      <x:c r="A2674"/>
      <x:c r="B2674"/>
      <x:c r="C2674"/>
      <x:c r="D2674"/>
      <x:c r="E2674"/>
      <x:c r="F2674"/>
      <x:c r="G2674"/>
      <x:c r="H2674"/>
      <x:c r="I2674"/>
      <x:c r="J2674"/>
      <x:c r="K2674"/>
      <x:c r="L2674"/>
      <x:c r="M2674"/>
      <x:c r="N2674"/>
      <x:c r="O2674"/>
      <x:c r="P2674"/>
      <x:c r="Q2674"/>
      <x:c r="R2674"/>
      <x:c r="S2674"/>
      <x:c r="T2674"/>
      <x:c r="U2674"/>
      <x:c r="V2674"/>
      <x:c r="W2674"/>
    </x:row>
    <x:row r="2675">
      <x:c r="A2675"/>
      <x:c r="B2675"/>
      <x:c r="C2675"/>
      <x:c r="D2675"/>
      <x:c r="E2675"/>
      <x:c r="F2675"/>
      <x:c r="G2675"/>
      <x:c r="H2675"/>
      <x:c r="I2675"/>
      <x:c r="J2675"/>
      <x:c r="K2675"/>
      <x:c r="L2675"/>
      <x:c r="M2675"/>
      <x:c r="N2675"/>
      <x:c r="O2675"/>
      <x:c r="P2675"/>
      <x:c r="Q2675"/>
      <x:c r="R2675"/>
      <x:c r="S2675"/>
      <x:c r="T2675"/>
      <x:c r="U2675"/>
      <x:c r="V2675"/>
      <x:c r="W2675"/>
    </x:row>
    <x:row r="2676">
      <x:c r="A2676"/>
      <x:c r="B2676"/>
      <x:c r="C2676"/>
      <x:c r="D2676"/>
      <x:c r="E2676"/>
      <x:c r="F2676"/>
      <x:c r="G2676"/>
      <x:c r="H2676"/>
      <x:c r="I2676"/>
      <x:c r="J2676"/>
      <x:c r="K2676"/>
      <x:c r="L2676"/>
      <x:c r="M2676"/>
      <x:c r="N2676"/>
      <x:c r="O2676"/>
      <x:c r="P2676"/>
      <x:c r="Q2676"/>
      <x:c r="R2676"/>
      <x:c r="S2676"/>
      <x:c r="T2676"/>
      <x:c r="U2676"/>
      <x:c r="V2676"/>
      <x:c r="W2676"/>
    </x:row>
    <x:row r="2677">
      <x:c r="A2677"/>
      <x:c r="B2677"/>
      <x:c r="C2677"/>
      <x:c r="D2677"/>
      <x:c r="E2677"/>
      <x:c r="F2677"/>
      <x:c r="G2677"/>
      <x:c r="H2677"/>
      <x:c r="I2677"/>
      <x:c r="J2677"/>
      <x:c r="K2677"/>
      <x:c r="L2677"/>
      <x:c r="M2677"/>
      <x:c r="N2677"/>
      <x:c r="O2677"/>
      <x:c r="P2677"/>
      <x:c r="Q2677"/>
      <x:c r="R2677"/>
      <x:c r="S2677"/>
      <x:c r="T2677"/>
      <x:c r="U2677"/>
      <x:c r="V2677"/>
      <x:c r="W2677"/>
    </x:row>
    <x:row r="2678">
      <x:c r="A2678"/>
      <x:c r="B2678"/>
      <x:c r="C2678"/>
      <x:c r="D2678"/>
      <x:c r="E2678"/>
      <x:c r="F2678"/>
      <x:c r="G2678"/>
      <x:c r="H2678"/>
      <x:c r="I2678"/>
      <x:c r="J2678"/>
      <x:c r="K2678"/>
      <x:c r="L2678"/>
      <x:c r="M2678"/>
      <x:c r="N2678"/>
      <x:c r="O2678"/>
      <x:c r="P2678"/>
      <x:c r="Q2678"/>
      <x:c r="R2678"/>
      <x:c r="S2678"/>
      <x:c r="T2678"/>
      <x:c r="U2678"/>
      <x:c r="V2678"/>
      <x:c r="W2678"/>
    </x:row>
    <x:row r="2679">
      <x:c r="A2679"/>
      <x:c r="B2679"/>
      <x:c r="C2679"/>
      <x:c r="D2679"/>
      <x:c r="E2679"/>
      <x:c r="F2679"/>
      <x:c r="G2679"/>
      <x:c r="H2679"/>
      <x:c r="I2679"/>
      <x:c r="J2679"/>
      <x:c r="K2679"/>
      <x:c r="L2679"/>
      <x:c r="M2679"/>
      <x:c r="N2679"/>
      <x:c r="O2679"/>
      <x:c r="P2679"/>
      <x:c r="Q2679"/>
      <x:c r="R2679"/>
      <x:c r="S2679"/>
      <x:c r="T2679"/>
      <x:c r="U2679"/>
      <x:c r="V2679"/>
      <x:c r="W2679"/>
    </x:row>
    <x:row r="2680">
      <x:c r="A2680"/>
      <x:c r="B2680"/>
      <x:c r="C2680"/>
      <x:c r="D2680"/>
      <x:c r="E2680"/>
      <x:c r="F2680"/>
      <x:c r="G2680"/>
      <x:c r="H2680"/>
      <x:c r="I2680"/>
      <x:c r="J2680"/>
      <x:c r="K2680"/>
      <x:c r="L2680"/>
      <x:c r="M2680"/>
      <x:c r="N2680"/>
      <x:c r="O2680"/>
      <x:c r="P2680"/>
      <x:c r="Q2680"/>
      <x:c r="R2680"/>
      <x:c r="S2680"/>
      <x:c r="T2680"/>
      <x:c r="U2680"/>
      <x:c r="V2680"/>
      <x:c r="W2680"/>
    </x:row>
    <x:row r="2681">
      <x:c r="A2681"/>
      <x:c r="B2681"/>
      <x:c r="C2681"/>
      <x:c r="D2681"/>
      <x:c r="E2681"/>
      <x:c r="F2681"/>
      <x:c r="G2681"/>
      <x:c r="H2681"/>
      <x:c r="I2681"/>
      <x:c r="J2681"/>
      <x:c r="K2681"/>
      <x:c r="L2681"/>
      <x:c r="M2681"/>
      <x:c r="N2681"/>
      <x:c r="O2681"/>
      <x:c r="P2681"/>
      <x:c r="Q2681"/>
      <x:c r="R2681"/>
      <x:c r="S2681"/>
      <x:c r="T2681"/>
      <x:c r="U2681"/>
      <x:c r="V2681"/>
      <x:c r="W2681"/>
    </x:row>
    <x:row r="2682">
      <x:c r="A2682"/>
      <x:c r="B2682"/>
      <x:c r="C2682"/>
      <x:c r="D2682"/>
      <x:c r="E2682"/>
      <x:c r="F2682"/>
      <x:c r="G2682"/>
      <x:c r="H2682"/>
      <x:c r="I2682"/>
      <x:c r="J2682"/>
      <x:c r="K2682"/>
      <x:c r="L2682"/>
      <x:c r="M2682"/>
      <x:c r="N2682"/>
      <x:c r="O2682"/>
      <x:c r="P2682"/>
      <x:c r="Q2682"/>
      <x:c r="R2682"/>
      <x:c r="S2682"/>
      <x:c r="T2682"/>
      <x:c r="U2682"/>
      <x:c r="V2682"/>
      <x:c r="W2682"/>
    </x:row>
    <x:row r="2683">
      <x:c r="A2683"/>
      <x:c r="B2683"/>
      <x:c r="C2683"/>
      <x:c r="D2683"/>
      <x:c r="E2683"/>
      <x:c r="F2683"/>
      <x:c r="G2683"/>
      <x:c r="H2683"/>
      <x:c r="I2683"/>
      <x:c r="J2683"/>
      <x:c r="K2683"/>
      <x:c r="L2683"/>
      <x:c r="M2683"/>
      <x:c r="N2683"/>
      <x:c r="O2683"/>
      <x:c r="P2683"/>
      <x:c r="Q2683"/>
      <x:c r="R2683"/>
      <x:c r="S2683"/>
      <x:c r="T2683"/>
      <x:c r="U2683"/>
      <x:c r="V2683"/>
      <x:c r="W2683"/>
    </x:row>
    <x:row r="2684">
      <x:c r="A2684"/>
      <x:c r="B2684"/>
      <x:c r="C2684"/>
      <x:c r="D2684"/>
      <x:c r="E2684"/>
      <x:c r="F2684"/>
      <x:c r="G2684"/>
      <x:c r="H2684"/>
      <x:c r="I2684"/>
      <x:c r="J2684"/>
      <x:c r="K2684"/>
      <x:c r="L2684"/>
      <x:c r="M2684"/>
      <x:c r="N2684"/>
      <x:c r="O2684"/>
      <x:c r="P2684"/>
      <x:c r="Q2684"/>
      <x:c r="R2684"/>
      <x:c r="S2684"/>
      <x:c r="T2684"/>
      <x:c r="U2684"/>
      <x:c r="V2684"/>
      <x:c r="W2684"/>
    </x:row>
    <x:row r="2685">
      <x:c r="A2685"/>
      <x:c r="B2685"/>
      <x:c r="C2685"/>
      <x:c r="D2685"/>
      <x:c r="E2685"/>
      <x:c r="F2685"/>
      <x:c r="G2685"/>
      <x:c r="H2685"/>
      <x:c r="I2685"/>
      <x:c r="J2685"/>
      <x:c r="K2685"/>
      <x:c r="L2685"/>
      <x:c r="M2685"/>
      <x:c r="N2685"/>
      <x:c r="O2685"/>
      <x:c r="P2685"/>
      <x:c r="Q2685"/>
      <x:c r="R2685"/>
      <x:c r="S2685"/>
      <x:c r="T2685"/>
      <x:c r="U2685"/>
      <x:c r="V2685"/>
      <x:c r="W2685"/>
    </x:row>
    <x:row r="2686">
      <x:c r="A2686"/>
      <x:c r="B2686"/>
      <x:c r="C2686"/>
      <x:c r="D2686"/>
      <x:c r="E2686"/>
      <x:c r="F2686"/>
      <x:c r="G2686"/>
      <x:c r="H2686"/>
      <x:c r="I2686"/>
      <x:c r="J2686"/>
      <x:c r="K2686"/>
      <x:c r="L2686"/>
      <x:c r="M2686"/>
      <x:c r="N2686"/>
      <x:c r="O2686"/>
      <x:c r="P2686"/>
      <x:c r="Q2686"/>
      <x:c r="R2686"/>
      <x:c r="S2686"/>
      <x:c r="T2686"/>
      <x:c r="U2686"/>
      <x:c r="V2686"/>
      <x:c r="W2686"/>
    </x:row>
    <x:row r="2687">
      <x:c r="A2687"/>
      <x:c r="B2687"/>
      <x:c r="C2687"/>
      <x:c r="D2687"/>
      <x:c r="E2687"/>
      <x:c r="F2687"/>
      <x:c r="G2687"/>
      <x:c r="H2687"/>
      <x:c r="I2687"/>
      <x:c r="J2687"/>
      <x:c r="K2687"/>
      <x:c r="L2687"/>
      <x:c r="M2687"/>
      <x:c r="N2687"/>
      <x:c r="O2687"/>
      <x:c r="P2687"/>
      <x:c r="Q2687"/>
      <x:c r="R2687"/>
      <x:c r="S2687"/>
      <x:c r="T2687"/>
      <x:c r="U2687"/>
      <x:c r="V2687"/>
      <x:c r="W2687"/>
    </x:row>
    <x:row r="2688">
      <x:c r="A2688"/>
      <x:c r="B2688"/>
      <x:c r="C2688"/>
      <x:c r="D2688"/>
      <x:c r="E2688"/>
      <x:c r="F2688"/>
      <x:c r="G2688"/>
      <x:c r="H2688"/>
      <x:c r="I2688"/>
      <x:c r="J2688"/>
      <x:c r="K2688"/>
      <x:c r="L2688"/>
      <x:c r="M2688"/>
      <x:c r="N2688"/>
      <x:c r="O2688"/>
      <x:c r="P2688"/>
      <x:c r="Q2688"/>
      <x:c r="R2688"/>
      <x:c r="S2688"/>
      <x:c r="T2688"/>
      <x:c r="U2688"/>
      <x:c r="V2688"/>
      <x:c r="W2688"/>
    </x:row>
    <x:row r="2689">
      <x:c r="A2689"/>
      <x:c r="B2689"/>
      <x:c r="C2689"/>
      <x:c r="D2689"/>
      <x:c r="E2689"/>
      <x:c r="F2689"/>
      <x:c r="G2689"/>
      <x:c r="H2689"/>
      <x:c r="I2689"/>
      <x:c r="J2689"/>
      <x:c r="K2689"/>
      <x:c r="L2689"/>
      <x:c r="M2689"/>
      <x:c r="N2689"/>
      <x:c r="O2689"/>
      <x:c r="P2689"/>
      <x:c r="Q2689"/>
      <x:c r="R2689"/>
      <x:c r="S2689"/>
      <x:c r="T2689"/>
      <x:c r="U2689"/>
      <x:c r="V2689"/>
      <x:c r="W2689"/>
    </x:row>
    <x:row r="2690">
      <x:c r="A2690"/>
      <x:c r="B2690"/>
      <x:c r="C2690"/>
      <x:c r="D2690"/>
      <x:c r="E2690"/>
      <x:c r="F2690"/>
      <x:c r="G2690"/>
      <x:c r="H2690"/>
      <x:c r="I2690"/>
      <x:c r="J2690"/>
      <x:c r="K2690"/>
      <x:c r="L2690"/>
      <x:c r="M2690"/>
      <x:c r="N2690"/>
      <x:c r="O2690"/>
      <x:c r="P2690"/>
      <x:c r="Q2690"/>
      <x:c r="R2690"/>
      <x:c r="S2690"/>
      <x:c r="T2690"/>
      <x:c r="U2690"/>
      <x:c r="V2690"/>
      <x:c r="W2690"/>
    </x:row>
    <x:row r="2691">
      <x:c r="A2691"/>
      <x:c r="B2691"/>
      <x:c r="C2691"/>
      <x:c r="D2691"/>
      <x:c r="E2691"/>
      <x:c r="F2691"/>
      <x:c r="G2691"/>
      <x:c r="H2691"/>
      <x:c r="I2691"/>
      <x:c r="J2691"/>
      <x:c r="K2691"/>
      <x:c r="L2691"/>
      <x:c r="M2691"/>
      <x:c r="N2691"/>
      <x:c r="O2691"/>
      <x:c r="P2691"/>
      <x:c r="Q2691"/>
      <x:c r="R2691"/>
      <x:c r="S2691"/>
      <x:c r="T2691"/>
      <x:c r="U2691"/>
      <x:c r="V2691"/>
      <x:c r="W2691"/>
    </x:row>
    <x:row r="2692">
      <x:c r="A2692"/>
      <x:c r="B2692"/>
      <x:c r="C2692"/>
      <x:c r="D2692"/>
      <x:c r="E2692"/>
      <x:c r="F2692"/>
      <x:c r="G2692"/>
      <x:c r="H2692"/>
      <x:c r="I2692"/>
      <x:c r="J2692"/>
      <x:c r="K2692"/>
      <x:c r="L2692"/>
      <x:c r="M2692"/>
      <x:c r="N2692"/>
      <x:c r="O2692"/>
      <x:c r="P2692"/>
      <x:c r="Q2692"/>
      <x:c r="R2692"/>
      <x:c r="S2692"/>
      <x:c r="T2692"/>
      <x:c r="U2692"/>
      <x:c r="V2692"/>
      <x:c r="W2692"/>
    </x:row>
    <x:row r="2693">
      <x:c r="A2693"/>
      <x:c r="B2693"/>
      <x:c r="C2693"/>
      <x:c r="D2693"/>
      <x:c r="E2693"/>
      <x:c r="F2693"/>
      <x:c r="G2693"/>
      <x:c r="H2693"/>
      <x:c r="I2693"/>
      <x:c r="J2693"/>
      <x:c r="K2693"/>
      <x:c r="L2693"/>
      <x:c r="M2693"/>
      <x:c r="N2693"/>
      <x:c r="O2693"/>
      <x:c r="P2693"/>
      <x:c r="Q2693"/>
      <x:c r="R2693"/>
      <x:c r="S2693"/>
      <x:c r="T2693"/>
      <x:c r="U2693"/>
      <x:c r="V2693"/>
      <x:c r="W2693"/>
    </x:row>
    <x:row r="2694">
      <x:c r="A2694"/>
      <x:c r="B2694"/>
      <x:c r="C2694"/>
      <x:c r="D2694"/>
      <x:c r="E2694"/>
      <x:c r="F2694"/>
      <x:c r="G2694"/>
      <x:c r="H2694"/>
      <x:c r="I2694"/>
      <x:c r="J2694"/>
      <x:c r="K2694"/>
      <x:c r="L2694"/>
      <x:c r="M2694"/>
      <x:c r="N2694"/>
      <x:c r="O2694"/>
      <x:c r="P2694"/>
      <x:c r="Q2694"/>
      <x:c r="R2694"/>
      <x:c r="S2694"/>
      <x:c r="T2694"/>
      <x:c r="U2694"/>
      <x:c r="V2694"/>
      <x:c r="W2694"/>
    </x:row>
    <x:row r="2695">
      <x:c r="A2695"/>
      <x:c r="B2695"/>
      <x:c r="C2695"/>
      <x:c r="D2695"/>
      <x:c r="E2695"/>
      <x:c r="F2695"/>
      <x:c r="G2695"/>
      <x:c r="H2695"/>
      <x:c r="I2695"/>
      <x:c r="J2695"/>
      <x:c r="K2695"/>
      <x:c r="L2695"/>
      <x:c r="M2695"/>
      <x:c r="N2695"/>
      <x:c r="O2695"/>
      <x:c r="P2695"/>
      <x:c r="Q2695"/>
      <x:c r="R2695"/>
      <x:c r="S2695"/>
      <x:c r="T2695"/>
      <x:c r="U2695"/>
      <x:c r="V2695"/>
      <x:c r="W2695"/>
    </x:row>
    <x:row r="2696">
      <x:c r="A2696"/>
      <x:c r="B2696"/>
      <x:c r="C2696"/>
      <x:c r="D2696"/>
      <x:c r="E2696"/>
      <x:c r="F2696"/>
      <x:c r="G2696"/>
      <x:c r="H2696"/>
      <x:c r="I2696"/>
      <x:c r="J2696"/>
      <x:c r="K2696"/>
      <x:c r="L2696"/>
      <x:c r="M2696"/>
      <x:c r="N2696"/>
      <x:c r="O2696"/>
      <x:c r="P2696"/>
      <x:c r="Q2696"/>
      <x:c r="R2696"/>
      <x:c r="S2696"/>
      <x:c r="T2696"/>
      <x:c r="U2696"/>
      <x:c r="V2696"/>
      <x:c r="W2696"/>
    </x:row>
    <x:row r="2697">
      <x:c r="A2697"/>
      <x:c r="B2697"/>
      <x:c r="C2697"/>
      <x:c r="D2697"/>
      <x:c r="E2697"/>
      <x:c r="F2697"/>
      <x:c r="G2697"/>
      <x:c r="H2697"/>
      <x:c r="I2697"/>
      <x:c r="J2697"/>
      <x:c r="K2697"/>
      <x:c r="L2697"/>
      <x:c r="M2697"/>
      <x:c r="N2697"/>
      <x:c r="O2697"/>
      <x:c r="P2697"/>
      <x:c r="Q2697"/>
      <x:c r="R2697"/>
      <x:c r="S2697"/>
      <x:c r="T2697"/>
      <x:c r="U2697"/>
      <x:c r="V2697"/>
      <x:c r="W2697"/>
    </x:row>
    <x:row r="2698">
      <x:c r="A2698"/>
      <x:c r="B2698"/>
      <x:c r="C2698"/>
      <x:c r="D2698"/>
      <x:c r="E2698"/>
      <x:c r="F2698"/>
      <x:c r="G2698"/>
      <x:c r="H2698"/>
      <x:c r="I2698"/>
      <x:c r="J2698"/>
      <x:c r="K2698"/>
      <x:c r="L2698"/>
      <x:c r="M2698"/>
      <x:c r="N2698"/>
      <x:c r="O2698"/>
      <x:c r="P2698"/>
      <x:c r="Q2698"/>
      <x:c r="R2698"/>
      <x:c r="S2698"/>
      <x:c r="T2698"/>
      <x:c r="U2698"/>
      <x:c r="V2698"/>
      <x:c r="W2698"/>
    </x:row>
    <x:row r="2699">
      <x:c r="A2699"/>
      <x:c r="B2699"/>
      <x:c r="C2699"/>
      <x:c r="D2699"/>
      <x:c r="E2699"/>
      <x:c r="F2699"/>
      <x:c r="G2699"/>
      <x:c r="H2699"/>
      <x:c r="I2699"/>
      <x:c r="J2699"/>
      <x:c r="K2699"/>
      <x:c r="L2699"/>
      <x:c r="M2699"/>
      <x:c r="N2699"/>
      <x:c r="O2699"/>
      <x:c r="P2699"/>
      <x:c r="Q2699"/>
      <x:c r="R2699"/>
      <x:c r="S2699"/>
      <x:c r="T2699"/>
      <x:c r="U2699"/>
      <x:c r="V2699"/>
      <x:c r="W2699"/>
    </x:row>
    <x:row r="2700">
      <x:c r="A2700"/>
      <x:c r="B2700"/>
      <x:c r="C2700"/>
      <x:c r="D2700"/>
      <x:c r="E2700"/>
      <x:c r="F2700"/>
      <x:c r="G2700"/>
      <x:c r="H2700"/>
      <x:c r="I2700"/>
      <x:c r="J2700"/>
      <x:c r="K2700"/>
      <x:c r="L2700"/>
      <x:c r="M2700"/>
      <x:c r="N2700"/>
      <x:c r="O2700"/>
      <x:c r="P2700"/>
      <x:c r="Q2700"/>
      <x:c r="R2700"/>
      <x:c r="S2700"/>
      <x:c r="T2700"/>
      <x:c r="U2700"/>
      <x:c r="V2700"/>
      <x:c r="W2700"/>
    </x:row>
    <x:row r="2701">
      <x:c r="A2701"/>
      <x:c r="B2701"/>
      <x:c r="C2701"/>
      <x:c r="D2701"/>
      <x:c r="E2701"/>
      <x:c r="F2701"/>
      <x:c r="G2701"/>
      <x:c r="H2701"/>
      <x:c r="I2701"/>
      <x:c r="J2701"/>
      <x:c r="K2701"/>
      <x:c r="L2701"/>
      <x:c r="M2701"/>
      <x:c r="N2701"/>
      <x:c r="O2701"/>
      <x:c r="P2701"/>
      <x:c r="Q2701"/>
      <x:c r="R2701"/>
      <x:c r="S2701"/>
      <x:c r="T2701"/>
      <x:c r="U2701"/>
      <x:c r="V2701"/>
      <x:c r="W2701"/>
    </x:row>
    <x:row r="2702">
      <x:c r="A2702"/>
      <x:c r="B2702"/>
      <x:c r="C2702"/>
      <x:c r="D2702"/>
      <x:c r="E2702"/>
      <x:c r="F2702"/>
      <x:c r="G2702"/>
      <x:c r="H2702"/>
      <x:c r="I2702"/>
      <x:c r="J2702"/>
      <x:c r="K2702"/>
      <x:c r="L2702"/>
      <x:c r="M2702"/>
      <x:c r="N2702"/>
      <x:c r="O2702"/>
      <x:c r="P2702"/>
      <x:c r="Q2702"/>
      <x:c r="R2702"/>
      <x:c r="S2702"/>
      <x:c r="T2702"/>
      <x:c r="U2702"/>
      <x:c r="V2702"/>
      <x:c r="W2702"/>
    </x:row>
    <x:row r="2703">
      <x:c r="A2703"/>
      <x:c r="B2703"/>
      <x:c r="C2703"/>
      <x:c r="D2703"/>
      <x:c r="E2703"/>
      <x:c r="F2703"/>
      <x:c r="G2703"/>
      <x:c r="H2703"/>
      <x:c r="I2703"/>
      <x:c r="J2703"/>
      <x:c r="K2703"/>
      <x:c r="L2703"/>
      <x:c r="M2703"/>
      <x:c r="N2703"/>
      <x:c r="O2703"/>
      <x:c r="P2703"/>
      <x:c r="Q2703"/>
      <x:c r="R2703"/>
      <x:c r="S2703"/>
      <x:c r="T2703"/>
      <x:c r="U2703"/>
      <x:c r="V2703"/>
      <x:c r="W2703"/>
    </x:row>
    <x:row r="2704">
      <x:c r="A2704"/>
      <x:c r="B2704"/>
      <x:c r="C2704"/>
      <x:c r="D2704"/>
      <x:c r="E2704"/>
      <x:c r="F2704"/>
      <x:c r="G2704"/>
      <x:c r="H2704"/>
      <x:c r="I2704"/>
      <x:c r="J2704"/>
      <x:c r="K2704"/>
      <x:c r="L2704"/>
      <x:c r="M2704"/>
      <x:c r="N2704"/>
      <x:c r="O2704"/>
      <x:c r="P2704"/>
      <x:c r="Q2704"/>
      <x:c r="R2704"/>
      <x:c r="S2704"/>
      <x:c r="T2704"/>
      <x:c r="U2704"/>
      <x:c r="V2704"/>
      <x:c r="W2704"/>
    </x:row>
    <x:row r="2705">
      <x:c r="A2705"/>
      <x:c r="B2705"/>
      <x:c r="C2705"/>
      <x:c r="D2705"/>
      <x:c r="E2705"/>
      <x:c r="F2705"/>
      <x:c r="G2705"/>
      <x:c r="H2705"/>
      <x:c r="I2705"/>
      <x:c r="J2705"/>
      <x:c r="K2705"/>
      <x:c r="L2705"/>
      <x:c r="M2705"/>
      <x:c r="N2705"/>
      <x:c r="O2705"/>
      <x:c r="P2705"/>
      <x:c r="Q2705"/>
      <x:c r="R2705"/>
      <x:c r="S2705"/>
      <x:c r="T2705"/>
      <x:c r="U2705"/>
      <x:c r="V2705"/>
      <x:c r="W2705"/>
    </x:row>
    <x:row r="2706">
      <x:c r="A2706"/>
      <x:c r="B2706"/>
      <x:c r="C2706"/>
      <x:c r="D2706"/>
      <x:c r="E2706"/>
      <x:c r="F2706"/>
      <x:c r="G2706"/>
      <x:c r="H2706"/>
      <x:c r="I2706"/>
      <x:c r="J2706"/>
      <x:c r="K2706"/>
      <x:c r="L2706"/>
      <x:c r="M2706"/>
      <x:c r="N2706"/>
      <x:c r="O2706"/>
      <x:c r="P2706"/>
      <x:c r="Q2706"/>
      <x:c r="R2706"/>
      <x:c r="S2706"/>
      <x:c r="T2706"/>
      <x:c r="U2706"/>
      <x:c r="V2706"/>
      <x:c r="W2706"/>
    </x:row>
    <x:row r="2707">
      <x:c r="A2707"/>
      <x:c r="B2707"/>
      <x:c r="C2707"/>
      <x:c r="D2707"/>
      <x:c r="E2707"/>
      <x:c r="F2707"/>
      <x:c r="G2707"/>
      <x:c r="H2707"/>
      <x:c r="I2707"/>
      <x:c r="J2707"/>
      <x:c r="K2707"/>
      <x:c r="L2707"/>
      <x:c r="M2707"/>
      <x:c r="N2707"/>
      <x:c r="O2707"/>
      <x:c r="P2707"/>
      <x:c r="Q2707"/>
      <x:c r="R2707"/>
      <x:c r="S2707"/>
      <x:c r="T2707"/>
      <x:c r="U2707"/>
      <x:c r="V2707"/>
      <x:c r="W2707"/>
    </x:row>
    <x:row r="2708">
      <x:c r="A2708"/>
      <x:c r="B2708"/>
      <x:c r="C2708"/>
      <x:c r="D2708"/>
      <x:c r="E2708"/>
      <x:c r="F2708"/>
      <x:c r="G2708"/>
      <x:c r="H2708"/>
      <x:c r="I2708"/>
      <x:c r="J2708"/>
      <x:c r="K2708"/>
      <x:c r="L2708"/>
      <x:c r="M2708"/>
      <x:c r="N2708"/>
      <x:c r="O2708"/>
      <x:c r="P2708"/>
      <x:c r="Q2708"/>
      <x:c r="R2708"/>
      <x:c r="S2708"/>
      <x:c r="T2708"/>
      <x:c r="U2708"/>
      <x:c r="V2708"/>
      <x:c r="W2708"/>
    </x:row>
    <x:row r="2709">
      <x:c r="A2709"/>
      <x:c r="B2709"/>
      <x:c r="C2709"/>
      <x:c r="D2709"/>
      <x:c r="E2709"/>
      <x:c r="F2709"/>
      <x:c r="G2709"/>
      <x:c r="H2709"/>
      <x:c r="I2709"/>
      <x:c r="J2709"/>
      <x:c r="K2709"/>
      <x:c r="L2709"/>
      <x:c r="M2709"/>
      <x:c r="N2709"/>
      <x:c r="O2709"/>
      <x:c r="P2709"/>
      <x:c r="Q2709"/>
      <x:c r="R2709"/>
      <x:c r="S2709"/>
      <x:c r="T2709"/>
      <x:c r="U2709"/>
      <x:c r="V2709"/>
      <x:c r="W2709"/>
    </x:row>
    <x:row r="2710">
      <x:c r="A2710"/>
      <x:c r="B2710"/>
      <x:c r="C2710"/>
      <x:c r="D2710"/>
      <x:c r="E2710"/>
      <x:c r="F2710"/>
      <x:c r="G2710"/>
      <x:c r="H2710"/>
      <x:c r="I2710"/>
      <x:c r="J2710"/>
      <x:c r="K2710"/>
      <x:c r="L2710"/>
      <x:c r="M2710"/>
      <x:c r="N2710"/>
      <x:c r="O2710"/>
      <x:c r="P2710"/>
      <x:c r="Q2710"/>
      <x:c r="R2710"/>
      <x:c r="S2710"/>
      <x:c r="T2710"/>
      <x:c r="U2710"/>
      <x:c r="V2710"/>
      <x:c r="W2710"/>
    </x:row>
    <x:row r="2711">
      <x:c r="A2711"/>
      <x:c r="B2711"/>
      <x:c r="C2711"/>
      <x:c r="D2711"/>
      <x:c r="E2711"/>
      <x:c r="F2711"/>
      <x:c r="G2711"/>
      <x:c r="H2711"/>
      <x:c r="I2711"/>
      <x:c r="J2711"/>
      <x:c r="K2711"/>
      <x:c r="L2711"/>
      <x:c r="M2711"/>
      <x:c r="N2711"/>
      <x:c r="O2711"/>
      <x:c r="P2711"/>
      <x:c r="Q2711"/>
      <x:c r="R2711"/>
      <x:c r="S2711"/>
      <x:c r="T2711"/>
      <x:c r="U2711"/>
      <x:c r="V2711"/>
      <x:c r="W2711"/>
    </x:row>
    <x:row r="2712">
      <x:c r="A2712"/>
      <x:c r="B2712"/>
      <x:c r="C2712"/>
      <x:c r="D2712"/>
      <x:c r="E2712"/>
      <x:c r="F2712"/>
      <x:c r="G2712"/>
      <x:c r="H2712"/>
      <x:c r="I2712"/>
      <x:c r="J2712"/>
      <x:c r="K2712"/>
      <x:c r="L2712"/>
      <x:c r="M2712"/>
      <x:c r="N2712"/>
      <x:c r="O2712"/>
      <x:c r="P2712"/>
      <x:c r="Q2712"/>
      <x:c r="R2712"/>
      <x:c r="S2712"/>
      <x:c r="T2712"/>
      <x:c r="U2712"/>
      <x:c r="V2712"/>
      <x:c r="W2712"/>
    </x:row>
    <x:row r="2713">
      <x:c r="A2713"/>
      <x:c r="B2713"/>
      <x:c r="C2713"/>
      <x:c r="D2713"/>
      <x:c r="E2713"/>
      <x:c r="F2713"/>
      <x:c r="G2713"/>
      <x:c r="H2713"/>
      <x:c r="I2713"/>
      <x:c r="J2713"/>
      <x:c r="K2713"/>
      <x:c r="L2713"/>
      <x:c r="M2713"/>
      <x:c r="N2713"/>
      <x:c r="O2713"/>
      <x:c r="P2713"/>
      <x:c r="Q2713"/>
      <x:c r="R2713"/>
      <x:c r="S2713"/>
      <x:c r="T2713"/>
      <x:c r="U2713"/>
      <x:c r="V2713"/>
      <x:c r="W2713"/>
    </x:row>
    <x:row r="2714">
      <x:c r="A2714"/>
      <x:c r="B2714"/>
      <x:c r="C2714"/>
      <x:c r="D2714"/>
      <x:c r="E2714"/>
      <x:c r="F2714"/>
      <x:c r="G2714"/>
      <x:c r="H2714"/>
      <x:c r="I2714"/>
      <x:c r="J2714"/>
      <x:c r="K2714"/>
      <x:c r="L2714"/>
      <x:c r="M2714"/>
      <x:c r="N2714"/>
      <x:c r="O2714"/>
      <x:c r="P2714"/>
      <x:c r="Q2714"/>
      <x:c r="R2714"/>
      <x:c r="S2714"/>
      <x:c r="T2714"/>
      <x:c r="U2714"/>
      <x:c r="V2714"/>
      <x:c r="W2714"/>
    </x:row>
    <x:row r="2715">
      <x:c r="A2715"/>
      <x:c r="B2715"/>
      <x:c r="C2715"/>
      <x:c r="D2715"/>
      <x:c r="E2715"/>
      <x:c r="F2715"/>
      <x:c r="G2715"/>
      <x:c r="H2715"/>
      <x:c r="I2715"/>
      <x:c r="J2715"/>
      <x:c r="K2715"/>
      <x:c r="L2715"/>
      <x:c r="M2715"/>
      <x:c r="N2715"/>
      <x:c r="O2715"/>
      <x:c r="P2715"/>
      <x:c r="Q2715"/>
      <x:c r="R2715"/>
      <x:c r="S2715"/>
      <x:c r="T2715"/>
      <x:c r="U2715"/>
      <x:c r="V2715"/>
      <x:c r="W2715"/>
    </x:row>
    <x:row r="2716">
      <x:c r="A2716"/>
      <x:c r="B2716"/>
      <x:c r="C2716"/>
      <x:c r="D2716"/>
      <x:c r="E2716"/>
      <x:c r="F2716"/>
      <x:c r="G2716"/>
      <x:c r="H2716"/>
      <x:c r="I2716"/>
      <x:c r="J2716"/>
      <x:c r="K2716"/>
      <x:c r="L2716"/>
      <x:c r="M2716"/>
      <x:c r="N2716"/>
      <x:c r="O2716"/>
      <x:c r="P2716"/>
      <x:c r="Q2716"/>
      <x:c r="R2716"/>
      <x:c r="S2716"/>
      <x:c r="T2716"/>
      <x:c r="U2716"/>
      <x:c r="V2716"/>
      <x:c r="W2716"/>
    </x:row>
    <x:row r="2717">
      <x:c r="A2717"/>
      <x:c r="B2717"/>
      <x:c r="C2717"/>
      <x:c r="D2717"/>
      <x:c r="E2717"/>
      <x:c r="F2717"/>
      <x:c r="G2717"/>
      <x:c r="H2717"/>
      <x:c r="I2717"/>
      <x:c r="J2717"/>
      <x:c r="K2717"/>
      <x:c r="L2717"/>
      <x:c r="M2717"/>
      <x:c r="N2717"/>
      <x:c r="O2717"/>
      <x:c r="P2717"/>
      <x:c r="Q2717"/>
      <x:c r="R2717"/>
      <x:c r="S2717"/>
      <x:c r="T2717"/>
      <x:c r="U2717"/>
      <x:c r="V2717"/>
      <x:c r="W2717"/>
    </x:row>
    <x:row r="2718">
      <x:c r="A2718"/>
      <x:c r="B2718"/>
      <x:c r="C2718"/>
      <x:c r="D2718"/>
      <x:c r="E2718"/>
      <x:c r="F2718"/>
      <x:c r="G2718"/>
      <x:c r="H2718"/>
      <x:c r="I2718"/>
      <x:c r="J2718"/>
      <x:c r="K2718"/>
      <x:c r="L2718"/>
      <x:c r="M2718"/>
      <x:c r="N2718"/>
      <x:c r="O2718"/>
      <x:c r="P2718"/>
      <x:c r="Q2718"/>
      <x:c r="R2718"/>
      <x:c r="S2718"/>
      <x:c r="T2718"/>
      <x:c r="U2718"/>
      <x:c r="V2718"/>
      <x:c r="W2718"/>
    </x:row>
    <x:row r="2719">
      <x:c r="A2719"/>
      <x:c r="B2719"/>
      <x:c r="C2719"/>
      <x:c r="D2719"/>
      <x:c r="E2719"/>
      <x:c r="F2719"/>
      <x:c r="G2719"/>
      <x:c r="H2719"/>
      <x:c r="I2719"/>
      <x:c r="J2719"/>
      <x:c r="K2719"/>
      <x:c r="L2719"/>
      <x:c r="M2719"/>
      <x:c r="N2719"/>
      <x:c r="O2719"/>
      <x:c r="P2719"/>
      <x:c r="Q2719"/>
      <x:c r="R2719"/>
      <x:c r="S2719"/>
      <x:c r="T2719"/>
      <x:c r="U2719"/>
      <x:c r="V2719"/>
      <x:c r="W2719"/>
    </x:row>
    <x:row r="2720">
      <x:c r="A2720"/>
      <x:c r="B2720"/>
      <x:c r="C2720"/>
      <x:c r="D2720"/>
      <x:c r="E2720"/>
      <x:c r="F2720"/>
      <x:c r="G2720"/>
      <x:c r="H2720"/>
      <x:c r="I2720"/>
      <x:c r="J2720"/>
      <x:c r="K2720"/>
      <x:c r="L2720"/>
      <x:c r="M2720"/>
      <x:c r="N2720"/>
      <x:c r="O2720"/>
      <x:c r="P2720"/>
      <x:c r="Q2720"/>
      <x:c r="R2720"/>
      <x:c r="S2720"/>
      <x:c r="T2720"/>
      <x:c r="U2720"/>
      <x:c r="V2720"/>
      <x:c r="W2720"/>
    </x:row>
    <x:row r="2721">
      <x:c r="A2721"/>
      <x:c r="B2721"/>
      <x:c r="C2721"/>
      <x:c r="D2721"/>
      <x:c r="E2721"/>
      <x:c r="F2721"/>
      <x:c r="G2721"/>
      <x:c r="H2721"/>
      <x:c r="I2721"/>
      <x:c r="J2721"/>
      <x:c r="K2721"/>
      <x:c r="L2721"/>
      <x:c r="M2721"/>
      <x:c r="N2721"/>
      <x:c r="O2721"/>
      <x:c r="P2721"/>
      <x:c r="Q2721"/>
      <x:c r="R2721"/>
      <x:c r="S2721"/>
      <x:c r="T2721"/>
      <x:c r="U2721"/>
      <x:c r="V2721"/>
      <x:c r="W2721"/>
    </x:row>
    <x:row r="2722">
      <x:c r="A2722"/>
      <x:c r="B2722"/>
      <x:c r="C2722"/>
      <x:c r="D2722"/>
      <x:c r="E2722"/>
      <x:c r="F2722"/>
      <x:c r="G2722"/>
      <x:c r="H2722"/>
      <x:c r="I2722"/>
      <x:c r="J2722"/>
      <x:c r="K2722"/>
      <x:c r="L2722"/>
      <x:c r="M2722"/>
      <x:c r="N2722"/>
      <x:c r="O2722"/>
      <x:c r="P2722"/>
      <x:c r="Q2722"/>
      <x:c r="R2722"/>
      <x:c r="S2722"/>
      <x:c r="T2722"/>
      <x:c r="U2722"/>
      <x:c r="V2722"/>
      <x:c r="W2722"/>
    </x:row>
    <x:row r="2723">
      <x:c r="A2723"/>
      <x:c r="B2723"/>
      <x:c r="C2723"/>
      <x:c r="D2723"/>
      <x:c r="E2723"/>
      <x:c r="F2723"/>
      <x:c r="G2723"/>
      <x:c r="H2723"/>
      <x:c r="I2723"/>
      <x:c r="J2723"/>
      <x:c r="K2723"/>
      <x:c r="L2723"/>
      <x:c r="M2723"/>
      <x:c r="N2723"/>
      <x:c r="O2723"/>
      <x:c r="P2723"/>
      <x:c r="Q2723"/>
      <x:c r="R2723"/>
      <x:c r="S2723"/>
      <x:c r="T2723"/>
      <x:c r="U2723"/>
      <x:c r="V2723"/>
      <x:c r="W2723"/>
    </x:row>
    <x:row r="2724">
      <x:c r="A2724"/>
      <x:c r="B2724"/>
      <x:c r="C2724"/>
      <x:c r="D2724"/>
      <x:c r="E2724"/>
      <x:c r="F2724"/>
      <x:c r="G2724"/>
      <x:c r="H2724"/>
      <x:c r="I2724"/>
      <x:c r="J2724"/>
      <x:c r="K2724"/>
      <x:c r="L2724"/>
      <x:c r="M2724"/>
      <x:c r="N2724"/>
      <x:c r="O2724"/>
      <x:c r="P2724"/>
      <x:c r="Q2724"/>
      <x:c r="R2724"/>
      <x:c r="S2724"/>
      <x:c r="T2724"/>
      <x:c r="U2724"/>
      <x:c r="V2724"/>
      <x:c r="W2724"/>
    </x:row>
    <x:row r="2725">
      <x:c r="A2725"/>
      <x:c r="B2725"/>
      <x:c r="C2725"/>
      <x:c r="D2725"/>
      <x:c r="E2725"/>
      <x:c r="F2725"/>
      <x:c r="G2725"/>
      <x:c r="H2725"/>
      <x:c r="I2725"/>
      <x:c r="J2725"/>
      <x:c r="K2725"/>
      <x:c r="L2725"/>
      <x:c r="M2725"/>
      <x:c r="N2725"/>
      <x:c r="O2725"/>
      <x:c r="P2725"/>
      <x:c r="Q2725"/>
      <x:c r="R2725"/>
      <x:c r="S2725"/>
      <x:c r="T2725"/>
      <x:c r="U2725"/>
      <x:c r="V2725"/>
      <x:c r="W2725"/>
    </x:row>
    <x:row r="2726">
      <x:c r="A2726"/>
      <x:c r="B2726"/>
      <x:c r="C2726"/>
      <x:c r="D2726"/>
      <x:c r="E2726"/>
      <x:c r="F2726"/>
      <x:c r="G2726"/>
      <x:c r="H2726"/>
      <x:c r="I2726"/>
      <x:c r="J2726"/>
      <x:c r="K2726"/>
      <x:c r="L2726"/>
      <x:c r="M2726"/>
      <x:c r="N2726"/>
      <x:c r="O2726"/>
      <x:c r="P2726"/>
      <x:c r="Q2726"/>
      <x:c r="R2726"/>
      <x:c r="S2726"/>
      <x:c r="T2726"/>
      <x:c r="U2726"/>
      <x:c r="V2726"/>
      <x:c r="W2726"/>
    </x:row>
    <x:row r="2727">
      <x:c r="A2727"/>
      <x:c r="B2727"/>
      <x:c r="C2727"/>
      <x:c r="D2727"/>
      <x:c r="E2727"/>
      <x:c r="F2727"/>
      <x:c r="G2727"/>
      <x:c r="H2727"/>
      <x:c r="I2727"/>
      <x:c r="J2727"/>
      <x:c r="K2727"/>
      <x:c r="L2727"/>
      <x:c r="M2727"/>
      <x:c r="N2727"/>
      <x:c r="O2727"/>
      <x:c r="P2727"/>
      <x:c r="Q2727"/>
      <x:c r="R2727"/>
      <x:c r="S2727"/>
      <x:c r="T2727"/>
      <x:c r="U2727"/>
      <x:c r="V2727"/>
      <x:c r="W2727"/>
    </x:row>
    <x:row r="2728">
      <x:c r="A2728"/>
      <x:c r="B2728"/>
      <x:c r="C2728"/>
      <x:c r="D2728"/>
      <x:c r="E2728"/>
      <x:c r="F2728"/>
      <x:c r="G2728"/>
      <x:c r="H2728"/>
      <x:c r="I2728"/>
      <x:c r="J2728"/>
      <x:c r="K2728"/>
      <x:c r="L2728"/>
      <x:c r="M2728"/>
      <x:c r="N2728"/>
      <x:c r="O2728"/>
      <x:c r="P2728"/>
      <x:c r="Q2728"/>
      <x:c r="R2728"/>
      <x:c r="S2728"/>
      <x:c r="T2728"/>
      <x:c r="U2728"/>
      <x:c r="V2728"/>
      <x:c r="W2728"/>
    </x:row>
    <x:row r="2729">
      <x:c r="A2729"/>
      <x:c r="B2729"/>
      <x:c r="C2729"/>
      <x:c r="D2729"/>
      <x:c r="E2729"/>
      <x:c r="F2729"/>
      <x:c r="G2729"/>
      <x:c r="H2729"/>
      <x:c r="I2729"/>
      <x:c r="J2729"/>
      <x:c r="K2729"/>
      <x:c r="L2729"/>
      <x:c r="M2729"/>
      <x:c r="N2729"/>
      <x:c r="O2729"/>
      <x:c r="P2729"/>
      <x:c r="Q2729"/>
      <x:c r="R2729"/>
      <x:c r="S2729"/>
      <x:c r="T2729"/>
      <x:c r="U2729"/>
      <x:c r="V2729"/>
      <x:c r="W2729"/>
    </x:row>
    <x:row r="2730">
      <x:c r="A2730"/>
      <x:c r="B2730"/>
      <x:c r="C2730"/>
      <x:c r="D2730"/>
      <x:c r="E2730"/>
      <x:c r="F2730"/>
      <x:c r="G2730"/>
      <x:c r="H2730"/>
      <x:c r="I2730"/>
      <x:c r="J2730"/>
      <x:c r="K2730"/>
      <x:c r="L2730"/>
      <x:c r="M2730"/>
      <x:c r="N2730"/>
      <x:c r="O2730"/>
      <x:c r="P2730"/>
      <x:c r="Q2730"/>
      <x:c r="R2730"/>
      <x:c r="S2730"/>
      <x:c r="T2730"/>
      <x:c r="U2730"/>
      <x:c r="V2730"/>
      <x:c r="W2730"/>
    </x:row>
    <x:row r="2731">
      <x:c r="A2731"/>
      <x:c r="B2731"/>
      <x:c r="C2731"/>
      <x:c r="D2731"/>
      <x:c r="E2731"/>
      <x:c r="F2731"/>
      <x:c r="G2731"/>
      <x:c r="H2731"/>
      <x:c r="I2731"/>
      <x:c r="J2731"/>
      <x:c r="K2731"/>
      <x:c r="L2731"/>
      <x:c r="M2731"/>
      <x:c r="N2731"/>
      <x:c r="O2731"/>
      <x:c r="P2731"/>
      <x:c r="Q2731"/>
      <x:c r="R2731"/>
      <x:c r="S2731"/>
      <x:c r="T2731"/>
      <x:c r="U2731"/>
      <x:c r="V2731"/>
      <x:c r="W2731"/>
    </x:row>
    <x:row r="2732">
      <x:c r="A2732"/>
      <x:c r="B2732"/>
      <x:c r="C2732"/>
      <x:c r="D2732"/>
      <x:c r="E2732"/>
      <x:c r="F2732"/>
      <x:c r="G2732"/>
      <x:c r="H2732"/>
      <x:c r="I2732"/>
      <x:c r="J2732"/>
      <x:c r="K2732"/>
      <x:c r="L2732"/>
      <x:c r="M2732"/>
      <x:c r="N2732"/>
      <x:c r="O2732"/>
      <x:c r="P2732"/>
      <x:c r="Q2732"/>
      <x:c r="R2732"/>
      <x:c r="S2732"/>
      <x:c r="T2732"/>
      <x:c r="U2732"/>
      <x:c r="V2732"/>
      <x:c r="W2732"/>
    </x:row>
    <x:row r="2733">
      <x:c r="A2733"/>
      <x:c r="B2733"/>
      <x:c r="C2733"/>
      <x:c r="D2733"/>
      <x:c r="E2733"/>
      <x:c r="F2733"/>
      <x:c r="G2733"/>
      <x:c r="H2733"/>
      <x:c r="I2733"/>
      <x:c r="J2733"/>
      <x:c r="K2733"/>
      <x:c r="L2733"/>
      <x:c r="M2733"/>
      <x:c r="N2733"/>
      <x:c r="O2733"/>
      <x:c r="P2733"/>
      <x:c r="Q2733"/>
      <x:c r="R2733"/>
      <x:c r="S2733"/>
      <x:c r="T2733"/>
      <x:c r="U2733"/>
      <x:c r="V2733"/>
      <x:c r="W2733"/>
    </x:row>
    <x:row r="2734">
      <x:c r="A2734"/>
      <x:c r="B2734"/>
      <x:c r="C2734"/>
      <x:c r="D2734"/>
      <x:c r="E2734"/>
      <x:c r="F2734"/>
      <x:c r="G2734"/>
      <x:c r="H2734"/>
      <x:c r="I2734"/>
      <x:c r="J2734"/>
      <x:c r="K2734"/>
      <x:c r="L2734"/>
      <x:c r="M2734"/>
      <x:c r="N2734"/>
      <x:c r="O2734"/>
      <x:c r="P2734"/>
      <x:c r="Q2734"/>
      <x:c r="R2734"/>
      <x:c r="S2734"/>
      <x:c r="T2734"/>
      <x:c r="U2734"/>
      <x:c r="V2734"/>
      <x:c r="W2734"/>
    </x:row>
    <x:row r="2735">
      <x:c r="A2735"/>
      <x:c r="B2735"/>
      <x:c r="C2735"/>
      <x:c r="D2735"/>
      <x:c r="E2735"/>
      <x:c r="F2735"/>
      <x:c r="G2735"/>
      <x:c r="H2735"/>
      <x:c r="I2735"/>
      <x:c r="J2735"/>
      <x:c r="K2735"/>
      <x:c r="L2735"/>
      <x:c r="M2735"/>
      <x:c r="N2735"/>
      <x:c r="O2735"/>
      <x:c r="P2735"/>
      <x:c r="Q2735"/>
      <x:c r="R2735"/>
      <x:c r="S2735"/>
      <x:c r="T2735"/>
      <x:c r="U2735"/>
      <x:c r="V2735"/>
      <x:c r="W2735"/>
    </x:row>
    <x:row r="2736">
      <x:c r="A2736"/>
      <x:c r="B2736"/>
      <x:c r="C2736"/>
      <x:c r="D2736"/>
      <x:c r="E2736"/>
      <x:c r="F2736"/>
      <x:c r="G2736"/>
      <x:c r="H2736"/>
      <x:c r="I2736"/>
      <x:c r="J2736"/>
      <x:c r="K2736"/>
      <x:c r="L2736"/>
      <x:c r="M2736"/>
      <x:c r="N2736"/>
      <x:c r="O2736"/>
      <x:c r="P2736"/>
      <x:c r="Q2736"/>
      <x:c r="R2736"/>
      <x:c r="S2736"/>
      <x:c r="T2736"/>
      <x:c r="U2736"/>
      <x:c r="V2736"/>
      <x:c r="W2736"/>
    </x:row>
    <x:row r="2737">
      <x:c r="A2737"/>
      <x:c r="B2737"/>
      <x:c r="C2737"/>
      <x:c r="D2737"/>
      <x:c r="E2737"/>
      <x:c r="F2737"/>
      <x:c r="G2737"/>
      <x:c r="H2737"/>
      <x:c r="I2737"/>
      <x:c r="J2737"/>
      <x:c r="K2737"/>
      <x:c r="L2737"/>
      <x:c r="M2737"/>
      <x:c r="N2737"/>
      <x:c r="O2737"/>
      <x:c r="P2737"/>
      <x:c r="Q2737"/>
      <x:c r="R2737"/>
      <x:c r="S2737"/>
      <x:c r="T2737"/>
      <x:c r="U2737"/>
      <x:c r="V2737"/>
      <x:c r="W2737"/>
    </x:row>
    <x:row r="2738">
      <x:c r="A2738"/>
      <x:c r="B2738"/>
      <x:c r="C2738"/>
      <x:c r="D2738"/>
      <x:c r="E2738"/>
      <x:c r="F2738"/>
      <x:c r="G2738"/>
      <x:c r="H2738"/>
      <x:c r="I2738"/>
      <x:c r="J2738"/>
      <x:c r="K2738"/>
      <x:c r="L2738"/>
      <x:c r="M2738"/>
      <x:c r="N2738"/>
      <x:c r="O2738"/>
      <x:c r="P2738"/>
      <x:c r="Q2738"/>
      <x:c r="R2738"/>
      <x:c r="S2738"/>
      <x:c r="T2738"/>
      <x:c r="U2738"/>
      <x:c r="V2738"/>
      <x:c r="W2738"/>
    </x:row>
    <x:row r="2739">
      <x:c r="A2739"/>
      <x:c r="B2739"/>
      <x:c r="C2739"/>
      <x:c r="D2739"/>
      <x:c r="E2739"/>
      <x:c r="F2739"/>
      <x:c r="G2739"/>
      <x:c r="H2739"/>
      <x:c r="I2739"/>
      <x:c r="J2739"/>
      <x:c r="K2739"/>
      <x:c r="L2739"/>
      <x:c r="M2739"/>
      <x:c r="N2739"/>
      <x:c r="O2739"/>
      <x:c r="P2739"/>
      <x:c r="Q2739"/>
      <x:c r="R2739"/>
      <x:c r="S2739"/>
      <x:c r="T2739"/>
      <x:c r="U2739"/>
      <x:c r="V2739"/>
      <x:c r="W2739"/>
    </x:row>
    <x:row r="2740">
      <x:c r="A2740"/>
      <x:c r="B2740"/>
      <x:c r="C2740"/>
      <x:c r="D2740"/>
      <x:c r="E2740"/>
      <x:c r="F2740"/>
      <x:c r="G2740"/>
      <x:c r="H2740"/>
      <x:c r="I2740"/>
      <x:c r="J2740"/>
      <x:c r="K2740"/>
      <x:c r="L2740"/>
      <x:c r="M2740"/>
      <x:c r="N2740"/>
      <x:c r="O2740"/>
      <x:c r="P2740"/>
      <x:c r="Q2740"/>
      <x:c r="R2740"/>
      <x:c r="S2740"/>
      <x:c r="T2740"/>
      <x:c r="U2740"/>
      <x:c r="V2740"/>
      <x:c r="W2740"/>
    </x:row>
    <x:row r="2741">
      <x:c r="A2741"/>
      <x:c r="B2741"/>
      <x:c r="C2741"/>
      <x:c r="D2741"/>
      <x:c r="E2741"/>
      <x:c r="F2741"/>
      <x:c r="G2741"/>
      <x:c r="H2741"/>
      <x:c r="I2741"/>
      <x:c r="J2741"/>
      <x:c r="K2741"/>
      <x:c r="L2741"/>
      <x:c r="M2741"/>
      <x:c r="N2741"/>
      <x:c r="O2741"/>
      <x:c r="P2741"/>
      <x:c r="Q2741"/>
      <x:c r="R2741"/>
      <x:c r="S2741"/>
      <x:c r="T2741"/>
      <x:c r="U2741"/>
      <x:c r="V2741"/>
      <x:c r="W2741"/>
    </x:row>
    <x:row r="2742">
      <x:c r="A2742"/>
      <x:c r="B2742"/>
      <x:c r="C2742"/>
      <x:c r="D2742"/>
      <x:c r="E2742"/>
      <x:c r="F2742"/>
      <x:c r="G2742"/>
      <x:c r="H2742"/>
      <x:c r="I2742"/>
      <x:c r="J2742"/>
      <x:c r="K2742"/>
      <x:c r="L2742"/>
      <x:c r="M2742"/>
      <x:c r="N2742"/>
      <x:c r="O2742"/>
      <x:c r="P2742"/>
      <x:c r="Q2742"/>
      <x:c r="R2742"/>
      <x:c r="S2742"/>
      <x:c r="T2742"/>
      <x:c r="U2742"/>
      <x:c r="V2742"/>
      <x:c r="W2742"/>
    </x:row>
    <x:row r="2743">
      <x:c r="A2743"/>
      <x:c r="B2743"/>
      <x:c r="C2743"/>
      <x:c r="D2743"/>
      <x:c r="E2743"/>
      <x:c r="F2743"/>
      <x:c r="G2743"/>
      <x:c r="H2743"/>
      <x:c r="I2743"/>
      <x:c r="J2743"/>
      <x:c r="K2743"/>
      <x:c r="L2743"/>
      <x:c r="M2743"/>
      <x:c r="N2743"/>
      <x:c r="O2743"/>
      <x:c r="P2743"/>
      <x:c r="Q2743"/>
      <x:c r="R2743"/>
      <x:c r="S2743"/>
      <x:c r="T2743"/>
      <x:c r="U2743"/>
      <x:c r="V2743"/>
      <x:c r="W2743"/>
    </x:row>
    <x:row r="2744">
      <x:c r="A2744"/>
      <x:c r="B2744"/>
      <x:c r="C2744"/>
      <x:c r="D2744"/>
      <x:c r="E2744"/>
      <x:c r="F2744"/>
      <x:c r="G2744"/>
      <x:c r="H2744"/>
      <x:c r="I2744"/>
      <x:c r="J2744"/>
      <x:c r="K2744"/>
      <x:c r="L2744"/>
      <x:c r="M2744"/>
      <x:c r="N2744"/>
      <x:c r="O2744"/>
      <x:c r="P2744"/>
      <x:c r="Q2744"/>
      <x:c r="R2744"/>
      <x:c r="S2744"/>
      <x:c r="T2744"/>
      <x:c r="U2744"/>
      <x:c r="V2744"/>
      <x:c r="W2744"/>
    </x:row>
    <x:row r="2745">
      <x:c r="A2745"/>
      <x:c r="B2745"/>
      <x:c r="C2745"/>
      <x:c r="D2745"/>
      <x:c r="E2745"/>
      <x:c r="F2745"/>
      <x:c r="G2745"/>
      <x:c r="H2745"/>
      <x:c r="I2745"/>
      <x:c r="J2745"/>
      <x:c r="K2745"/>
      <x:c r="L2745"/>
      <x:c r="M2745"/>
      <x:c r="N2745"/>
      <x:c r="O2745"/>
      <x:c r="P2745"/>
      <x:c r="Q2745"/>
      <x:c r="R2745"/>
      <x:c r="S2745"/>
      <x:c r="T2745"/>
      <x:c r="U2745"/>
      <x:c r="V2745"/>
      <x:c r="W2745"/>
    </x:row>
    <x:row r="2746">
      <x:c r="A2746"/>
      <x:c r="B2746"/>
      <x:c r="C2746"/>
      <x:c r="D2746"/>
      <x:c r="E2746"/>
      <x:c r="F2746"/>
      <x:c r="G2746"/>
      <x:c r="H2746"/>
      <x:c r="I2746"/>
      <x:c r="J2746"/>
      <x:c r="K2746"/>
      <x:c r="L2746"/>
      <x:c r="M2746"/>
      <x:c r="N2746"/>
      <x:c r="O2746"/>
      <x:c r="P2746"/>
      <x:c r="Q2746"/>
      <x:c r="R2746"/>
      <x:c r="S2746"/>
      <x:c r="T2746"/>
      <x:c r="U2746"/>
      <x:c r="V2746"/>
      <x:c r="W2746"/>
    </x:row>
    <x:row r="2747">
      <x:c r="A2747"/>
      <x:c r="B2747"/>
      <x:c r="C2747"/>
      <x:c r="D2747"/>
      <x:c r="E2747"/>
      <x:c r="F2747"/>
      <x:c r="G2747"/>
      <x:c r="H2747"/>
      <x:c r="I2747"/>
      <x:c r="J2747"/>
      <x:c r="K2747"/>
      <x:c r="L2747"/>
      <x:c r="M2747"/>
      <x:c r="N2747"/>
      <x:c r="O2747"/>
      <x:c r="P2747"/>
      <x:c r="Q2747"/>
      <x:c r="R2747"/>
      <x:c r="S2747"/>
      <x:c r="T2747"/>
      <x:c r="U2747"/>
      <x:c r="V2747"/>
      <x:c r="W2747"/>
    </x:row>
    <x:row r="2748">
      <x:c r="A2748"/>
      <x:c r="B2748"/>
      <x:c r="C2748"/>
      <x:c r="D2748"/>
      <x:c r="E2748"/>
      <x:c r="F2748"/>
      <x:c r="G2748"/>
      <x:c r="H2748"/>
      <x:c r="I2748"/>
      <x:c r="J2748"/>
      <x:c r="K2748"/>
      <x:c r="L2748"/>
      <x:c r="M2748"/>
      <x:c r="N2748"/>
      <x:c r="O2748"/>
      <x:c r="P2748"/>
      <x:c r="Q2748"/>
      <x:c r="R2748"/>
      <x:c r="S2748"/>
      <x:c r="T2748"/>
      <x:c r="U2748"/>
      <x:c r="V2748"/>
      <x:c r="W2748"/>
    </x:row>
    <x:row r="2749">
      <x:c r="A2749"/>
      <x:c r="B2749"/>
      <x:c r="C2749"/>
      <x:c r="D2749"/>
      <x:c r="E2749"/>
      <x:c r="F2749"/>
      <x:c r="G2749"/>
      <x:c r="H2749"/>
      <x:c r="I2749"/>
      <x:c r="J2749"/>
      <x:c r="K2749"/>
      <x:c r="L2749"/>
      <x:c r="M2749"/>
      <x:c r="N2749"/>
      <x:c r="O2749"/>
      <x:c r="P2749"/>
      <x:c r="Q2749"/>
      <x:c r="R2749"/>
      <x:c r="S2749"/>
      <x:c r="T2749"/>
      <x:c r="U2749"/>
      <x:c r="V2749"/>
      <x:c r="W2749"/>
    </x:row>
    <x:row r="2750">
      <x:c r="A2750"/>
      <x:c r="B2750"/>
      <x:c r="C2750"/>
      <x:c r="D2750"/>
      <x:c r="E2750"/>
      <x:c r="F2750"/>
      <x:c r="G2750"/>
      <x:c r="H2750"/>
      <x:c r="I2750"/>
      <x:c r="J2750"/>
      <x:c r="K2750"/>
      <x:c r="L2750"/>
      <x:c r="M2750"/>
      <x:c r="N2750"/>
      <x:c r="O2750"/>
      <x:c r="P2750"/>
      <x:c r="Q2750"/>
      <x:c r="R2750"/>
      <x:c r="S2750"/>
      <x:c r="T2750"/>
      <x:c r="U2750"/>
      <x:c r="V2750"/>
      <x:c r="W2750"/>
    </x:row>
    <x:row r="2751">
      <x:c r="A2751"/>
      <x:c r="B2751"/>
      <x:c r="C2751"/>
      <x:c r="D2751"/>
      <x:c r="E2751"/>
      <x:c r="F2751"/>
      <x:c r="G2751"/>
      <x:c r="H2751"/>
      <x:c r="I2751"/>
      <x:c r="J2751"/>
      <x:c r="K2751"/>
      <x:c r="L2751"/>
      <x:c r="M2751"/>
      <x:c r="N2751"/>
      <x:c r="O2751"/>
      <x:c r="P2751"/>
      <x:c r="Q2751"/>
      <x:c r="R2751"/>
      <x:c r="S2751"/>
      <x:c r="T2751"/>
      <x:c r="U2751"/>
      <x:c r="V2751"/>
      <x:c r="W2751"/>
    </x:row>
    <x:row r="2752">
      <x:c r="A2752"/>
      <x:c r="B2752"/>
      <x:c r="C2752"/>
      <x:c r="D2752"/>
      <x:c r="E2752"/>
      <x:c r="F2752"/>
      <x:c r="G2752"/>
      <x:c r="H2752"/>
      <x:c r="I2752"/>
      <x:c r="J2752"/>
      <x:c r="K2752"/>
      <x:c r="L2752"/>
      <x:c r="M2752"/>
      <x:c r="N2752"/>
      <x:c r="O2752"/>
      <x:c r="P2752"/>
      <x:c r="Q2752"/>
      <x:c r="R2752"/>
      <x:c r="S2752"/>
      <x:c r="T2752"/>
      <x:c r="U2752"/>
      <x:c r="V2752"/>
      <x:c r="W2752"/>
    </x:row>
    <x:row r="2753">
      <x:c r="A2753"/>
      <x:c r="B2753"/>
      <x:c r="C2753"/>
      <x:c r="D2753"/>
      <x:c r="E2753"/>
      <x:c r="F2753"/>
      <x:c r="G2753"/>
      <x:c r="H2753"/>
      <x:c r="I2753"/>
      <x:c r="J2753"/>
      <x:c r="K2753"/>
      <x:c r="L2753"/>
      <x:c r="M2753"/>
      <x:c r="N2753"/>
      <x:c r="O2753"/>
      <x:c r="P2753"/>
      <x:c r="Q2753"/>
      <x:c r="R2753"/>
      <x:c r="S2753"/>
      <x:c r="T2753"/>
      <x:c r="U2753"/>
      <x:c r="V2753"/>
      <x:c r="W2753"/>
    </x:row>
    <x:row r="2754">
      <x:c r="A2754"/>
      <x:c r="B2754"/>
      <x:c r="C2754"/>
      <x:c r="D2754"/>
      <x:c r="E2754"/>
      <x:c r="F2754"/>
      <x:c r="G2754"/>
      <x:c r="H2754"/>
      <x:c r="I2754"/>
      <x:c r="J2754"/>
      <x:c r="K2754"/>
      <x:c r="L2754"/>
      <x:c r="M2754"/>
      <x:c r="N2754"/>
      <x:c r="O2754"/>
      <x:c r="P2754"/>
      <x:c r="Q2754"/>
      <x:c r="R2754"/>
      <x:c r="S2754"/>
      <x:c r="T2754"/>
      <x:c r="U2754"/>
      <x:c r="V2754"/>
      <x:c r="W2754"/>
    </x:row>
    <x:row r="2755">
      <x:c r="A2755"/>
      <x:c r="B2755"/>
      <x:c r="C2755"/>
      <x:c r="D2755"/>
      <x:c r="E2755"/>
      <x:c r="F2755"/>
      <x:c r="G2755"/>
      <x:c r="H2755"/>
      <x:c r="I2755"/>
      <x:c r="J2755"/>
      <x:c r="K2755"/>
      <x:c r="L2755"/>
      <x:c r="M2755"/>
      <x:c r="N2755"/>
      <x:c r="O2755"/>
      <x:c r="P2755"/>
      <x:c r="Q2755"/>
      <x:c r="R2755"/>
      <x:c r="S2755"/>
      <x:c r="T2755"/>
      <x:c r="U2755"/>
      <x:c r="V2755"/>
      <x:c r="W2755"/>
    </x:row>
    <x:row r="2756">
      <x:c r="A2756"/>
      <x:c r="B2756"/>
      <x:c r="C2756"/>
      <x:c r="D2756"/>
      <x:c r="E2756"/>
      <x:c r="F2756"/>
      <x:c r="G2756"/>
      <x:c r="H2756"/>
      <x:c r="I2756"/>
      <x:c r="J2756"/>
      <x:c r="K2756"/>
      <x:c r="L2756"/>
      <x:c r="M2756"/>
      <x:c r="N2756"/>
      <x:c r="O2756"/>
      <x:c r="P2756"/>
      <x:c r="Q2756"/>
      <x:c r="R2756"/>
      <x:c r="S2756"/>
      <x:c r="T2756"/>
      <x:c r="U2756"/>
      <x:c r="V2756"/>
      <x:c r="W2756"/>
    </x:row>
    <x:row r="2757">
      <x:c r="A2757"/>
      <x:c r="B2757"/>
      <x:c r="C2757"/>
      <x:c r="D2757"/>
      <x:c r="E2757"/>
      <x:c r="F2757"/>
      <x:c r="G2757"/>
      <x:c r="H2757"/>
      <x:c r="I2757"/>
      <x:c r="J2757"/>
      <x:c r="K2757"/>
      <x:c r="L2757"/>
      <x:c r="M2757"/>
      <x:c r="N2757"/>
      <x:c r="O2757"/>
      <x:c r="P2757"/>
      <x:c r="Q2757"/>
      <x:c r="R2757"/>
      <x:c r="S2757"/>
      <x:c r="T2757"/>
      <x:c r="U2757"/>
      <x:c r="V2757"/>
      <x:c r="W2757"/>
    </x:row>
    <x:row r="2758">
      <x:c r="A2758"/>
      <x:c r="B2758"/>
      <x:c r="C2758"/>
      <x:c r="D2758"/>
      <x:c r="E2758"/>
      <x:c r="F2758"/>
      <x:c r="G2758"/>
      <x:c r="H2758"/>
      <x:c r="I2758"/>
      <x:c r="J2758"/>
      <x:c r="K2758"/>
      <x:c r="L2758"/>
      <x:c r="M2758"/>
      <x:c r="N2758"/>
      <x:c r="O2758"/>
      <x:c r="P2758"/>
      <x:c r="Q2758"/>
      <x:c r="R2758"/>
      <x:c r="S2758"/>
      <x:c r="T2758"/>
      <x:c r="U2758"/>
      <x:c r="V2758"/>
      <x:c r="W2758"/>
    </x:row>
    <x:row r="2759">
      <x:c r="A2759"/>
      <x:c r="B2759"/>
      <x:c r="C2759"/>
      <x:c r="D2759"/>
      <x:c r="E2759"/>
      <x:c r="F2759"/>
      <x:c r="G2759"/>
      <x:c r="H2759"/>
      <x:c r="I2759"/>
      <x:c r="J2759"/>
      <x:c r="K2759"/>
      <x:c r="L2759"/>
      <x:c r="M2759"/>
      <x:c r="N2759"/>
      <x:c r="O2759"/>
      <x:c r="P2759"/>
      <x:c r="Q2759"/>
      <x:c r="R2759"/>
      <x:c r="S2759"/>
      <x:c r="T2759"/>
      <x:c r="U2759"/>
      <x:c r="V2759"/>
      <x:c r="W2759"/>
    </x:row>
    <x:row r="2760">
      <x:c r="A2760"/>
      <x:c r="B2760"/>
      <x:c r="C2760"/>
      <x:c r="D2760"/>
      <x:c r="E2760"/>
      <x:c r="F2760"/>
      <x:c r="G2760"/>
      <x:c r="H2760"/>
      <x:c r="I2760"/>
      <x:c r="J2760"/>
      <x:c r="K2760"/>
      <x:c r="L2760"/>
      <x:c r="M2760"/>
      <x:c r="N2760"/>
      <x:c r="O2760"/>
      <x:c r="P2760"/>
      <x:c r="Q2760"/>
      <x:c r="R2760"/>
      <x:c r="S2760"/>
      <x:c r="T2760"/>
      <x:c r="U2760"/>
      <x:c r="V2760"/>
      <x:c r="W2760"/>
    </x:row>
    <x:row r="2761">
      <x:c r="A2761"/>
      <x:c r="B2761"/>
      <x:c r="C2761"/>
      <x:c r="D2761"/>
      <x:c r="E2761"/>
      <x:c r="F2761"/>
      <x:c r="G2761"/>
      <x:c r="H2761"/>
      <x:c r="I2761"/>
      <x:c r="J2761"/>
      <x:c r="K2761"/>
      <x:c r="L2761"/>
      <x:c r="M2761"/>
      <x:c r="N2761"/>
      <x:c r="O2761"/>
      <x:c r="P2761"/>
      <x:c r="Q2761"/>
      <x:c r="R2761"/>
      <x:c r="S2761"/>
      <x:c r="T2761"/>
      <x:c r="U2761"/>
      <x:c r="V2761"/>
      <x:c r="W2761"/>
    </x:row>
    <x:row r="2762">
      <x:c r="A2762"/>
      <x:c r="B2762"/>
      <x:c r="C2762"/>
      <x:c r="D2762"/>
      <x:c r="E2762"/>
      <x:c r="F2762"/>
      <x:c r="G2762"/>
      <x:c r="H2762"/>
      <x:c r="I2762"/>
      <x:c r="J2762"/>
      <x:c r="K2762"/>
      <x:c r="L2762"/>
      <x:c r="M2762"/>
      <x:c r="N2762"/>
      <x:c r="O2762"/>
      <x:c r="P2762"/>
      <x:c r="Q2762"/>
      <x:c r="R2762"/>
      <x:c r="S2762"/>
      <x:c r="T2762"/>
      <x:c r="U2762"/>
      <x:c r="V2762"/>
      <x:c r="W2762"/>
    </x:row>
    <x:row r="2763">
      <x:c r="A2763"/>
      <x:c r="B2763"/>
      <x:c r="C2763"/>
      <x:c r="D2763"/>
      <x:c r="E2763"/>
      <x:c r="F2763"/>
      <x:c r="G2763"/>
      <x:c r="H2763"/>
      <x:c r="I2763"/>
      <x:c r="J2763"/>
      <x:c r="K2763"/>
      <x:c r="L2763"/>
      <x:c r="M2763"/>
      <x:c r="N2763"/>
      <x:c r="O2763"/>
      <x:c r="P2763"/>
      <x:c r="Q2763"/>
      <x:c r="R2763"/>
      <x:c r="S2763"/>
      <x:c r="T2763"/>
      <x:c r="U2763"/>
      <x:c r="V2763"/>
      <x:c r="W2763"/>
    </x:row>
    <x:row r="2764">
      <x:c r="A2764"/>
      <x:c r="B2764"/>
      <x:c r="C2764"/>
      <x:c r="D2764"/>
      <x:c r="E2764"/>
      <x:c r="F2764"/>
      <x:c r="G2764"/>
      <x:c r="H2764"/>
      <x:c r="I2764"/>
      <x:c r="J2764"/>
      <x:c r="K2764"/>
      <x:c r="L2764"/>
      <x:c r="M2764"/>
      <x:c r="N2764"/>
      <x:c r="O2764"/>
      <x:c r="P2764"/>
      <x:c r="Q2764"/>
      <x:c r="R2764"/>
      <x:c r="S2764"/>
      <x:c r="T2764"/>
      <x:c r="U2764"/>
      <x:c r="V2764"/>
      <x:c r="W2764"/>
    </x:row>
    <x:row r="2765">
      <x:c r="A2765"/>
      <x:c r="B2765"/>
      <x:c r="C2765"/>
      <x:c r="D2765"/>
      <x:c r="E2765"/>
      <x:c r="F2765"/>
      <x:c r="G2765"/>
      <x:c r="H2765"/>
      <x:c r="I2765"/>
      <x:c r="J2765"/>
      <x:c r="K2765"/>
      <x:c r="L2765"/>
      <x:c r="M2765"/>
      <x:c r="N2765"/>
      <x:c r="O2765"/>
      <x:c r="P2765"/>
      <x:c r="Q2765"/>
      <x:c r="R2765"/>
      <x:c r="S2765"/>
      <x:c r="T2765"/>
      <x:c r="U2765"/>
      <x:c r="V2765"/>
      <x:c r="W2765"/>
    </x:row>
    <x:row r="2766">
      <x:c r="A2766"/>
      <x:c r="B2766"/>
      <x:c r="C2766"/>
      <x:c r="D2766"/>
      <x:c r="E2766"/>
      <x:c r="F2766"/>
      <x:c r="G2766"/>
      <x:c r="H2766"/>
      <x:c r="I2766"/>
      <x:c r="J2766"/>
      <x:c r="K2766"/>
      <x:c r="L2766"/>
      <x:c r="M2766"/>
      <x:c r="N2766"/>
      <x:c r="O2766"/>
      <x:c r="P2766"/>
      <x:c r="Q2766"/>
      <x:c r="R2766"/>
      <x:c r="S2766"/>
      <x:c r="T2766"/>
      <x:c r="U2766"/>
      <x:c r="V2766"/>
      <x:c r="W2766"/>
    </x:row>
    <x:row r="2767">
      <x:c r="A2767"/>
      <x:c r="B2767"/>
      <x:c r="C2767"/>
      <x:c r="D2767"/>
      <x:c r="E2767"/>
      <x:c r="F2767"/>
      <x:c r="G2767"/>
      <x:c r="H2767"/>
      <x:c r="I2767"/>
      <x:c r="J2767"/>
      <x:c r="K2767"/>
      <x:c r="L2767"/>
      <x:c r="M2767"/>
      <x:c r="N2767"/>
      <x:c r="O2767"/>
      <x:c r="P2767"/>
      <x:c r="Q2767"/>
      <x:c r="R2767"/>
      <x:c r="S2767"/>
      <x:c r="T2767"/>
      <x:c r="U2767"/>
      <x:c r="V2767"/>
      <x:c r="W2767"/>
    </x:row>
    <x:row r="2768">
      <x:c r="A2768"/>
      <x:c r="B2768"/>
      <x:c r="C2768"/>
      <x:c r="D2768"/>
      <x:c r="E2768"/>
      <x:c r="F2768"/>
      <x:c r="G2768"/>
      <x:c r="H2768"/>
      <x:c r="I2768"/>
      <x:c r="J2768"/>
      <x:c r="K2768"/>
      <x:c r="L2768"/>
      <x:c r="M2768"/>
      <x:c r="N2768"/>
      <x:c r="O2768"/>
      <x:c r="P2768"/>
      <x:c r="Q2768"/>
      <x:c r="R2768"/>
      <x:c r="S2768"/>
      <x:c r="T2768"/>
      <x:c r="U2768"/>
      <x:c r="V2768"/>
      <x:c r="W2768"/>
    </x:row>
    <x:row r="2769">
      <x:c r="A2769"/>
      <x:c r="B2769"/>
      <x:c r="C2769"/>
      <x:c r="D2769"/>
      <x:c r="E2769"/>
      <x:c r="F2769"/>
      <x:c r="G2769"/>
      <x:c r="H2769"/>
      <x:c r="I2769"/>
      <x:c r="J2769"/>
      <x:c r="K2769"/>
      <x:c r="L2769"/>
      <x:c r="M2769"/>
      <x:c r="N2769"/>
      <x:c r="O2769"/>
      <x:c r="P2769"/>
      <x:c r="Q2769"/>
      <x:c r="R2769"/>
      <x:c r="S2769"/>
      <x:c r="T2769"/>
      <x:c r="U2769"/>
      <x:c r="V2769"/>
      <x:c r="W2769"/>
    </x:row>
    <x:row r="2770">
      <x:c r="A2770"/>
      <x:c r="B2770"/>
      <x:c r="C2770"/>
      <x:c r="D2770"/>
      <x:c r="E2770"/>
      <x:c r="F2770"/>
      <x:c r="G2770"/>
      <x:c r="H2770"/>
      <x:c r="I2770"/>
      <x:c r="J2770"/>
      <x:c r="K2770"/>
      <x:c r="L2770"/>
      <x:c r="M2770"/>
      <x:c r="N2770"/>
      <x:c r="O2770"/>
      <x:c r="P2770"/>
      <x:c r="Q2770"/>
      <x:c r="R2770"/>
      <x:c r="S2770"/>
      <x:c r="T2770"/>
      <x:c r="U2770"/>
      <x:c r="V2770"/>
      <x:c r="W2770"/>
    </x:row>
    <x:row r="2771">
      <x:c r="A2771"/>
      <x:c r="B2771"/>
      <x:c r="C2771"/>
      <x:c r="D2771"/>
      <x:c r="E2771"/>
      <x:c r="F2771"/>
      <x:c r="G2771"/>
      <x:c r="H2771"/>
      <x:c r="I2771"/>
      <x:c r="J2771"/>
      <x:c r="K2771"/>
      <x:c r="L2771"/>
      <x:c r="M2771"/>
      <x:c r="N2771"/>
      <x:c r="O2771"/>
      <x:c r="P2771"/>
      <x:c r="Q2771"/>
      <x:c r="R2771"/>
      <x:c r="S2771"/>
      <x:c r="T2771"/>
      <x:c r="U2771"/>
      <x:c r="V2771"/>
      <x:c r="W2771"/>
    </x:row>
    <x:row r="2772">
      <x:c r="A2772"/>
      <x:c r="B2772"/>
      <x:c r="C2772"/>
      <x:c r="D2772"/>
      <x:c r="E2772"/>
      <x:c r="F2772"/>
      <x:c r="G2772"/>
      <x:c r="H2772"/>
      <x:c r="I2772"/>
      <x:c r="J2772"/>
      <x:c r="K2772"/>
      <x:c r="L2772"/>
      <x:c r="M2772"/>
      <x:c r="N2772"/>
      <x:c r="O2772"/>
      <x:c r="P2772"/>
      <x:c r="Q2772"/>
      <x:c r="R2772"/>
      <x:c r="S2772"/>
      <x:c r="T2772"/>
      <x:c r="U2772"/>
      <x:c r="V2772"/>
      <x:c r="W2772"/>
    </x:row>
    <x:row r="2773">
      <x:c r="A2773"/>
      <x:c r="B2773"/>
      <x:c r="C2773"/>
      <x:c r="D2773"/>
      <x:c r="E2773"/>
      <x:c r="F2773"/>
      <x:c r="G2773"/>
      <x:c r="H2773"/>
      <x:c r="I2773"/>
      <x:c r="J2773"/>
      <x:c r="K2773"/>
      <x:c r="L2773"/>
      <x:c r="M2773"/>
      <x:c r="N2773"/>
      <x:c r="O2773"/>
      <x:c r="P2773"/>
      <x:c r="Q2773"/>
      <x:c r="R2773"/>
      <x:c r="S2773"/>
      <x:c r="T2773"/>
      <x:c r="U2773"/>
      <x:c r="V2773"/>
      <x:c r="W2773"/>
    </x:row>
    <x:row r="2774">
      <x:c r="A2774"/>
      <x:c r="B2774"/>
      <x:c r="C2774"/>
      <x:c r="D2774"/>
      <x:c r="E2774"/>
      <x:c r="F2774"/>
      <x:c r="G2774"/>
      <x:c r="H2774"/>
      <x:c r="I2774"/>
      <x:c r="J2774"/>
      <x:c r="K2774"/>
      <x:c r="L2774"/>
      <x:c r="M2774"/>
      <x:c r="N2774"/>
      <x:c r="O2774"/>
      <x:c r="P2774"/>
      <x:c r="Q2774"/>
      <x:c r="R2774"/>
      <x:c r="S2774"/>
      <x:c r="T2774"/>
      <x:c r="U2774"/>
      <x:c r="V2774"/>
      <x:c r="W2774"/>
    </x:row>
    <x:row r="2775">
      <x:c r="A2775"/>
      <x:c r="B2775"/>
      <x:c r="C2775"/>
      <x:c r="D2775"/>
      <x:c r="E2775"/>
      <x:c r="F2775"/>
      <x:c r="G2775"/>
      <x:c r="H2775"/>
      <x:c r="I2775"/>
      <x:c r="J2775"/>
      <x:c r="K2775"/>
      <x:c r="L2775"/>
      <x:c r="M2775"/>
      <x:c r="N2775"/>
      <x:c r="O2775"/>
      <x:c r="P2775"/>
      <x:c r="Q2775"/>
      <x:c r="R2775"/>
      <x:c r="S2775"/>
      <x:c r="T2775"/>
      <x:c r="U2775"/>
      <x:c r="V2775"/>
      <x:c r="W2775"/>
    </x:row>
    <x:row r="2776">
      <x:c r="A2776"/>
      <x:c r="B2776"/>
      <x:c r="C2776"/>
      <x:c r="D2776"/>
      <x:c r="E2776"/>
      <x:c r="F2776"/>
      <x:c r="G2776"/>
      <x:c r="H2776"/>
      <x:c r="I2776"/>
      <x:c r="J2776"/>
      <x:c r="K2776"/>
      <x:c r="L2776"/>
      <x:c r="M2776"/>
      <x:c r="N2776"/>
      <x:c r="O2776"/>
      <x:c r="P2776"/>
      <x:c r="Q2776"/>
      <x:c r="R2776"/>
      <x:c r="S2776"/>
      <x:c r="T2776"/>
      <x:c r="U2776"/>
      <x:c r="V2776"/>
      <x:c r="W2776"/>
    </x:row>
    <x:row r="2777">
      <x:c r="A2777"/>
      <x:c r="B2777"/>
      <x:c r="C2777"/>
      <x:c r="D2777"/>
      <x:c r="E2777"/>
      <x:c r="F2777"/>
      <x:c r="G2777"/>
      <x:c r="H2777"/>
      <x:c r="I2777"/>
      <x:c r="J2777"/>
      <x:c r="K2777"/>
      <x:c r="L2777"/>
      <x:c r="M2777"/>
      <x:c r="N2777"/>
      <x:c r="O2777"/>
      <x:c r="P2777"/>
      <x:c r="Q2777"/>
      <x:c r="R2777"/>
      <x:c r="S2777"/>
      <x:c r="T2777"/>
      <x:c r="U2777"/>
      <x:c r="V2777"/>
      <x:c r="W2777"/>
    </x:row>
    <x:row r="2778">
      <x:c r="A2778"/>
      <x:c r="B2778"/>
      <x:c r="C2778"/>
      <x:c r="D2778"/>
      <x:c r="E2778"/>
      <x:c r="F2778"/>
      <x:c r="G2778"/>
      <x:c r="H2778"/>
      <x:c r="I2778"/>
      <x:c r="J2778"/>
      <x:c r="K2778"/>
      <x:c r="L2778"/>
      <x:c r="M2778"/>
      <x:c r="N2778"/>
      <x:c r="O2778"/>
      <x:c r="P2778"/>
      <x:c r="Q2778"/>
      <x:c r="R2778"/>
      <x:c r="S2778"/>
      <x:c r="T2778"/>
      <x:c r="U2778"/>
      <x:c r="V2778"/>
      <x:c r="W2778"/>
    </x:row>
    <x:row r="2779">
      <x:c r="A2779"/>
      <x:c r="B2779"/>
      <x:c r="C2779"/>
      <x:c r="D2779"/>
      <x:c r="E2779"/>
      <x:c r="F2779"/>
      <x:c r="G2779"/>
      <x:c r="H2779"/>
      <x:c r="I2779"/>
      <x:c r="J2779"/>
      <x:c r="K2779"/>
      <x:c r="L2779"/>
      <x:c r="M2779"/>
      <x:c r="N2779"/>
      <x:c r="O2779"/>
      <x:c r="P2779"/>
      <x:c r="Q2779"/>
      <x:c r="R2779"/>
      <x:c r="S2779"/>
      <x:c r="T2779"/>
      <x:c r="U2779"/>
      <x:c r="V2779"/>
      <x:c r="W2779"/>
    </x:row>
    <x:row r="2780">
      <x:c r="A2780"/>
      <x:c r="B2780"/>
      <x:c r="C2780"/>
      <x:c r="D2780"/>
      <x:c r="E2780"/>
      <x:c r="F2780"/>
      <x:c r="G2780"/>
      <x:c r="H2780"/>
      <x:c r="I2780"/>
      <x:c r="J2780"/>
      <x:c r="K2780"/>
      <x:c r="L2780"/>
      <x:c r="M2780"/>
      <x:c r="N2780"/>
      <x:c r="O2780"/>
      <x:c r="P2780"/>
      <x:c r="Q2780"/>
      <x:c r="R2780"/>
      <x:c r="S2780"/>
      <x:c r="T2780"/>
      <x:c r="U2780"/>
      <x:c r="V2780"/>
      <x:c r="W2780"/>
    </x:row>
    <x:row r="2781">
      <x:c r="A2781"/>
      <x:c r="B2781"/>
      <x:c r="C2781"/>
      <x:c r="D2781"/>
      <x:c r="E2781"/>
      <x:c r="F2781"/>
      <x:c r="G2781"/>
      <x:c r="H2781"/>
      <x:c r="I2781"/>
      <x:c r="J2781"/>
      <x:c r="K2781"/>
      <x:c r="L2781"/>
      <x:c r="M2781"/>
      <x:c r="N2781"/>
      <x:c r="O2781"/>
      <x:c r="P2781"/>
      <x:c r="Q2781"/>
      <x:c r="R2781"/>
      <x:c r="S2781"/>
      <x:c r="T2781"/>
      <x:c r="U2781"/>
      <x:c r="V2781"/>
      <x:c r="W2781"/>
    </x:row>
    <x:row r="2782">
      <x:c r="A2782"/>
      <x:c r="B2782"/>
      <x:c r="C2782"/>
      <x:c r="D2782"/>
      <x:c r="E2782"/>
      <x:c r="F2782"/>
      <x:c r="G2782"/>
      <x:c r="H2782"/>
      <x:c r="I2782"/>
      <x:c r="J2782"/>
      <x:c r="K2782"/>
      <x:c r="L2782"/>
      <x:c r="M2782"/>
      <x:c r="N2782"/>
      <x:c r="O2782"/>
      <x:c r="P2782"/>
      <x:c r="Q2782"/>
      <x:c r="R2782"/>
      <x:c r="S2782"/>
      <x:c r="T2782"/>
      <x:c r="U2782"/>
      <x:c r="V2782"/>
      <x:c r="W2782"/>
    </x:row>
    <x:row r="2783">
      <x:c r="A2783"/>
      <x:c r="B2783"/>
      <x:c r="C2783"/>
      <x:c r="D2783"/>
      <x:c r="E2783"/>
      <x:c r="F2783"/>
      <x:c r="G2783"/>
      <x:c r="H2783"/>
      <x:c r="I2783"/>
      <x:c r="J2783"/>
      <x:c r="K2783"/>
      <x:c r="L2783"/>
      <x:c r="M2783"/>
      <x:c r="N2783"/>
      <x:c r="O2783"/>
      <x:c r="P2783"/>
      <x:c r="Q2783"/>
      <x:c r="R2783"/>
      <x:c r="S2783"/>
      <x:c r="T2783"/>
      <x:c r="U2783"/>
      <x:c r="V2783"/>
      <x:c r="W2783"/>
    </x:row>
    <x:row r="2784">
      <x:c r="A2784"/>
      <x:c r="B2784"/>
      <x:c r="C2784"/>
      <x:c r="D2784"/>
      <x:c r="E2784"/>
      <x:c r="F2784"/>
      <x:c r="G2784"/>
      <x:c r="H2784"/>
      <x:c r="I2784"/>
      <x:c r="J2784"/>
      <x:c r="K2784"/>
      <x:c r="L2784"/>
      <x:c r="M2784"/>
      <x:c r="N2784"/>
      <x:c r="O2784"/>
      <x:c r="P2784"/>
      <x:c r="Q2784"/>
      <x:c r="R2784"/>
      <x:c r="S2784"/>
      <x:c r="T2784"/>
      <x:c r="U2784"/>
      <x:c r="V2784"/>
      <x:c r="W2784"/>
    </x:row>
    <x:row r="2785">
      <x:c r="A2785"/>
      <x:c r="B2785"/>
      <x:c r="C2785"/>
      <x:c r="D2785"/>
      <x:c r="E2785"/>
      <x:c r="F2785"/>
      <x:c r="G2785"/>
      <x:c r="H2785"/>
      <x:c r="I2785"/>
      <x:c r="J2785"/>
      <x:c r="K2785"/>
      <x:c r="L2785"/>
      <x:c r="M2785"/>
      <x:c r="N2785"/>
      <x:c r="O2785"/>
      <x:c r="P2785"/>
      <x:c r="Q2785"/>
      <x:c r="R2785"/>
      <x:c r="S2785"/>
      <x:c r="T2785"/>
      <x:c r="U2785"/>
      <x:c r="V2785"/>
      <x:c r="W2785"/>
    </x:row>
    <x:row r="2786">
      <x:c r="A2786"/>
      <x:c r="B2786"/>
      <x:c r="C2786"/>
      <x:c r="D2786"/>
      <x:c r="E2786"/>
      <x:c r="F2786"/>
      <x:c r="G2786"/>
      <x:c r="H2786"/>
      <x:c r="I2786"/>
      <x:c r="J2786"/>
      <x:c r="K2786"/>
      <x:c r="L2786"/>
      <x:c r="M2786"/>
      <x:c r="N2786"/>
      <x:c r="O2786"/>
      <x:c r="P2786"/>
      <x:c r="Q2786"/>
      <x:c r="R2786"/>
      <x:c r="S2786"/>
      <x:c r="T2786"/>
      <x:c r="U2786"/>
      <x:c r="V2786"/>
      <x:c r="W2786"/>
    </x:row>
    <x:row r="2787">
      <x:c r="A2787"/>
      <x:c r="B2787"/>
      <x:c r="C2787"/>
      <x:c r="D2787"/>
      <x:c r="E2787"/>
      <x:c r="F2787"/>
      <x:c r="G2787"/>
      <x:c r="H2787"/>
      <x:c r="I2787"/>
      <x:c r="J2787"/>
      <x:c r="K2787"/>
      <x:c r="L2787"/>
      <x:c r="M2787"/>
      <x:c r="N2787"/>
      <x:c r="O2787"/>
      <x:c r="P2787"/>
      <x:c r="Q2787"/>
      <x:c r="R2787"/>
      <x:c r="S2787"/>
      <x:c r="T2787"/>
      <x:c r="U2787"/>
      <x:c r="V2787"/>
      <x:c r="W2787"/>
    </x:row>
    <x:row r="2788">
      <x:c r="A2788"/>
      <x:c r="B2788"/>
      <x:c r="C2788"/>
      <x:c r="D2788"/>
      <x:c r="E2788"/>
      <x:c r="F2788"/>
      <x:c r="G2788"/>
      <x:c r="H2788"/>
      <x:c r="I2788"/>
      <x:c r="J2788"/>
      <x:c r="K2788"/>
      <x:c r="L2788"/>
      <x:c r="M2788"/>
      <x:c r="N2788"/>
      <x:c r="O2788"/>
      <x:c r="P2788"/>
      <x:c r="Q2788"/>
      <x:c r="R2788"/>
      <x:c r="S2788"/>
      <x:c r="T2788"/>
      <x:c r="U2788"/>
      <x:c r="V2788"/>
      <x:c r="W2788"/>
    </x:row>
    <x:row r="2789">
      <x:c r="A2789"/>
      <x:c r="B2789"/>
      <x:c r="C2789"/>
      <x:c r="D2789"/>
      <x:c r="E2789"/>
      <x:c r="F2789"/>
      <x:c r="G2789"/>
      <x:c r="H2789"/>
      <x:c r="I2789"/>
      <x:c r="J2789"/>
      <x:c r="K2789"/>
      <x:c r="L2789"/>
      <x:c r="M2789"/>
      <x:c r="N2789"/>
      <x:c r="O2789"/>
      <x:c r="P2789"/>
      <x:c r="Q2789"/>
      <x:c r="R2789"/>
      <x:c r="S2789"/>
      <x:c r="T2789"/>
      <x:c r="U2789"/>
      <x:c r="V2789"/>
      <x:c r="W2789"/>
    </x:row>
    <x:row r="2790">
      <x:c r="A2790"/>
      <x:c r="B2790"/>
      <x:c r="C2790"/>
      <x:c r="D2790"/>
      <x:c r="E2790"/>
      <x:c r="F2790"/>
      <x:c r="G2790"/>
      <x:c r="H2790"/>
      <x:c r="I2790"/>
      <x:c r="J2790"/>
      <x:c r="K2790"/>
      <x:c r="L2790"/>
      <x:c r="M2790"/>
      <x:c r="N2790"/>
      <x:c r="O2790"/>
      <x:c r="P2790"/>
      <x:c r="Q2790"/>
      <x:c r="R2790"/>
      <x:c r="S2790"/>
      <x:c r="T2790"/>
      <x:c r="U2790"/>
      <x:c r="V2790"/>
      <x:c r="W2790"/>
    </x:row>
    <x:row r="2791">
      <x:c r="A2791"/>
      <x:c r="B2791"/>
      <x:c r="C2791"/>
      <x:c r="D2791"/>
      <x:c r="E2791"/>
      <x:c r="F2791"/>
      <x:c r="G2791"/>
      <x:c r="H2791"/>
      <x:c r="I2791"/>
      <x:c r="J2791"/>
      <x:c r="K2791"/>
      <x:c r="L2791"/>
      <x:c r="M2791"/>
      <x:c r="N2791"/>
      <x:c r="O2791"/>
      <x:c r="P2791"/>
      <x:c r="Q2791"/>
      <x:c r="R2791"/>
      <x:c r="S2791"/>
      <x:c r="T2791"/>
      <x:c r="U2791"/>
      <x:c r="V2791"/>
      <x:c r="W2791"/>
    </x:row>
    <x:row r="2792">
      <x:c r="A2792"/>
      <x:c r="B2792"/>
      <x:c r="C2792"/>
      <x:c r="D2792"/>
      <x:c r="E2792"/>
      <x:c r="F2792"/>
      <x:c r="G2792"/>
      <x:c r="H2792"/>
      <x:c r="I2792"/>
      <x:c r="J2792"/>
      <x:c r="K2792"/>
      <x:c r="L2792"/>
      <x:c r="M2792"/>
      <x:c r="N2792"/>
      <x:c r="O2792"/>
      <x:c r="P2792"/>
      <x:c r="Q2792"/>
      <x:c r="R2792"/>
      <x:c r="S2792"/>
      <x:c r="T2792"/>
      <x:c r="U2792"/>
      <x:c r="V2792"/>
      <x:c r="W2792"/>
    </x:row>
    <x:row r="2793">
      <x:c r="A2793"/>
      <x:c r="B2793"/>
      <x:c r="C2793"/>
      <x:c r="D2793"/>
      <x:c r="E2793"/>
      <x:c r="F2793"/>
      <x:c r="G2793"/>
      <x:c r="H2793"/>
      <x:c r="I2793"/>
      <x:c r="J2793"/>
      <x:c r="K2793"/>
      <x:c r="L2793"/>
      <x:c r="M2793"/>
      <x:c r="N2793"/>
      <x:c r="O2793"/>
      <x:c r="P2793"/>
      <x:c r="Q2793"/>
      <x:c r="R2793"/>
      <x:c r="S2793"/>
      <x:c r="T2793"/>
      <x:c r="U2793"/>
      <x:c r="V2793"/>
      <x:c r="W2793"/>
    </x:row>
    <x:row r="2794">
      <x:c r="A2794"/>
      <x:c r="B2794"/>
      <x:c r="C2794"/>
      <x:c r="D2794"/>
      <x:c r="E2794"/>
      <x:c r="F2794"/>
      <x:c r="G2794"/>
      <x:c r="H2794"/>
      <x:c r="I2794"/>
      <x:c r="J2794"/>
      <x:c r="K2794"/>
      <x:c r="L2794"/>
      <x:c r="M2794"/>
      <x:c r="N2794"/>
      <x:c r="O2794"/>
      <x:c r="P2794"/>
      <x:c r="Q2794"/>
      <x:c r="R2794"/>
      <x:c r="S2794"/>
      <x:c r="T2794"/>
      <x:c r="U2794"/>
      <x:c r="V2794"/>
      <x:c r="W2794"/>
    </x:row>
    <x:row r="2795">
      <x:c r="A2795"/>
      <x:c r="B2795"/>
      <x:c r="C2795"/>
      <x:c r="D2795"/>
      <x:c r="E2795"/>
      <x:c r="F2795"/>
      <x:c r="G2795"/>
      <x:c r="H2795"/>
      <x:c r="I2795"/>
      <x:c r="J2795"/>
      <x:c r="K2795"/>
      <x:c r="L2795"/>
      <x:c r="M2795"/>
      <x:c r="N2795"/>
      <x:c r="O2795"/>
      <x:c r="P2795"/>
      <x:c r="Q2795"/>
      <x:c r="R2795"/>
      <x:c r="S2795"/>
      <x:c r="T2795"/>
      <x:c r="U2795"/>
      <x:c r="V2795"/>
      <x:c r="W2795"/>
    </x:row>
    <x:row r="2796">
      <x:c r="A2796"/>
      <x:c r="B2796"/>
      <x:c r="C2796"/>
      <x:c r="D2796"/>
      <x:c r="E2796"/>
      <x:c r="F2796"/>
      <x:c r="G2796"/>
      <x:c r="H2796"/>
      <x:c r="I2796"/>
      <x:c r="J2796"/>
      <x:c r="K2796"/>
      <x:c r="L2796"/>
      <x:c r="M2796"/>
      <x:c r="N2796"/>
      <x:c r="O2796"/>
      <x:c r="P2796"/>
      <x:c r="Q2796"/>
      <x:c r="R2796"/>
      <x:c r="S2796"/>
      <x:c r="T2796"/>
      <x:c r="U2796"/>
      <x:c r="V2796"/>
      <x:c r="W2796"/>
    </x:row>
    <x:row r="2797">
      <x:c r="A2797"/>
      <x:c r="B2797"/>
      <x:c r="C2797"/>
      <x:c r="D2797"/>
      <x:c r="E2797"/>
      <x:c r="F2797"/>
      <x:c r="G2797"/>
      <x:c r="H2797"/>
      <x:c r="I2797"/>
      <x:c r="J2797"/>
      <x:c r="K2797"/>
      <x:c r="L2797"/>
      <x:c r="M2797"/>
      <x:c r="N2797"/>
      <x:c r="O2797"/>
      <x:c r="P2797"/>
      <x:c r="Q2797"/>
      <x:c r="R2797"/>
      <x:c r="S2797"/>
      <x:c r="T2797"/>
      <x:c r="U2797"/>
      <x:c r="V2797"/>
      <x:c r="W2797"/>
    </x:row>
    <x:row r="2798">
      <x:c r="A2798"/>
      <x:c r="B2798"/>
      <x:c r="C2798"/>
      <x:c r="D2798"/>
      <x:c r="E2798"/>
      <x:c r="F2798"/>
      <x:c r="G2798"/>
      <x:c r="H2798"/>
      <x:c r="I2798"/>
      <x:c r="J2798"/>
      <x:c r="K2798"/>
      <x:c r="L2798"/>
      <x:c r="M2798"/>
      <x:c r="N2798"/>
      <x:c r="O2798"/>
      <x:c r="P2798"/>
      <x:c r="Q2798"/>
      <x:c r="R2798"/>
      <x:c r="S2798"/>
      <x:c r="T2798"/>
      <x:c r="U2798"/>
      <x:c r="V2798"/>
      <x:c r="W2798"/>
    </x:row>
    <x:row r="2799">
      <x:c r="A2799"/>
      <x:c r="B2799"/>
      <x:c r="C2799"/>
      <x:c r="D2799"/>
      <x:c r="E2799"/>
      <x:c r="F2799"/>
      <x:c r="G2799"/>
      <x:c r="H2799"/>
      <x:c r="I2799"/>
      <x:c r="J2799"/>
      <x:c r="K2799"/>
      <x:c r="L2799"/>
      <x:c r="M2799"/>
      <x:c r="N2799"/>
      <x:c r="O2799"/>
      <x:c r="P2799"/>
      <x:c r="Q2799"/>
      <x:c r="R2799"/>
      <x:c r="S2799"/>
      <x:c r="T2799"/>
      <x:c r="U2799"/>
      <x:c r="V2799"/>
      <x:c r="W2799"/>
    </x:row>
    <x:row r="2800">
      <x:c r="A2800"/>
      <x:c r="B2800"/>
      <x:c r="C2800"/>
      <x:c r="D2800"/>
      <x:c r="E2800"/>
      <x:c r="F2800"/>
      <x:c r="G2800"/>
      <x:c r="H2800"/>
      <x:c r="I2800"/>
      <x:c r="J2800"/>
      <x:c r="K2800"/>
      <x:c r="L2800"/>
      <x:c r="M2800"/>
      <x:c r="N2800"/>
      <x:c r="O2800"/>
      <x:c r="P2800"/>
      <x:c r="Q2800"/>
      <x:c r="R2800"/>
      <x:c r="S2800"/>
      <x:c r="T2800"/>
      <x:c r="U2800"/>
      <x:c r="V2800"/>
      <x:c r="W2800"/>
    </x:row>
    <x:row r="2801">
      <x:c r="A2801"/>
      <x:c r="B2801"/>
      <x:c r="C2801"/>
      <x:c r="D2801"/>
      <x:c r="E2801"/>
      <x:c r="F2801"/>
      <x:c r="G2801"/>
      <x:c r="H2801"/>
      <x:c r="I2801"/>
      <x:c r="J2801"/>
      <x:c r="K2801"/>
      <x:c r="L2801"/>
      <x:c r="M2801"/>
      <x:c r="N2801"/>
      <x:c r="O2801"/>
      <x:c r="P2801"/>
      <x:c r="Q2801"/>
      <x:c r="R2801"/>
      <x:c r="S2801"/>
      <x:c r="T2801"/>
      <x:c r="U2801"/>
      <x:c r="V2801"/>
      <x:c r="W2801"/>
    </x:row>
    <x:row r="2802">
      <x:c r="A2802"/>
      <x:c r="B2802"/>
      <x:c r="C2802"/>
      <x:c r="D2802"/>
      <x:c r="E2802"/>
      <x:c r="F2802"/>
      <x:c r="G2802"/>
      <x:c r="H2802"/>
      <x:c r="I2802"/>
      <x:c r="J2802"/>
      <x:c r="K2802"/>
      <x:c r="L2802"/>
      <x:c r="M2802"/>
      <x:c r="N2802"/>
      <x:c r="O2802"/>
      <x:c r="P2802"/>
      <x:c r="Q2802"/>
      <x:c r="R2802"/>
      <x:c r="S2802"/>
      <x:c r="T2802"/>
      <x:c r="U2802"/>
      <x:c r="V2802"/>
      <x:c r="W2802"/>
    </x:row>
    <x:row r="2803">
      <x:c r="A2803"/>
      <x:c r="B2803"/>
      <x:c r="C2803"/>
      <x:c r="D2803"/>
      <x:c r="E2803"/>
      <x:c r="F2803"/>
      <x:c r="G2803"/>
      <x:c r="H2803"/>
      <x:c r="I2803"/>
      <x:c r="J2803"/>
      <x:c r="K2803"/>
      <x:c r="L2803"/>
      <x:c r="M2803"/>
      <x:c r="N2803"/>
      <x:c r="O2803"/>
      <x:c r="P2803"/>
      <x:c r="Q2803"/>
      <x:c r="R2803"/>
      <x:c r="S2803"/>
      <x:c r="T2803"/>
      <x:c r="U2803"/>
      <x:c r="V2803"/>
      <x:c r="W2803"/>
    </x:row>
    <x:row r="2804">
      <x:c r="A2804"/>
      <x:c r="B2804"/>
      <x:c r="C2804"/>
      <x:c r="D2804"/>
      <x:c r="E2804"/>
      <x:c r="F2804"/>
      <x:c r="G2804"/>
      <x:c r="H2804"/>
      <x:c r="I2804"/>
      <x:c r="J2804"/>
      <x:c r="K2804"/>
      <x:c r="L2804"/>
      <x:c r="M2804"/>
      <x:c r="N2804"/>
      <x:c r="O2804"/>
      <x:c r="P2804"/>
      <x:c r="Q2804"/>
      <x:c r="R2804"/>
      <x:c r="S2804"/>
      <x:c r="T2804"/>
      <x:c r="U2804"/>
      <x:c r="V2804"/>
      <x:c r="W2804"/>
    </x:row>
    <x:row r="2805">
      <x:c r="A2805"/>
      <x:c r="B2805"/>
      <x:c r="C2805"/>
      <x:c r="D2805"/>
      <x:c r="E2805"/>
      <x:c r="F2805"/>
      <x:c r="G2805"/>
      <x:c r="H2805"/>
      <x:c r="I2805"/>
      <x:c r="J2805"/>
      <x:c r="K2805"/>
      <x:c r="L2805"/>
      <x:c r="M2805"/>
      <x:c r="N2805"/>
      <x:c r="O2805"/>
      <x:c r="P2805"/>
      <x:c r="Q2805"/>
      <x:c r="R2805"/>
      <x:c r="S2805"/>
      <x:c r="T2805"/>
      <x:c r="U2805"/>
      <x:c r="V2805"/>
      <x:c r="W2805"/>
    </x:row>
    <x:row r="2806">
      <x:c r="A2806"/>
      <x:c r="B2806"/>
      <x:c r="C2806"/>
      <x:c r="D2806"/>
      <x:c r="E2806"/>
      <x:c r="F2806"/>
      <x:c r="G2806"/>
      <x:c r="H2806"/>
      <x:c r="I2806"/>
      <x:c r="J2806"/>
      <x:c r="K2806"/>
      <x:c r="L2806"/>
      <x:c r="M2806"/>
      <x:c r="N2806"/>
      <x:c r="O2806"/>
      <x:c r="P2806"/>
      <x:c r="Q2806"/>
      <x:c r="R2806"/>
      <x:c r="S2806"/>
      <x:c r="T2806"/>
      <x:c r="U2806"/>
      <x:c r="V2806"/>
      <x:c r="W2806"/>
    </x:row>
    <x:row r="2807">
      <x:c r="A2807"/>
      <x:c r="B2807"/>
      <x:c r="C2807"/>
      <x:c r="D2807"/>
      <x:c r="E2807"/>
      <x:c r="F2807"/>
      <x:c r="G2807"/>
      <x:c r="H2807"/>
      <x:c r="I2807"/>
      <x:c r="J2807"/>
      <x:c r="K2807"/>
      <x:c r="L2807"/>
      <x:c r="M2807"/>
      <x:c r="N2807"/>
      <x:c r="O2807"/>
      <x:c r="P2807"/>
      <x:c r="Q2807"/>
      <x:c r="R2807"/>
      <x:c r="S2807"/>
      <x:c r="T2807"/>
      <x:c r="U2807"/>
      <x:c r="V2807"/>
      <x:c r="W2807"/>
    </x:row>
    <x:row r="2808">
      <x:c r="A2808"/>
      <x:c r="B2808"/>
      <x:c r="C2808"/>
      <x:c r="D2808"/>
      <x:c r="E2808"/>
      <x:c r="F2808"/>
      <x:c r="G2808"/>
      <x:c r="H2808"/>
      <x:c r="I2808"/>
      <x:c r="J2808"/>
      <x:c r="K2808"/>
      <x:c r="L2808"/>
      <x:c r="M2808"/>
      <x:c r="N2808"/>
      <x:c r="O2808"/>
      <x:c r="P2808"/>
      <x:c r="Q2808"/>
      <x:c r="R2808"/>
      <x:c r="S2808"/>
      <x:c r="T2808"/>
      <x:c r="U2808"/>
      <x:c r="V2808"/>
      <x:c r="W2808"/>
    </x:row>
    <x:row r="2809">
      <x:c r="A2809"/>
      <x:c r="B2809"/>
      <x:c r="C2809"/>
      <x:c r="D2809"/>
      <x:c r="E2809"/>
      <x:c r="F2809"/>
      <x:c r="G2809"/>
      <x:c r="H2809"/>
      <x:c r="I2809"/>
      <x:c r="J2809"/>
      <x:c r="K2809"/>
      <x:c r="L2809"/>
      <x:c r="M2809"/>
      <x:c r="N2809"/>
      <x:c r="O2809"/>
      <x:c r="P2809"/>
      <x:c r="Q2809"/>
      <x:c r="R2809"/>
      <x:c r="S2809"/>
      <x:c r="T2809"/>
      <x:c r="U2809"/>
      <x:c r="V2809"/>
      <x:c r="W2809"/>
    </x:row>
    <x:row r="2810">
      <x:c r="A2810"/>
      <x:c r="B2810"/>
      <x:c r="C2810"/>
      <x:c r="D2810"/>
      <x:c r="E2810"/>
      <x:c r="F2810"/>
      <x:c r="G2810"/>
      <x:c r="H2810"/>
      <x:c r="I2810"/>
      <x:c r="J2810"/>
      <x:c r="K2810"/>
      <x:c r="L2810"/>
      <x:c r="M2810"/>
      <x:c r="N2810"/>
      <x:c r="O2810"/>
      <x:c r="P2810"/>
      <x:c r="Q2810"/>
      <x:c r="R2810"/>
      <x:c r="S2810"/>
      <x:c r="T2810"/>
      <x:c r="U2810"/>
      <x:c r="V2810"/>
      <x:c r="W2810"/>
    </x:row>
    <x:row r="2811">
      <x:c r="A2811"/>
      <x:c r="B2811"/>
      <x:c r="C2811"/>
      <x:c r="D2811"/>
      <x:c r="E2811"/>
      <x:c r="F2811"/>
      <x:c r="G2811"/>
      <x:c r="H2811"/>
      <x:c r="I2811"/>
      <x:c r="J2811"/>
      <x:c r="K2811"/>
      <x:c r="L2811"/>
      <x:c r="M2811"/>
      <x:c r="N2811"/>
      <x:c r="O2811"/>
      <x:c r="P2811"/>
      <x:c r="Q2811"/>
      <x:c r="R2811"/>
      <x:c r="S2811"/>
      <x:c r="T2811"/>
      <x:c r="U2811"/>
      <x:c r="V2811"/>
      <x:c r="W2811"/>
    </x:row>
    <x:row r="2812">
      <x:c r="A2812"/>
      <x:c r="B2812"/>
      <x:c r="C2812"/>
      <x:c r="D2812"/>
      <x:c r="E2812"/>
      <x:c r="F2812"/>
      <x:c r="G2812"/>
      <x:c r="H2812"/>
      <x:c r="I2812"/>
      <x:c r="J2812"/>
      <x:c r="K2812"/>
      <x:c r="L2812"/>
      <x:c r="M2812"/>
      <x:c r="N2812"/>
      <x:c r="O2812"/>
      <x:c r="P2812"/>
      <x:c r="Q2812"/>
      <x:c r="R2812"/>
      <x:c r="S2812"/>
      <x:c r="T2812"/>
      <x:c r="U2812"/>
      <x:c r="V2812"/>
      <x:c r="W2812"/>
    </x:row>
    <x:row r="2813">
      <x:c r="A2813"/>
      <x:c r="B2813"/>
      <x:c r="C2813"/>
      <x:c r="D2813"/>
      <x:c r="E2813"/>
      <x:c r="F2813"/>
      <x:c r="G2813"/>
      <x:c r="H2813"/>
      <x:c r="I2813"/>
      <x:c r="J2813"/>
      <x:c r="K2813"/>
      <x:c r="L2813"/>
      <x:c r="M2813"/>
      <x:c r="N2813"/>
      <x:c r="O2813"/>
      <x:c r="P2813"/>
      <x:c r="Q2813"/>
      <x:c r="R2813"/>
      <x:c r="S2813"/>
      <x:c r="T2813"/>
      <x:c r="U2813"/>
      <x:c r="V2813"/>
      <x:c r="W2813"/>
    </x:row>
    <x:row r="2814">
      <x:c r="A2814"/>
      <x:c r="B2814"/>
      <x:c r="C2814"/>
      <x:c r="D2814"/>
      <x:c r="E2814"/>
      <x:c r="F2814"/>
      <x:c r="G2814"/>
      <x:c r="H2814"/>
      <x:c r="I2814"/>
      <x:c r="J2814"/>
      <x:c r="K2814"/>
      <x:c r="L2814"/>
      <x:c r="M2814"/>
      <x:c r="N2814"/>
      <x:c r="O2814"/>
      <x:c r="P2814"/>
      <x:c r="Q2814"/>
      <x:c r="R2814"/>
      <x:c r="S2814"/>
      <x:c r="T2814"/>
      <x:c r="U2814"/>
      <x:c r="V2814"/>
      <x:c r="W2814"/>
    </x:row>
    <x:row r="2815">
      <x:c r="A2815"/>
      <x:c r="B2815"/>
      <x:c r="C2815"/>
      <x:c r="D2815"/>
      <x:c r="E2815"/>
      <x:c r="F2815"/>
      <x:c r="G2815"/>
      <x:c r="H2815"/>
      <x:c r="I2815"/>
      <x:c r="J2815"/>
      <x:c r="K2815"/>
      <x:c r="L2815"/>
      <x:c r="M2815"/>
      <x:c r="N2815"/>
      <x:c r="O2815"/>
      <x:c r="P2815"/>
      <x:c r="Q2815"/>
      <x:c r="R2815"/>
      <x:c r="S2815"/>
      <x:c r="T2815"/>
      <x:c r="U2815"/>
      <x:c r="V2815"/>
      <x:c r="W2815"/>
    </x:row>
    <x:row r="2816">
      <x:c r="A2816"/>
      <x:c r="B2816"/>
      <x:c r="C2816"/>
      <x:c r="D2816"/>
      <x:c r="E2816"/>
      <x:c r="F2816"/>
      <x:c r="G2816"/>
      <x:c r="H2816"/>
      <x:c r="I2816"/>
      <x:c r="J2816"/>
      <x:c r="K2816"/>
      <x:c r="L2816"/>
      <x:c r="M2816"/>
      <x:c r="N2816"/>
      <x:c r="O2816"/>
      <x:c r="P2816"/>
      <x:c r="Q2816"/>
      <x:c r="R2816"/>
      <x:c r="S2816"/>
      <x:c r="T2816"/>
      <x:c r="U2816"/>
      <x:c r="V2816"/>
      <x:c r="W2816"/>
    </x:row>
    <x:row r="2817">
      <x:c r="A2817"/>
      <x:c r="B2817"/>
      <x:c r="C2817"/>
      <x:c r="D2817"/>
      <x:c r="E2817"/>
      <x:c r="F2817"/>
      <x:c r="G2817"/>
      <x:c r="H2817"/>
      <x:c r="I2817"/>
      <x:c r="J2817"/>
      <x:c r="K2817"/>
      <x:c r="L2817"/>
      <x:c r="M2817"/>
      <x:c r="N2817"/>
      <x:c r="O2817"/>
      <x:c r="P2817"/>
      <x:c r="Q2817"/>
      <x:c r="R2817"/>
      <x:c r="S2817"/>
      <x:c r="T2817"/>
      <x:c r="U2817"/>
      <x:c r="V2817"/>
      <x:c r="W2817"/>
    </x:row>
    <x:row r="2818">
      <x:c r="A2818"/>
      <x:c r="B2818"/>
      <x:c r="C2818"/>
      <x:c r="D2818"/>
      <x:c r="E2818"/>
      <x:c r="F2818"/>
      <x:c r="G2818"/>
      <x:c r="H2818"/>
      <x:c r="I2818"/>
      <x:c r="J2818"/>
      <x:c r="K2818"/>
      <x:c r="L2818"/>
      <x:c r="M2818"/>
      <x:c r="N2818"/>
      <x:c r="O2818"/>
      <x:c r="P2818"/>
      <x:c r="Q2818"/>
      <x:c r="R2818"/>
      <x:c r="S2818"/>
      <x:c r="T2818"/>
      <x:c r="U2818"/>
      <x:c r="V2818"/>
      <x:c r="W2818"/>
    </x:row>
    <x:row r="2819">
      <x:c r="A2819"/>
      <x:c r="B2819"/>
      <x:c r="C2819"/>
      <x:c r="D2819"/>
      <x:c r="E2819"/>
      <x:c r="F2819"/>
      <x:c r="G2819"/>
      <x:c r="H2819"/>
      <x:c r="I2819"/>
      <x:c r="J2819"/>
      <x:c r="K2819"/>
      <x:c r="L2819"/>
      <x:c r="M2819"/>
      <x:c r="N2819"/>
      <x:c r="O2819"/>
      <x:c r="P2819"/>
      <x:c r="Q2819"/>
      <x:c r="R2819"/>
      <x:c r="S2819"/>
      <x:c r="T2819"/>
      <x:c r="U2819"/>
      <x:c r="V2819"/>
      <x:c r="W2819"/>
    </x:row>
    <x:row r="2820">
      <x:c r="A2820"/>
      <x:c r="B2820"/>
      <x:c r="C2820"/>
      <x:c r="D2820"/>
      <x:c r="E2820"/>
      <x:c r="F2820"/>
      <x:c r="G2820"/>
      <x:c r="H2820"/>
      <x:c r="I2820"/>
      <x:c r="J2820"/>
      <x:c r="K2820"/>
      <x:c r="L2820"/>
      <x:c r="M2820"/>
      <x:c r="N2820"/>
      <x:c r="O2820"/>
      <x:c r="P2820"/>
      <x:c r="Q2820"/>
      <x:c r="R2820"/>
      <x:c r="S2820"/>
      <x:c r="T2820"/>
      <x:c r="U2820"/>
      <x:c r="V2820"/>
      <x:c r="W2820"/>
    </x:row>
    <x:row r="2821">
      <x:c r="A2821"/>
      <x:c r="B2821"/>
      <x:c r="C2821"/>
      <x:c r="D2821"/>
      <x:c r="E2821"/>
      <x:c r="F2821"/>
      <x:c r="G2821"/>
      <x:c r="H2821"/>
      <x:c r="I2821"/>
      <x:c r="J2821"/>
      <x:c r="K2821"/>
      <x:c r="L2821"/>
      <x:c r="M2821"/>
      <x:c r="N2821"/>
      <x:c r="O2821"/>
      <x:c r="P2821"/>
      <x:c r="Q2821"/>
      <x:c r="R2821"/>
      <x:c r="S2821"/>
      <x:c r="T2821"/>
      <x:c r="U2821"/>
      <x:c r="V2821"/>
      <x:c r="W2821"/>
    </x:row>
    <x:row r="2822">
      <x:c r="A2822"/>
      <x:c r="B2822"/>
      <x:c r="C2822"/>
      <x:c r="D2822"/>
      <x:c r="E2822"/>
      <x:c r="F2822"/>
      <x:c r="G2822"/>
      <x:c r="H2822"/>
      <x:c r="I2822"/>
      <x:c r="J2822"/>
      <x:c r="K2822"/>
      <x:c r="L2822"/>
      <x:c r="M2822"/>
      <x:c r="N2822"/>
      <x:c r="O2822"/>
      <x:c r="P2822"/>
      <x:c r="Q2822"/>
      <x:c r="R2822"/>
      <x:c r="S2822"/>
      <x:c r="T2822"/>
      <x:c r="U2822"/>
      <x:c r="V2822"/>
      <x:c r="W2822"/>
    </x:row>
    <x:row r="2823">
      <x:c r="A2823"/>
      <x:c r="B2823"/>
      <x:c r="C2823"/>
      <x:c r="D2823"/>
      <x:c r="E2823"/>
      <x:c r="F2823"/>
      <x:c r="G2823"/>
      <x:c r="H2823"/>
      <x:c r="I2823"/>
      <x:c r="J2823"/>
      <x:c r="K2823"/>
      <x:c r="L2823"/>
      <x:c r="M2823"/>
      <x:c r="N2823"/>
      <x:c r="O2823"/>
      <x:c r="P2823"/>
      <x:c r="Q2823"/>
      <x:c r="R2823"/>
      <x:c r="S2823"/>
      <x:c r="T2823"/>
      <x:c r="U2823"/>
      <x:c r="V2823"/>
      <x:c r="W2823"/>
    </x:row>
    <x:row r="2824">
      <x:c r="A2824"/>
      <x:c r="B2824"/>
      <x:c r="C2824"/>
      <x:c r="D2824"/>
      <x:c r="E2824"/>
      <x:c r="F2824"/>
      <x:c r="G2824"/>
      <x:c r="H2824"/>
      <x:c r="I2824"/>
      <x:c r="J2824"/>
      <x:c r="K2824"/>
      <x:c r="L2824"/>
      <x:c r="M2824"/>
      <x:c r="N2824"/>
      <x:c r="O2824"/>
      <x:c r="P2824"/>
      <x:c r="Q2824"/>
      <x:c r="R2824"/>
      <x:c r="S2824"/>
      <x:c r="T2824"/>
      <x:c r="U2824"/>
      <x:c r="V2824"/>
      <x:c r="W2824"/>
    </x:row>
    <x:row r="2825">
      <x:c r="A2825"/>
      <x:c r="B2825"/>
      <x:c r="C2825"/>
      <x:c r="D2825"/>
      <x:c r="E2825"/>
      <x:c r="F2825"/>
      <x:c r="G2825"/>
      <x:c r="H2825"/>
      <x:c r="I2825"/>
      <x:c r="J2825"/>
      <x:c r="K2825"/>
      <x:c r="L2825"/>
      <x:c r="M2825"/>
      <x:c r="N2825"/>
      <x:c r="O2825"/>
      <x:c r="P2825"/>
      <x:c r="Q2825"/>
      <x:c r="R2825"/>
      <x:c r="S2825"/>
      <x:c r="T2825"/>
      <x:c r="U2825"/>
      <x:c r="V2825"/>
      <x:c r="W2825"/>
    </x:row>
    <x:row r="2826">
      <x:c r="A2826"/>
      <x:c r="B2826"/>
      <x:c r="C2826"/>
      <x:c r="D2826"/>
      <x:c r="E2826"/>
      <x:c r="F2826"/>
      <x:c r="G2826"/>
      <x:c r="H2826"/>
      <x:c r="I2826"/>
      <x:c r="J2826"/>
      <x:c r="K2826"/>
      <x:c r="L2826"/>
      <x:c r="M2826"/>
      <x:c r="N2826"/>
      <x:c r="O2826"/>
      <x:c r="P2826"/>
      <x:c r="Q2826"/>
      <x:c r="R2826"/>
      <x:c r="S2826"/>
      <x:c r="T2826"/>
      <x:c r="U2826"/>
      <x:c r="V2826"/>
      <x:c r="W2826"/>
    </x:row>
    <x:row r="2827">
      <x:c r="A2827"/>
      <x:c r="B2827"/>
      <x:c r="C2827"/>
      <x:c r="D2827"/>
      <x:c r="E2827"/>
      <x:c r="F2827"/>
      <x:c r="G2827"/>
      <x:c r="H2827"/>
      <x:c r="I2827"/>
      <x:c r="J2827"/>
      <x:c r="K2827"/>
      <x:c r="L2827"/>
      <x:c r="M2827"/>
      <x:c r="N2827"/>
      <x:c r="O2827"/>
      <x:c r="P2827"/>
      <x:c r="Q2827"/>
      <x:c r="R2827"/>
      <x:c r="S2827"/>
      <x:c r="T2827"/>
      <x:c r="U2827"/>
      <x:c r="V2827"/>
      <x:c r="W2827"/>
    </x:row>
    <x:row r="2828">
      <x:c r="A2828"/>
      <x:c r="B2828"/>
      <x:c r="C2828"/>
      <x:c r="D2828"/>
      <x:c r="E2828"/>
      <x:c r="F2828"/>
      <x:c r="G2828"/>
      <x:c r="H2828"/>
      <x:c r="I2828"/>
      <x:c r="J2828"/>
      <x:c r="K2828"/>
      <x:c r="L2828"/>
      <x:c r="M2828"/>
      <x:c r="N2828"/>
      <x:c r="O2828"/>
      <x:c r="P2828"/>
      <x:c r="Q2828"/>
      <x:c r="R2828"/>
      <x:c r="S2828"/>
      <x:c r="T2828"/>
      <x:c r="U2828"/>
      <x:c r="V2828"/>
      <x:c r="W2828"/>
    </x:row>
    <x:row r="2829">
      <x:c r="A2829"/>
      <x:c r="B2829"/>
      <x:c r="C2829"/>
      <x:c r="D2829"/>
      <x:c r="E2829"/>
      <x:c r="F2829"/>
      <x:c r="G2829"/>
      <x:c r="H2829"/>
      <x:c r="I2829"/>
      <x:c r="J2829"/>
      <x:c r="K2829"/>
      <x:c r="L2829"/>
      <x:c r="M2829"/>
      <x:c r="N2829"/>
      <x:c r="O2829"/>
      <x:c r="P2829"/>
      <x:c r="Q2829"/>
      <x:c r="R2829"/>
      <x:c r="S2829"/>
      <x:c r="T2829"/>
      <x:c r="U2829"/>
      <x:c r="V2829"/>
      <x:c r="W2829"/>
    </x:row>
    <x:row r="2830">
      <x:c r="A2830"/>
      <x:c r="B2830"/>
      <x:c r="C2830"/>
      <x:c r="D2830"/>
      <x:c r="E2830"/>
      <x:c r="F2830"/>
      <x:c r="G2830"/>
      <x:c r="H2830"/>
      <x:c r="I2830"/>
      <x:c r="J2830"/>
      <x:c r="K2830"/>
      <x:c r="L2830"/>
      <x:c r="M2830"/>
      <x:c r="N2830"/>
      <x:c r="O2830"/>
      <x:c r="P2830"/>
      <x:c r="Q2830"/>
      <x:c r="R2830"/>
      <x:c r="S2830"/>
      <x:c r="T2830"/>
      <x:c r="U2830"/>
      <x:c r="V2830"/>
      <x:c r="W2830"/>
    </x:row>
    <x:row r="2831">
      <x:c r="A2831"/>
      <x:c r="B2831"/>
      <x:c r="C2831"/>
      <x:c r="D2831"/>
      <x:c r="E2831"/>
      <x:c r="F2831"/>
      <x:c r="G2831"/>
      <x:c r="H2831"/>
      <x:c r="I2831"/>
      <x:c r="J2831"/>
      <x:c r="K2831"/>
      <x:c r="L2831"/>
      <x:c r="M2831"/>
      <x:c r="N2831"/>
      <x:c r="O2831"/>
      <x:c r="P2831"/>
      <x:c r="Q2831"/>
      <x:c r="R2831"/>
      <x:c r="S2831"/>
      <x:c r="T2831"/>
      <x:c r="U2831"/>
      <x:c r="V2831"/>
      <x:c r="W2831"/>
    </x:row>
    <x:row r="2832">
      <x:c r="A2832"/>
      <x:c r="B2832"/>
      <x:c r="C2832"/>
      <x:c r="D2832"/>
      <x:c r="E2832"/>
      <x:c r="F2832"/>
      <x:c r="G2832"/>
      <x:c r="H2832"/>
      <x:c r="I2832"/>
      <x:c r="J2832"/>
      <x:c r="K2832"/>
      <x:c r="L2832"/>
      <x:c r="M2832"/>
      <x:c r="N2832"/>
      <x:c r="O2832"/>
      <x:c r="P2832"/>
      <x:c r="Q2832"/>
      <x:c r="R2832"/>
      <x:c r="S2832"/>
      <x:c r="T2832"/>
      <x:c r="U2832"/>
      <x:c r="V2832"/>
      <x:c r="W2832"/>
    </x:row>
    <x:row r="2833">
      <x:c r="A2833"/>
      <x:c r="B2833"/>
      <x:c r="C2833"/>
      <x:c r="D2833"/>
      <x:c r="E2833"/>
      <x:c r="F2833"/>
      <x:c r="G2833"/>
      <x:c r="H2833"/>
      <x:c r="I2833"/>
      <x:c r="J2833"/>
      <x:c r="K2833"/>
      <x:c r="L2833"/>
      <x:c r="M2833"/>
      <x:c r="N2833"/>
      <x:c r="O2833"/>
      <x:c r="P2833"/>
      <x:c r="Q2833"/>
      <x:c r="R2833"/>
      <x:c r="S2833"/>
      <x:c r="T2833"/>
      <x:c r="U2833"/>
      <x:c r="V2833"/>
      <x:c r="W2833"/>
    </x:row>
    <x:row r="2834">
      <x:c r="A2834"/>
      <x:c r="B2834"/>
      <x:c r="C2834"/>
      <x:c r="D2834"/>
      <x:c r="E2834"/>
      <x:c r="F2834"/>
      <x:c r="G2834"/>
      <x:c r="H2834"/>
      <x:c r="I2834"/>
      <x:c r="J2834"/>
      <x:c r="K2834"/>
      <x:c r="L2834"/>
      <x:c r="M2834"/>
      <x:c r="N2834"/>
      <x:c r="O2834"/>
      <x:c r="P2834"/>
      <x:c r="Q2834"/>
      <x:c r="R2834"/>
      <x:c r="S2834"/>
      <x:c r="T2834"/>
      <x:c r="U2834"/>
      <x:c r="V2834"/>
      <x:c r="W2834"/>
    </x:row>
    <x:row r="2835">
      <x:c r="A2835"/>
      <x:c r="B2835"/>
      <x:c r="C2835"/>
      <x:c r="D2835"/>
      <x:c r="E2835"/>
      <x:c r="F2835"/>
      <x:c r="G2835"/>
      <x:c r="H2835"/>
      <x:c r="I2835"/>
      <x:c r="J2835"/>
      <x:c r="K2835"/>
      <x:c r="L2835"/>
      <x:c r="M2835"/>
      <x:c r="N2835"/>
      <x:c r="O2835"/>
      <x:c r="P2835"/>
      <x:c r="Q2835"/>
      <x:c r="R2835"/>
      <x:c r="S2835"/>
      <x:c r="T2835"/>
      <x:c r="U2835"/>
      <x:c r="V2835"/>
      <x:c r="W2835"/>
    </x:row>
    <x:row r="2836">
      <x:c r="A2836"/>
      <x:c r="B2836"/>
      <x:c r="C2836"/>
      <x:c r="D2836"/>
      <x:c r="E2836"/>
      <x:c r="F2836"/>
      <x:c r="G2836"/>
      <x:c r="H2836"/>
      <x:c r="I2836"/>
      <x:c r="J2836"/>
      <x:c r="K2836"/>
      <x:c r="L2836"/>
      <x:c r="M2836"/>
      <x:c r="N2836"/>
      <x:c r="O2836"/>
      <x:c r="P2836"/>
      <x:c r="Q2836"/>
      <x:c r="R2836"/>
      <x:c r="S2836"/>
      <x:c r="T2836"/>
      <x:c r="U2836"/>
      <x:c r="V2836"/>
      <x:c r="W2836"/>
    </x:row>
    <x:row r="2837">
      <x:c r="A2837"/>
      <x:c r="B2837"/>
      <x:c r="C2837"/>
      <x:c r="D2837"/>
      <x:c r="E2837"/>
      <x:c r="F2837"/>
      <x:c r="G2837"/>
      <x:c r="H2837"/>
      <x:c r="I2837"/>
      <x:c r="J2837"/>
      <x:c r="K2837"/>
      <x:c r="L2837"/>
      <x:c r="M2837"/>
      <x:c r="N2837"/>
      <x:c r="O2837"/>
      <x:c r="P2837"/>
      <x:c r="Q2837"/>
      <x:c r="R2837"/>
      <x:c r="S2837"/>
      <x:c r="T2837"/>
      <x:c r="U2837"/>
      <x:c r="V2837"/>
      <x:c r="W2837"/>
    </x:row>
    <x:row r="2838">
      <x:c r="A2838"/>
      <x:c r="B2838"/>
      <x:c r="C2838"/>
      <x:c r="D2838"/>
      <x:c r="E2838"/>
      <x:c r="F2838"/>
      <x:c r="G2838"/>
      <x:c r="H2838"/>
      <x:c r="I2838"/>
      <x:c r="J2838"/>
      <x:c r="K2838"/>
      <x:c r="L2838"/>
      <x:c r="M2838"/>
      <x:c r="N2838"/>
      <x:c r="O2838"/>
      <x:c r="P2838"/>
      <x:c r="Q2838"/>
      <x:c r="R2838"/>
      <x:c r="S2838"/>
      <x:c r="T2838"/>
      <x:c r="U2838"/>
      <x:c r="V2838"/>
      <x:c r="W2838"/>
    </x:row>
    <x:row r="2839">
      <x:c r="A2839"/>
      <x:c r="B2839"/>
      <x:c r="C2839"/>
      <x:c r="D2839"/>
      <x:c r="E2839"/>
      <x:c r="F2839"/>
      <x:c r="G2839"/>
      <x:c r="H2839"/>
      <x:c r="I2839"/>
      <x:c r="J2839"/>
      <x:c r="K2839"/>
      <x:c r="L2839"/>
      <x:c r="M2839"/>
      <x:c r="N2839"/>
      <x:c r="O2839"/>
      <x:c r="P2839"/>
      <x:c r="Q2839"/>
      <x:c r="R2839"/>
      <x:c r="S2839"/>
      <x:c r="T2839"/>
      <x:c r="U2839"/>
      <x:c r="V2839"/>
      <x:c r="W2839"/>
    </x:row>
    <x:row r="2840">
      <x:c r="A2840"/>
      <x:c r="B2840"/>
      <x:c r="C2840"/>
      <x:c r="D2840"/>
      <x:c r="E2840"/>
      <x:c r="F2840"/>
      <x:c r="G2840"/>
      <x:c r="H2840"/>
      <x:c r="I2840"/>
      <x:c r="J2840"/>
      <x:c r="K2840"/>
      <x:c r="L2840"/>
      <x:c r="M2840"/>
      <x:c r="N2840"/>
      <x:c r="O2840"/>
      <x:c r="P2840"/>
      <x:c r="Q2840"/>
      <x:c r="R2840"/>
      <x:c r="S2840"/>
      <x:c r="T2840"/>
      <x:c r="U2840"/>
      <x:c r="V2840"/>
      <x:c r="W2840"/>
    </x:row>
    <x:row r="2841">
      <x:c r="A2841"/>
      <x:c r="B2841"/>
      <x:c r="C2841"/>
      <x:c r="D2841"/>
      <x:c r="E2841"/>
      <x:c r="F2841"/>
      <x:c r="G2841"/>
      <x:c r="H2841"/>
      <x:c r="I2841"/>
      <x:c r="J2841"/>
      <x:c r="K2841"/>
      <x:c r="L2841"/>
      <x:c r="M2841"/>
      <x:c r="N2841"/>
      <x:c r="O2841"/>
      <x:c r="P2841"/>
      <x:c r="Q2841"/>
      <x:c r="R2841"/>
      <x:c r="S2841"/>
      <x:c r="T2841"/>
      <x:c r="U2841"/>
      <x:c r="V2841"/>
      <x:c r="W2841"/>
    </x:row>
    <x:row r="2842">
      <x:c r="A2842"/>
      <x:c r="B2842"/>
      <x:c r="C2842"/>
      <x:c r="D2842"/>
      <x:c r="E2842"/>
      <x:c r="F2842"/>
      <x:c r="G2842"/>
      <x:c r="H2842"/>
      <x:c r="I2842"/>
      <x:c r="J2842"/>
      <x:c r="K2842"/>
      <x:c r="L2842"/>
      <x:c r="M2842"/>
      <x:c r="N2842"/>
      <x:c r="O2842"/>
      <x:c r="P2842"/>
      <x:c r="Q2842"/>
      <x:c r="R2842"/>
      <x:c r="S2842"/>
      <x:c r="T2842"/>
      <x:c r="U2842"/>
      <x:c r="V2842"/>
      <x:c r="W2842"/>
    </x:row>
    <x:row r="2843">
      <x:c r="A2843"/>
      <x:c r="B2843"/>
      <x:c r="C2843"/>
      <x:c r="D2843"/>
      <x:c r="E2843"/>
      <x:c r="F2843"/>
      <x:c r="G2843"/>
      <x:c r="H2843"/>
      <x:c r="I2843"/>
      <x:c r="J2843"/>
      <x:c r="K2843"/>
      <x:c r="L2843"/>
      <x:c r="M2843"/>
      <x:c r="N2843"/>
      <x:c r="O2843"/>
      <x:c r="P2843"/>
      <x:c r="Q2843"/>
      <x:c r="R2843"/>
      <x:c r="S2843"/>
      <x:c r="T2843"/>
      <x:c r="U2843"/>
      <x:c r="V2843"/>
      <x:c r="W2843"/>
    </x:row>
    <x:row r="2844">
      <x:c r="A2844"/>
      <x:c r="B2844"/>
      <x:c r="C2844"/>
      <x:c r="D2844"/>
      <x:c r="E2844"/>
      <x:c r="F2844"/>
      <x:c r="G2844"/>
      <x:c r="H2844"/>
      <x:c r="I2844"/>
      <x:c r="J2844"/>
      <x:c r="K2844"/>
      <x:c r="L2844"/>
      <x:c r="M2844"/>
      <x:c r="N2844"/>
      <x:c r="O2844"/>
      <x:c r="P2844"/>
      <x:c r="Q2844"/>
      <x:c r="R2844"/>
      <x:c r="S2844"/>
      <x:c r="T2844"/>
      <x:c r="U2844"/>
      <x:c r="V2844"/>
      <x:c r="W2844"/>
    </x:row>
    <x:row r="2845">
      <x:c r="A2845"/>
      <x:c r="B2845"/>
      <x:c r="C2845"/>
      <x:c r="D2845"/>
      <x:c r="E2845"/>
      <x:c r="F2845"/>
      <x:c r="G2845"/>
      <x:c r="H2845"/>
      <x:c r="I2845"/>
      <x:c r="J2845"/>
      <x:c r="K2845"/>
      <x:c r="L2845"/>
      <x:c r="M2845"/>
      <x:c r="N2845"/>
      <x:c r="O2845"/>
      <x:c r="P2845"/>
      <x:c r="Q2845"/>
      <x:c r="R2845"/>
      <x:c r="S2845"/>
      <x:c r="T2845"/>
      <x:c r="U2845"/>
      <x:c r="V2845"/>
      <x:c r="W2845"/>
    </x:row>
    <x:row r="2846">
      <x:c r="A2846"/>
      <x:c r="B2846"/>
      <x:c r="C2846"/>
      <x:c r="D2846"/>
      <x:c r="E2846"/>
      <x:c r="F2846"/>
      <x:c r="G2846"/>
      <x:c r="H2846"/>
      <x:c r="I2846"/>
      <x:c r="J2846"/>
      <x:c r="K2846"/>
      <x:c r="L2846"/>
      <x:c r="M2846"/>
      <x:c r="N2846"/>
      <x:c r="O2846"/>
      <x:c r="P2846"/>
      <x:c r="Q2846"/>
      <x:c r="R2846"/>
      <x:c r="S2846"/>
      <x:c r="T2846"/>
      <x:c r="U2846"/>
      <x:c r="V2846"/>
      <x:c r="W2846"/>
    </x:row>
    <x:row r="2847">
      <x:c r="A2847"/>
      <x:c r="B2847"/>
      <x:c r="C2847"/>
      <x:c r="D2847"/>
      <x:c r="E2847"/>
      <x:c r="F2847"/>
      <x:c r="G2847"/>
      <x:c r="H2847"/>
      <x:c r="I2847"/>
      <x:c r="J2847"/>
      <x:c r="K2847"/>
      <x:c r="L2847"/>
      <x:c r="M2847"/>
      <x:c r="N2847"/>
      <x:c r="O2847"/>
      <x:c r="P2847"/>
      <x:c r="Q2847"/>
      <x:c r="R2847"/>
      <x:c r="S2847"/>
      <x:c r="T2847"/>
      <x:c r="U2847"/>
      <x:c r="V2847"/>
      <x:c r="W2847"/>
    </x:row>
    <x:row r="2848">
      <x:c r="A2848"/>
      <x:c r="B2848"/>
      <x:c r="C2848"/>
      <x:c r="D2848"/>
      <x:c r="E2848"/>
      <x:c r="F2848"/>
      <x:c r="G2848"/>
      <x:c r="H2848"/>
      <x:c r="I2848"/>
      <x:c r="J2848"/>
      <x:c r="K2848"/>
      <x:c r="L2848"/>
      <x:c r="M2848"/>
      <x:c r="N2848"/>
      <x:c r="O2848"/>
      <x:c r="P2848"/>
      <x:c r="Q2848"/>
      <x:c r="R2848"/>
      <x:c r="S2848"/>
      <x:c r="T2848"/>
      <x:c r="U2848"/>
      <x:c r="V2848"/>
      <x:c r="W2848"/>
    </x:row>
    <x:row r="2849">
      <x:c r="A2849"/>
      <x:c r="B2849"/>
      <x:c r="C2849"/>
      <x:c r="D2849"/>
      <x:c r="E2849"/>
      <x:c r="F2849"/>
      <x:c r="G2849"/>
      <x:c r="H2849"/>
      <x:c r="I2849"/>
      <x:c r="J2849"/>
      <x:c r="K2849"/>
      <x:c r="L2849"/>
      <x:c r="M2849"/>
      <x:c r="N2849"/>
      <x:c r="O2849"/>
      <x:c r="P2849"/>
      <x:c r="Q2849"/>
      <x:c r="R2849"/>
      <x:c r="S2849"/>
      <x:c r="T2849"/>
      <x:c r="U2849"/>
      <x:c r="V2849"/>
      <x:c r="W2849"/>
    </x:row>
    <x:row r="2850">
      <x:c r="A2850"/>
      <x:c r="B2850"/>
      <x:c r="C2850"/>
      <x:c r="D2850"/>
      <x:c r="E2850"/>
      <x:c r="F2850"/>
      <x:c r="G2850"/>
      <x:c r="H2850"/>
      <x:c r="I2850"/>
      <x:c r="J2850"/>
      <x:c r="K2850"/>
      <x:c r="L2850"/>
      <x:c r="M2850"/>
      <x:c r="N2850"/>
      <x:c r="O2850"/>
      <x:c r="P2850"/>
      <x:c r="Q2850"/>
      <x:c r="R2850"/>
      <x:c r="S2850"/>
      <x:c r="T2850"/>
      <x:c r="U2850"/>
      <x:c r="V2850"/>
      <x:c r="W2850"/>
    </x:row>
    <x:row r="2851">
      <x:c r="A2851"/>
      <x:c r="B2851"/>
      <x:c r="C2851"/>
      <x:c r="D2851"/>
      <x:c r="E2851"/>
      <x:c r="F2851"/>
      <x:c r="G2851"/>
      <x:c r="H2851"/>
      <x:c r="I2851"/>
      <x:c r="J2851"/>
      <x:c r="K2851"/>
      <x:c r="L2851"/>
      <x:c r="M2851"/>
      <x:c r="N2851"/>
      <x:c r="O2851"/>
      <x:c r="P2851"/>
      <x:c r="Q2851"/>
      <x:c r="R2851"/>
      <x:c r="S2851"/>
      <x:c r="T2851"/>
      <x:c r="U2851"/>
      <x:c r="V2851"/>
      <x:c r="W2851"/>
    </x:row>
    <x:row r="2852">
      <x:c r="A2852"/>
      <x:c r="B2852"/>
      <x:c r="C2852"/>
      <x:c r="D2852"/>
      <x:c r="E2852"/>
      <x:c r="F2852"/>
      <x:c r="G2852"/>
      <x:c r="H2852"/>
      <x:c r="I2852"/>
      <x:c r="J2852"/>
      <x:c r="K2852"/>
      <x:c r="L2852"/>
      <x:c r="M2852"/>
      <x:c r="N2852"/>
      <x:c r="O2852"/>
      <x:c r="P2852"/>
      <x:c r="Q2852"/>
      <x:c r="R2852"/>
      <x:c r="S2852"/>
      <x:c r="T2852"/>
      <x:c r="U2852"/>
      <x:c r="V2852"/>
      <x:c r="W2852"/>
    </x:row>
    <x:row r="2853">
      <x:c r="A2853"/>
      <x:c r="B2853"/>
      <x:c r="C2853"/>
      <x:c r="D2853"/>
      <x:c r="E2853"/>
      <x:c r="F2853"/>
      <x:c r="G2853"/>
      <x:c r="H2853"/>
      <x:c r="I2853"/>
      <x:c r="J2853"/>
      <x:c r="K2853"/>
      <x:c r="L2853"/>
      <x:c r="M2853"/>
      <x:c r="N2853"/>
      <x:c r="O2853"/>
      <x:c r="P2853"/>
      <x:c r="Q2853"/>
      <x:c r="R2853"/>
      <x:c r="S2853"/>
      <x:c r="T2853"/>
      <x:c r="U2853"/>
      <x:c r="V2853"/>
      <x:c r="W2853"/>
    </x:row>
    <x:row r="2854">
      <x:c r="A2854"/>
      <x:c r="B2854"/>
      <x:c r="C2854"/>
      <x:c r="D2854"/>
      <x:c r="E2854"/>
      <x:c r="F2854"/>
      <x:c r="G2854"/>
      <x:c r="H2854"/>
      <x:c r="I2854"/>
      <x:c r="J2854"/>
      <x:c r="K2854"/>
      <x:c r="L2854"/>
      <x:c r="M2854"/>
      <x:c r="N2854"/>
      <x:c r="O2854"/>
      <x:c r="P2854"/>
      <x:c r="Q2854"/>
      <x:c r="R2854"/>
      <x:c r="S2854"/>
      <x:c r="T2854"/>
      <x:c r="U2854"/>
      <x:c r="V2854"/>
      <x:c r="W2854"/>
    </x:row>
    <x:row r="2855">
      <x:c r="A2855"/>
      <x:c r="B2855"/>
      <x:c r="C2855"/>
      <x:c r="D2855"/>
      <x:c r="E2855"/>
      <x:c r="F2855"/>
      <x:c r="G2855"/>
      <x:c r="H2855"/>
      <x:c r="I2855"/>
      <x:c r="J2855"/>
      <x:c r="K2855"/>
      <x:c r="L2855"/>
      <x:c r="M2855"/>
      <x:c r="N2855"/>
      <x:c r="O2855"/>
      <x:c r="P2855"/>
      <x:c r="Q2855"/>
      <x:c r="R2855"/>
      <x:c r="S2855"/>
      <x:c r="T2855"/>
      <x:c r="U2855"/>
      <x:c r="V2855"/>
      <x:c r="W2855"/>
    </x:row>
    <x:row r="2856">
      <x:c r="A2856"/>
      <x:c r="B2856"/>
      <x:c r="C2856"/>
      <x:c r="D2856"/>
      <x:c r="E2856"/>
      <x:c r="F2856"/>
      <x:c r="G2856"/>
      <x:c r="H2856"/>
      <x:c r="I2856"/>
      <x:c r="J2856"/>
      <x:c r="K2856"/>
      <x:c r="L2856"/>
      <x:c r="M2856"/>
      <x:c r="N2856"/>
      <x:c r="O2856"/>
      <x:c r="P2856"/>
      <x:c r="Q2856"/>
      <x:c r="R2856"/>
      <x:c r="S2856"/>
      <x:c r="T2856"/>
      <x:c r="U2856"/>
      <x:c r="V2856"/>
      <x:c r="W2856"/>
    </x:row>
    <x:row r="2857">
      <x:c r="A2857"/>
      <x:c r="B2857"/>
      <x:c r="C2857"/>
      <x:c r="D2857"/>
      <x:c r="E2857"/>
      <x:c r="F2857"/>
      <x:c r="G2857"/>
      <x:c r="H2857"/>
      <x:c r="I2857"/>
      <x:c r="J2857"/>
      <x:c r="K2857"/>
      <x:c r="L2857"/>
      <x:c r="M2857"/>
      <x:c r="N2857"/>
      <x:c r="O2857"/>
      <x:c r="P2857"/>
      <x:c r="Q2857"/>
      <x:c r="R2857"/>
      <x:c r="S2857"/>
      <x:c r="T2857"/>
      <x:c r="U2857"/>
      <x:c r="V2857"/>
      <x:c r="W2857"/>
    </x:row>
    <x:row r="2858">
      <x:c r="A2858"/>
      <x:c r="B2858"/>
      <x:c r="C2858"/>
      <x:c r="D2858"/>
      <x:c r="E2858"/>
      <x:c r="F2858"/>
      <x:c r="G2858"/>
      <x:c r="H2858"/>
      <x:c r="I2858"/>
      <x:c r="J2858"/>
      <x:c r="K2858"/>
      <x:c r="L2858"/>
      <x:c r="M2858"/>
      <x:c r="N2858"/>
      <x:c r="O2858"/>
      <x:c r="P2858"/>
      <x:c r="Q2858"/>
      <x:c r="R2858"/>
      <x:c r="S2858"/>
      <x:c r="T2858"/>
      <x:c r="U2858"/>
      <x:c r="V2858"/>
      <x:c r="W2858"/>
    </x:row>
    <x:row r="2859">
      <x:c r="A2859"/>
      <x:c r="B2859"/>
      <x:c r="C2859"/>
      <x:c r="D2859"/>
      <x:c r="E2859"/>
      <x:c r="F2859"/>
      <x:c r="G2859"/>
      <x:c r="H2859"/>
      <x:c r="I2859"/>
      <x:c r="J2859"/>
      <x:c r="K2859"/>
      <x:c r="L2859"/>
      <x:c r="M2859"/>
      <x:c r="N2859"/>
      <x:c r="O2859"/>
      <x:c r="P2859"/>
      <x:c r="Q2859"/>
      <x:c r="R2859"/>
      <x:c r="S2859"/>
      <x:c r="T2859"/>
      <x:c r="U2859"/>
      <x:c r="V2859"/>
      <x:c r="W2859"/>
    </x:row>
    <x:row r="2860">
      <x:c r="A2860"/>
      <x:c r="B2860"/>
      <x:c r="C2860"/>
      <x:c r="D2860"/>
      <x:c r="E2860"/>
      <x:c r="F2860"/>
      <x:c r="G2860"/>
      <x:c r="H2860"/>
      <x:c r="I2860"/>
      <x:c r="J2860"/>
      <x:c r="K2860"/>
      <x:c r="L2860"/>
      <x:c r="M2860"/>
      <x:c r="N2860"/>
      <x:c r="O2860"/>
      <x:c r="P2860"/>
      <x:c r="Q2860"/>
      <x:c r="R2860"/>
      <x:c r="S2860"/>
      <x:c r="T2860"/>
      <x:c r="U2860"/>
      <x:c r="V2860"/>
      <x:c r="W2860"/>
    </x:row>
    <x:row r="2861">
      <x:c r="A2861"/>
      <x:c r="B2861"/>
      <x:c r="C2861"/>
      <x:c r="D2861"/>
      <x:c r="E2861"/>
      <x:c r="F2861"/>
      <x:c r="G2861"/>
      <x:c r="H2861"/>
      <x:c r="I2861"/>
      <x:c r="J2861"/>
      <x:c r="K2861"/>
      <x:c r="L2861"/>
      <x:c r="M2861"/>
      <x:c r="N2861"/>
      <x:c r="O2861"/>
      <x:c r="P2861"/>
      <x:c r="Q2861"/>
      <x:c r="R2861"/>
      <x:c r="S2861"/>
      <x:c r="T2861"/>
      <x:c r="U2861"/>
      <x:c r="V2861"/>
      <x:c r="W2861"/>
    </x:row>
    <x:row r="2862">
      <x:c r="A2862"/>
      <x:c r="B2862"/>
      <x:c r="C2862"/>
      <x:c r="D2862"/>
      <x:c r="E2862"/>
      <x:c r="F2862"/>
      <x:c r="G2862"/>
      <x:c r="H2862"/>
      <x:c r="I2862"/>
      <x:c r="J2862"/>
      <x:c r="K2862"/>
      <x:c r="L2862"/>
      <x:c r="M2862"/>
      <x:c r="N2862"/>
      <x:c r="O2862"/>
      <x:c r="P2862"/>
      <x:c r="Q2862"/>
      <x:c r="R2862"/>
      <x:c r="S2862"/>
      <x:c r="T2862"/>
      <x:c r="U2862"/>
      <x:c r="V2862"/>
      <x:c r="W2862"/>
    </x:row>
    <x:row r="2863">
      <x:c r="A2863"/>
      <x:c r="B2863"/>
      <x:c r="C2863"/>
      <x:c r="D2863"/>
      <x:c r="E2863"/>
      <x:c r="F2863"/>
      <x:c r="G2863"/>
      <x:c r="H2863"/>
      <x:c r="I2863"/>
      <x:c r="J2863"/>
      <x:c r="K2863"/>
      <x:c r="L2863"/>
      <x:c r="M2863"/>
      <x:c r="N2863"/>
      <x:c r="O2863"/>
      <x:c r="P2863"/>
      <x:c r="Q2863"/>
      <x:c r="R2863"/>
      <x:c r="S2863"/>
      <x:c r="T2863"/>
      <x:c r="U2863"/>
      <x:c r="V2863"/>
      <x:c r="W2863"/>
    </x:row>
    <x:row r="2864">
      <x:c r="A2864"/>
      <x:c r="B2864"/>
      <x:c r="C2864"/>
      <x:c r="D2864"/>
      <x:c r="E2864"/>
      <x:c r="F2864"/>
      <x:c r="G2864"/>
      <x:c r="H2864"/>
      <x:c r="I2864"/>
      <x:c r="J2864"/>
      <x:c r="K2864"/>
      <x:c r="L2864"/>
      <x:c r="M2864"/>
      <x:c r="N2864"/>
      <x:c r="O2864"/>
      <x:c r="P2864"/>
      <x:c r="Q2864"/>
      <x:c r="R2864"/>
      <x:c r="S2864"/>
      <x:c r="T2864"/>
      <x:c r="U2864"/>
      <x:c r="V2864"/>
      <x:c r="W2864"/>
    </x:row>
    <x:row r="2865">
      <x:c r="A2865"/>
      <x:c r="B2865"/>
      <x:c r="C2865"/>
      <x:c r="D2865"/>
      <x:c r="E2865"/>
      <x:c r="F2865"/>
      <x:c r="G2865"/>
      <x:c r="H2865"/>
      <x:c r="I2865"/>
      <x:c r="J2865"/>
      <x:c r="K2865"/>
      <x:c r="L2865"/>
      <x:c r="M2865"/>
      <x:c r="N2865"/>
      <x:c r="O2865"/>
      <x:c r="P2865"/>
      <x:c r="Q2865"/>
      <x:c r="R2865"/>
      <x:c r="S2865"/>
      <x:c r="T2865"/>
      <x:c r="U2865"/>
      <x:c r="V2865"/>
      <x:c r="W2865"/>
    </x:row>
    <x:row r="2866">
      <x:c r="A2866"/>
      <x:c r="B2866"/>
      <x:c r="C2866"/>
      <x:c r="D2866"/>
      <x:c r="E2866"/>
      <x:c r="F2866"/>
      <x:c r="G2866"/>
      <x:c r="H2866"/>
      <x:c r="I2866"/>
      <x:c r="J2866"/>
      <x:c r="K2866"/>
      <x:c r="L2866"/>
      <x:c r="M2866"/>
      <x:c r="N2866"/>
      <x:c r="O2866"/>
      <x:c r="P2866"/>
      <x:c r="Q2866"/>
      <x:c r="R2866"/>
      <x:c r="S2866"/>
      <x:c r="T2866"/>
      <x:c r="U2866"/>
      <x:c r="V2866"/>
      <x:c r="W2866"/>
    </x:row>
    <x:row r="2867">
      <x:c r="A2867"/>
      <x:c r="B2867"/>
      <x:c r="C2867"/>
      <x:c r="D2867"/>
      <x:c r="E2867"/>
      <x:c r="F2867"/>
      <x:c r="G2867"/>
      <x:c r="H2867"/>
      <x:c r="I2867"/>
      <x:c r="J2867"/>
      <x:c r="K2867"/>
      <x:c r="L2867"/>
      <x:c r="M2867"/>
      <x:c r="N2867"/>
      <x:c r="O2867"/>
      <x:c r="P2867"/>
      <x:c r="Q2867"/>
      <x:c r="R2867"/>
      <x:c r="S2867"/>
      <x:c r="T2867"/>
      <x:c r="U2867"/>
      <x:c r="V2867"/>
      <x:c r="W2867"/>
    </x:row>
    <x:row r="2868">
      <x:c r="A2868"/>
      <x:c r="B2868"/>
      <x:c r="C2868"/>
      <x:c r="D2868"/>
      <x:c r="E2868"/>
      <x:c r="F2868"/>
      <x:c r="G2868"/>
      <x:c r="H2868"/>
      <x:c r="I2868"/>
      <x:c r="J2868"/>
      <x:c r="K2868"/>
      <x:c r="L2868"/>
      <x:c r="M2868"/>
      <x:c r="N2868"/>
      <x:c r="O2868"/>
      <x:c r="P2868"/>
      <x:c r="Q2868"/>
      <x:c r="R2868"/>
      <x:c r="S2868"/>
      <x:c r="T2868"/>
      <x:c r="U2868"/>
      <x:c r="V2868"/>
      <x:c r="W2868"/>
    </x:row>
    <x:row r="2869">
      <x:c r="A2869"/>
      <x:c r="B2869"/>
      <x:c r="C2869"/>
      <x:c r="D2869"/>
      <x:c r="E2869"/>
      <x:c r="F2869"/>
      <x:c r="G2869"/>
      <x:c r="H2869"/>
      <x:c r="I2869"/>
      <x:c r="J2869"/>
      <x:c r="K2869"/>
      <x:c r="L2869"/>
      <x:c r="M2869"/>
      <x:c r="N2869"/>
      <x:c r="O2869"/>
      <x:c r="P2869"/>
      <x:c r="Q2869"/>
      <x:c r="R2869"/>
      <x:c r="S2869"/>
      <x:c r="T2869"/>
      <x:c r="U2869"/>
      <x:c r="V2869"/>
      <x:c r="W2869"/>
    </x:row>
    <x:row r="2870">
      <x:c r="A2870"/>
      <x:c r="B2870"/>
      <x:c r="C2870"/>
      <x:c r="D2870"/>
      <x:c r="E2870"/>
      <x:c r="F2870"/>
      <x:c r="G2870"/>
      <x:c r="H2870"/>
      <x:c r="I2870"/>
      <x:c r="J2870"/>
      <x:c r="K2870"/>
      <x:c r="L2870"/>
      <x:c r="M2870"/>
      <x:c r="N2870"/>
      <x:c r="O2870"/>
      <x:c r="P2870"/>
      <x:c r="Q2870"/>
      <x:c r="R2870"/>
      <x:c r="S2870"/>
      <x:c r="T2870"/>
      <x:c r="U2870"/>
      <x:c r="V2870"/>
      <x:c r="W2870"/>
    </x:row>
    <x:row r="2871">
      <x:c r="A2871"/>
      <x:c r="B2871"/>
      <x:c r="C2871"/>
      <x:c r="D2871"/>
      <x:c r="E2871"/>
      <x:c r="F2871"/>
      <x:c r="G2871"/>
      <x:c r="H2871"/>
      <x:c r="I2871"/>
      <x:c r="J2871"/>
      <x:c r="K2871"/>
      <x:c r="L2871"/>
      <x:c r="M2871"/>
      <x:c r="N2871"/>
      <x:c r="O2871"/>
      <x:c r="P2871"/>
      <x:c r="Q2871"/>
      <x:c r="R2871"/>
      <x:c r="S2871"/>
      <x:c r="T2871"/>
      <x:c r="U2871"/>
      <x:c r="V2871"/>
      <x:c r="W2871"/>
    </x:row>
    <x:row r="2872">
      <x:c r="A2872"/>
      <x:c r="B2872"/>
      <x:c r="C2872"/>
      <x:c r="D2872"/>
      <x:c r="E2872"/>
      <x:c r="F2872"/>
      <x:c r="G2872"/>
      <x:c r="H2872"/>
      <x:c r="I2872"/>
      <x:c r="J2872"/>
      <x:c r="K2872"/>
      <x:c r="L2872"/>
      <x:c r="M2872"/>
      <x:c r="N2872"/>
      <x:c r="O2872"/>
      <x:c r="P2872"/>
      <x:c r="Q2872"/>
      <x:c r="R2872"/>
      <x:c r="S2872"/>
      <x:c r="T2872"/>
      <x:c r="U2872"/>
      <x:c r="V2872"/>
      <x:c r="W2872"/>
    </x:row>
    <x:row r="2873">
      <x:c r="A2873"/>
      <x:c r="B2873"/>
      <x:c r="C2873"/>
      <x:c r="D2873"/>
      <x:c r="E2873"/>
      <x:c r="F2873"/>
      <x:c r="G2873"/>
      <x:c r="H2873"/>
      <x:c r="I2873"/>
      <x:c r="J2873"/>
      <x:c r="K2873"/>
      <x:c r="L2873"/>
      <x:c r="M2873"/>
      <x:c r="N2873"/>
      <x:c r="O2873"/>
      <x:c r="P2873"/>
      <x:c r="Q2873"/>
      <x:c r="R2873"/>
      <x:c r="S2873"/>
      <x:c r="T2873"/>
      <x:c r="U2873"/>
      <x:c r="V2873"/>
      <x:c r="W2873"/>
    </x:row>
    <x:row r="2874">
      <x:c r="A2874"/>
      <x:c r="B2874"/>
      <x:c r="C2874"/>
      <x:c r="D2874"/>
      <x:c r="E2874"/>
      <x:c r="F2874"/>
      <x:c r="G2874"/>
      <x:c r="H2874"/>
      <x:c r="I2874"/>
      <x:c r="J2874"/>
      <x:c r="K2874"/>
      <x:c r="L2874"/>
      <x:c r="M2874"/>
      <x:c r="N2874"/>
      <x:c r="O2874"/>
      <x:c r="P2874"/>
      <x:c r="Q2874"/>
      <x:c r="R2874"/>
      <x:c r="S2874"/>
      <x:c r="T2874"/>
      <x:c r="U2874"/>
      <x:c r="V2874"/>
      <x:c r="W2874"/>
    </x:row>
    <x:row r="2875">
      <x:c r="A2875"/>
      <x:c r="B2875"/>
      <x:c r="C2875"/>
      <x:c r="D2875"/>
      <x:c r="E2875"/>
      <x:c r="F2875"/>
      <x:c r="G2875"/>
      <x:c r="H2875"/>
      <x:c r="I2875"/>
      <x:c r="J2875"/>
      <x:c r="K2875"/>
      <x:c r="L2875"/>
      <x:c r="M2875"/>
      <x:c r="N2875"/>
      <x:c r="O2875"/>
      <x:c r="P2875"/>
      <x:c r="Q2875"/>
      <x:c r="R2875"/>
      <x:c r="S2875"/>
      <x:c r="T2875"/>
      <x:c r="U2875"/>
      <x:c r="V2875"/>
      <x:c r="W2875"/>
    </x:row>
    <x:row r="2876">
      <x:c r="A2876"/>
      <x:c r="B2876"/>
      <x:c r="C2876"/>
      <x:c r="D2876"/>
      <x:c r="E2876"/>
      <x:c r="F2876"/>
      <x:c r="G2876"/>
      <x:c r="H2876"/>
      <x:c r="I2876"/>
      <x:c r="J2876"/>
      <x:c r="K2876"/>
      <x:c r="L2876"/>
      <x:c r="M2876"/>
      <x:c r="N2876"/>
      <x:c r="O2876"/>
      <x:c r="P2876"/>
      <x:c r="Q2876"/>
      <x:c r="R2876"/>
      <x:c r="S2876"/>
      <x:c r="T2876"/>
      <x:c r="U2876"/>
      <x:c r="V2876"/>
      <x:c r="W2876"/>
    </x:row>
    <x:row r="2877">
      <x:c r="A2877"/>
      <x:c r="B2877"/>
      <x:c r="C2877"/>
      <x:c r="D2877"/>
      <x:c r="E2877"/>
      <x:c r="F2877"/>
      <x:c r="G2877"/>
      <x:c r="H2877"/>
      <x:c r="I2877"/>
      <x:c r="J2877"/>
      <x:c r="K2877"/>
      <x:c r="L2877"/>
      <x:c r="M2877"/>
      <x:c r="N2877"/>
      <x:c r="O2877"/>
      <x:c r="P2877"/>
      <x:c r="Q2877"/>
      <x:c r="R2877"/>
      <x:c r="S2877"/>
      <x:c r="T2877"/>
      <x:c r="U2877"/>
      <x:c r="V2877"/>
      <x:c r="W2877"/>
    </x:row>
    <x:row r="2878">
      <x:c r="A2878"/>
      <x:c r="B2878"/>
      <x:c r="C2878"/>
      <x:c r="D2878"/>
      <x:c r="E2878"/>
      <x:c r="F2878"/>
      <x:c r="G2878"/>
      <x:c r="H2878"/>
      <x:c r="I2878"/>
      <x:c r="J2878"/>
      <x:c r="K2878"/>
      <x:c r="L2878"/>
      <x:c r="M2878"/>
      <x:c r="N2878"/>
      <x:c r="O2878"/>
      <x:c r="P2878"/>
      <x:c r="Q2878"/>
      <x:c r="R2878"/>
      <x:c r="S2878"/>
      <x:c r="T2878"/>
      <x:c r="U2878"/>
      <x:c r="V2878"/>
      <x:c r="W2878"/>
    </x:row>
    <x:row r="2879">
      <x:c r="A2879"/>
      <x:c r="B2879"/>
      <x:c r="C2879"/>
      <x:c r="D2879"/>
      <x:c r="E2879"/>
      <x:c r="F2879"/>
      <x:c r="G2879"/>
      <x:c r="H2879"/>
      <x:c r="I2879"/>
      <x:c r="J2879"/>
      <x:c r="K2879"/>
      <x:c r="L2879"/>
      <x:c r="M2879"/>
      <x:c r="N2879"/>
      <x:c r="O2879"/>
      <x:c r="P2879"/>
      <x:c r="Q2879"/>
      <x:c r="R2879"/>
      <x:c r="S2879"/>
      <x:c r="T2879"/>
      <x:c r="U2879"/>
      <x:c r="V2879"/>
      <x:c r="W2879"/>
    </x:row>
    <x:row r="2880">
      <x:c r="A2880"/>
      <x:c r="B2880"/>
      <x:c r="C2880"/>
      <x:c r="D2880"/>
      <x:c r="E2880"/>
      <x:c r="F2880"/>
      <x:c r="G2880"/>
      <x:c r="H2880"/>
      <x:c r="I2880"/>
      <x:c r="J2880"/>
      <x:c r="K2880"/>
      <x:c r="L2880"/>
      <x:c r="M2880"/>
      <x:c r="N2880"/>
      <x:c r="O2880"/>
      <x:c r="P2880"/>
      <x:c r="Q2880"/>
      <x:c r="R2880"/>
      <x:c r="S2880"/>
      <x:c r="T2880"/>
      <x:c r="U2880"/>
      <x:c r="V2880"/>
      <x:c r="W2880"/>
    </x:row>
    <x:row r="2881">
      <x:c r="A2881"/>
      <x:c r="B2881"/>
      <x:c r="C2881"/>
      <x:c r="D2881"/>
      <x:c r="E2881"/>
      <x:c r="F2881"/>
      <x:c r="G2881"/>
      <x:c r="H2881"/>
      <x:c r="I2881"/>
      <x:c r="J2881"/>
      <x:c r="K2881"/>
      <x:c r="L2881"/>
      <x:c r="M2881"/>
      <x:c r="N2881"/>
      <x:c r="O2881"/>
      <x:c r="P2881"/>
      <x:c r="Q2881"/>
      <x:c r="R2881"/>
      <x:c r="S2881"/>
      <x:c r="T2881"/>
      <x:c r="U2881"/>
      <x:c r="V2881"/>
      <x:c r="W2881"/>
    </x:row>
    <x:row r="2882">
      <x:c r="A2882"/>
      <x:c r="B2882"/>
      <x:c r="C2882"/>
      <x:c r="D2882"/>
      <x:c r="E2882"/>
      <x:c r="F2882"/>
      <x:c r="G2882"/>
      <x:c r="H2882"/>
      <x:c r="I2882"/>
      <x:c r="J2882"/>
      <x:c r="K2882"/>
      <x:c r="L2882"/>
      <x:c r="M2882"/>
      <x:c r="N2882"/>
      <x:c r="O2882"/>
      <x:c r="P2882"/>
      <x:c r="Q2882"/>
      <x:c r="R2882"/>
      <x:c r="S2882"/>
      <x:c r="T2882"/>
      <x:c r="U2882"/>
      <x:c r="V2882"/>
      <x:c r="W2882"/>
    </x:row>
    <x:row r="2883">
      <x:c r="A2883"/>
      <x:c r="B2883"/>
      <x:c r="C2883"/>
      <x:c r="D2883"/>
      <x:c r="E2883"/>
      <x:c r="F2883"/>
      <x:c r="G2883"/>
      <x:c r="H2883"/>
      <x:c r="I2883"/>
      <x:c r="J2883"/>
      <x:c r="K2883"/>
      <x:c r="L2883"/>
      <x:c r="M2883"/>
      <x:c r="N2883"/>
      <x:c r="O2883"/>
      <x:c r="P2883"/>
      <x:c r="Q2883"/>
      <x:c r="R2883"/>
      <x:c r="S2883"/>
      <x:c r="T2883"/>
      <x:c r="U2883"/>
      <x:c r="V2883"/>
      <x:c r="W2883"/>
    </x:row>
    <x:row r="2884">
      <x:c r="A2884"/>
      <x:c r="B2884"/>
      <x:c r="C2884"/>
      <x:c r="D2884"/>
      <x:c r="E2884"/>
      <x:c r="F2884"/>
      <x:c r="G2884"/>
      <x:c r="H2884"/>
      <x:c r="I2884"/>
      <x:c r="J2884"/>
      <x:c r="K2884"/>
      <x:c r="L2884"/>
      <x:c r="M2884"/>
      <x:c r="N2884"/>
      <x:c r="O2884"/>
      <x:c r="P2884"/>
      <x:c r="Q2884"/>
      <x:c r="R2884"/>
      <x:c r="S2884"/>
      <x:c r="T2884"/>
      <x:c r="U2884"/>
      <x:c r="V2884"/>
      <x:c r="W2884"/>
    </x:row>
    <x:row r="2885">
      <x:c r="A2885"/>
      <x:c r="B2885"/>
      <x:c r="C2885"/>
      <x:c r="D2885"/>
      <x:c r="E2885"/>
      <x:c r="F2885"/>
      <x:c r="G2885"/>
      <x:c r="H2885"/>
      <x:c r="I2885"/>
      <x:c r="J2885"/>
      <x:c r="K2885"/>
      <x:c r="L2885"/>
      <x:c r="M2885"/>
      <x:c r="N2885"/>
      <x:c r="O2885"/>
      <x:c r="P2885"/>
      <x:c r="Q2885"/>
      <x:c r="R2885"/>
      <x:c r="S2885"/>
      <x:c r="T2885"/>
      <x:c r="U2885"/>
      <x:c r="V2885"/>
      <x:c r="W2885"/>
    </x:row>
    <x:row r="2886">
      <x:c r="A2886"/>
      <x:c r="B2886"/>
      <x:c r="C2886"/>
      <x:c r="D2886"/>
      <x:c r="E2886"/>
      <x:c r="F2886"/>
      <x:c r="G2886"/>
      <x:c r="H2886"/>
      <x:c r="I2886"/>
      <x:c r="J2886"/>
      <x:c r="K2886"/>
      <x:c r="L2886"/>
      <x:c r="M2886"/>
      <x:c r="N2886"/>
      <x:c r="O2886"/>
      <x:c r="P2886"/>
      <x:c r="Q2886"/>
      <x:c r="R2886"/>
      <x:c r="S2886"/>
      <x:c r="T2886"/>
      <x:c r="U2886"/>
      <x:c r="V2886"/>
      <x:c r="W2886"/>
    </x:row>
    <x:row r="2887">
      <x:c r="A2887"/>
      <x:c r="B2887"/>
      <x:c r="C2887"/>
      <x:c r="D2887"/>
      <x:c r="E2887"/>
      <x:c r="F2887"/>
      <x:c r="G2887"/>
      <x:c r="H2887"/>
      <x:c r="I2887"/>
      <x:c r="J2887"/>
      <x:c r="K2887"/>
      <x:c r="L2887"/>
      <x:c r="M2887"/>
      <x:c r="N2887"/>
      <x:c r="O2887"/>
      <x:c r="P2887"/>
      <x:c r="Q2887"/>
      <x:c r="R2887"/>
      <x:c r="S2887"/>
      <x:c r="T2887"/>
      <x:c r="U2887"/>
      <x:c r="V2887"/>
      <x:c r="W2887"/>
    </x:row>
    <x:row r="2888">
      <x:c r="A2888"/>
      <x:c r="B2888"/>
      <x:c r="C2888"/>
      <x:c r="D2888"/>
      <x:c r="E2888"/>
      <x:c r="F2888"/>
      <x:c r="G2888"/>
      <x:c r="H2888"/>
      <x:c r="I2888"/>
      <x:c r="J2888"/>
      <x:c r="K2888"/>
      <x:c r="L2888"/>
      <x:c r="M2888"/>
      <x:c r="N2888"/>
      <x:c r="O2888"/>
      <x:c r="P2888"/>
      <x:c r="Q2888"/>
      <x:c r="R2888"/>
      <x:c r="S2888"/>
      <x:c r="T2888"/>
      <x:c r="U2888"/>
      <x:c r="V2888"/>
      <x:c r="W2888"/>
    </x:row>
    <x:row r="2889">
      <x:c r="A2889"/>
      <x:c r="B2889"/>
      <x:c r="C2889"/>
      <x:c r="D2889"/>
      <x:c r="E2889"/>
      <x:c r="F2889"/>
      <x:c r="G2889"/>
      <x:c r="H2889"/>
      <x:c r="I2889"/>
      <x:c r="J2889"/>
      <x:c r="K2889"/>
      <x:c r="L2889"/>
      <x:c r="M2889"/>
      <x:c r="N2889"/>
      <x:c r="O2889"/>
      <x:c r="P2889"/>
      <x:c r="Q2889"/>
      <x:c r="R2889"/>
      <x:c r="S2889"/>
      <x:c r="T2889"/>
      <x:c r="U2889"/>
      <x:c r="V2889"/>
      <x:c r="W2889"/>
    </x:row>
    <x:row r="2890">
      <x:c r="A2890"/>
      <x:c r="B2890"/>
      <x:c r="C2890"/>
      <x:c r="D2890"/>
      <x:c r="E2890"/>
      <x:c r="F2890"/>
      <x:c r="G2890"/>
      <x:c r="H2890"/>
      <x:c r="I2890"/>
      <x:c r="J2890"/>
      <x:c r="K2890"/>
      <x:c r="L2890"/>
      <x:c r="M2890"/>
      <x:c r="N2890"/>
      <x:c r="O2890"/>
      <x:c r="P2890"/>
      <x:c r="Q2890"/>
      <x:c r="R2890"/>
      <x:c r="S2890"/>
      <x:c r="T2890"/>
      <x:c r="U2890"/>
      <x:c r="V2890"/>
      <x:c r="W2890"/>
    </x:row>
    <x:row r="2891">
      <x:c r="A2891"/>
      <x:c r="B2891"/>
      <x:c r="C2891"/>
      <x:c r="D2891"/>
      <x:c r="E2891"/>
      <x:c r="F2891"/>
      <x:c r="G2891"/>
      <x:c r="H2891"/>
      <x:c r="I2891"/>
      <x:c r="J2891"/>
      <x:c r="K2891"/>
      <x:c r="L2891"/>
      <x:c r="M2891"/>
      <x:c r="N2891"/>
      <x:c r="O2891"/>
      <x:c r="P2891"/>
      <x:c r="Q2891"/>
      <x:c r="R2891"/>
      <x:c r="S2891"/>
      <x:c r="T2891"/>
      <x:c r="U2891"/>
      <x:c r="V2891"/>
      <x:c r="W2891"/>
    </x:row>
    <x:row r="2892">
      <x:c r="A2892"/>
      <x:c r="B2892"/>
      <x:c r="C2892"/>
      <x:c r="D2892"/>
      <x:c r="E2892"/>
      <x:c r="F2892"/>
      <x:c r="G2892"/>
      <x:c r="H2892"/>
      <x:c r="I2892"/>
      <x:c r="J2892"/>
      <x:c r="K2892"/>
      <x:c r="L2892"/>
      <x:c r="M2892"/>
      <x:c r="N2892"/>
      <x:c r="O2892"/>
      <x:c r="P2892"/>
      <x:c r="Q2892"/>
      <x:c r="R2892"/>
      <x:c r="S2892"/>
      <x:c r="T2892"/>
      <x:c r="U2892"/>
      <x:c r="V2892"/>
      <x:c r="W2892"/>
    </x:row>
    <x:row r="2893">
      <x:c r="A2893"/>
      <x:c r="B2893"/>
      <x:c r="C2893"/>
      <x:c r="D2893"/>
      <x:c r="E2893"/>
      <x:c r="F2893"/>
      <x:c r="G2893"/>
      <x:c r="H2893"/>
      <x:c r="I2893"/>
      <x:c r="J2893"/>
      <x:c r="K2893"/>
      <x:c r="L2893"/>
      <x:c r="M2893"/>
      <x:c r="N2893"/>
      <x:c r="O2893"/>
      <x:c r="P2893"/>
      <x:c r="Q2893"/>
      <x:c r="R2893"/>
      <x:c r="S2893"/>
      <x:c r="T2893"/>
      <x:c r="U2893"/>
      <x:c r="V2893"/>
      <x:c r="W2893"/>
    </x:row>
    <x:row r="2894">
      <x:c r="A2894"/>
      <x:c r="B2894"/>
      <x:c r="C2894"/>
      <x:c r="D2894"/>
      <x:c r="E2894"/>
      <x:c r="F2894"/>
      <x:c r="G2894"/>
      <x:c r="H2894"/>
      <x:c r="I2894"/>
      <x:c r="J2894"/>
      <x:c r="K2894"/>
      <x:c r="L2894"/>
      <x:c r="M2894"/>
      <x:c r="N2894"/>
      <x:c r="O2894"/>
      <x:c r="P2894"/>
      <x:c r="Q2894"/>
      <x:c r="R2894"/>
      <x:c r="S2894"/>
      <x:c r="T2894"/>
      <x:c r="U2894"/>
      <x:c r="V2894"/>
      <x:c r="W2894"/>
    </x:row>
    <x:row r="2895">
      <x:c r="A2895"/>
      <x:c r="B2895"/>
      <x:c r="C2895"/>
      <x:c r="D2895"/>
      <x:c r="E2895"/>
      <x:c r="F2895"/>
      <x:c r="G2895"/>
      <x:c r="H2895"/>
      <x:c r="I2895"/>
      <x:c r="J2895"/>
      <x:c r="K2895"/>
      <x:c r="L2895"/>
      <x:c r="M2895"/>
      <x:c r="N2895"/>
      <x:c r="O2895"/>
      <x:c r="P2895"/>
      <x:c r="Q2895"/>
      <x:c r="R2895"/>
      <x:c r="S2895"/>
      <x:c r="T2895"/>
      <x:c r="U2895"/>
      <x:c r="V2895"/>
      <x:c r="W2895"/>
    </x:row>
    <x:row r="2896">
      <x:c r="A2896"/>
      <x:c r="B2896"/>
      <x:c r="C2896"/>
      <x:c r="D2896"/>
      <x:c r="E2896"/>
      <x:c r="F2896"/>
      <x:c r="G2896"/>
      <x:c r="H2896"/>
      <x:c r="I2896"/>
      <x:c r="J2896"/>
      <x:c r="K2896"/>
      <x:c r="L2896"/>
      <x:c r="M2896"/>
      <x:c r="N2896"/>
      <x:c r="O2896"/>
      <x:c r="P2896"/>
      <x:c r="Q2896"/>
      <x:c r="R2896"/>
      <x:c r="S2896"/>
      <x:c r="T2896"/>
      <x:c r="U2896"/>
      <x:c r="V2896"/>
      <x:c r="W2896"/>
    </x:row>
    <x:row r="2897">
      <x:c r="A2897"/>
      <x:c r="B2897"/>
      <x:c r="C2897"/>
      <x:c r="D2897"/>
      <x:c r="E2897"/>
      <x:c r="F2897"/>
      <x:c r="G2897"/>
      <x:c r="H2897"/>
      <x:c r="I2897"/>
      <x:c r="J2897"/>
      <x:c r="K2897"/>
      <x:c r="L2897"/>
      <x:c r="M2897"/>
      <x:c r="N2897"/>
      <x:c r="O2897"/>
      <x:c r="P2897"/>
      <x:c r="Q2897"/>
      <x:c r="R2897"/>
      <x:c r="S2897"/>
      <x:c r="T2897"/>
      <x:c r="U2897"/>
      <x:c r="V2897"/>
      <x:c r="W2897"/>
    </x:row>
    <x:row r="2898">
      <x:c r="A2898"/>
      <x:c r="B2898"/>
      <x:c r="C2898"/>
      <x:c r="D2898"/>
      <x:c r="E2898"/>
      <x:c r="F2898"/>
      <x:c r="G2898"/>
      <x:c r="H2898"/>
      <x:c r="I2898"/>
      <x:c r="J2898"/>
      <x:c r="K2898"/>
      <x:c r="L2898"/>
      <x:c r="M2898"/>
      <x:c r="N2898"/>
      <x:c r="O2898"/>
      <x:c r="P2898"/>
      <x:c r="Q2898"/>
      <x:c r="R2898"/>
      <x:c r="S2898"/>
      <x:c r="T2898"/>
      <x:c r="U2898"/>
      <x:c r="V2898"/>
      <x:c r="W2898"/>
    </x:row>
    <x:row r="2899">
      <x:c r="A2899"/>
      <x:c r="B2899"/>
      <x:c r="C2899"/>
      <x:c r="D2899"/>
      <x:c r="E2899"/>
      <x:c r="F2899"/>
      <x:c r="G2899"/>
      <x:c r="H2899"/>
      <x:c r="I2899"/>
      <x:c r="J2899"/>
      <x:c r="K2899"/>
      <x:c r="L2899"/>
      <x:c r="M2899"/>
      <x:c r="N2899"/>
      <x:c r="O2899"/>
      <x:c r="P2899"/>
      <x:c r="Q2899"/>
      <x:c r="R2899"/>
      <x:c r="S2899"/>
      <x:c r="T2899"/>
      <x:c r="U2899"/>
      <x:c r="V2899"/>
      <x:c r="W2899"/>
    </x:row>
    <x:row r="2900">
      <x:c r="A2900"/>
      <x:c r="B2900"/>
      <x:c r="C2900"/>
      <x:c r="D2900"/>
      <x:c r="E2900"/>
      <x:c r="F2900"/>
      <x:c r="G2900"/>
      <x:c r="H2900"/>
      <x:c r="I2900"/>
      <x:c r="J2900"/>
      <x:c r="K2900"/>
      <x:c r="L2900"/>
      <x:c r="M2900"/>
      <x:c r="N2900"/>
      <x:c r="O2900"/>
      <x:c r="P2900"/>
      <x:c r="Q2900"/>
      <x:c r="R2900"/>
      <x:c r="S2900"/>
      <x:c r="T2900"/>
      <x:c r="U2900"/>
      <x:c r="V2900"/>
      <x:c r="W2900"/>
    </x:row>
    <x:row r="2901">
      <x:c r="A2901"/>
      <x:c r="B2901"/>
      <x:c r="C2901"/>
      <x:c r="D2901"/>
      <x:c r="E2901"/>
      <x:c r="F2901"/>
      <x:c r="G2901"/>
      <x:c r="H2901"/>
      <x:c r="I2901"/>
      <x:c r="J2901"/>
      <x:c r="K2901"/>
      <x:c r="L2901"/>
      <x:c r="M2901"/>
      <x:c r="N2901"/>
      <x:c r="O2901"/>
      <x:c r="P2901"/>
      <x:c r="Q2901"/>
      <x:c r="R2901"/>
      <x:c r="S2901"/>
      <x:c r="T2901"/>
      <x:c r="U2901"/>
      <x:c r="V2901"/>
      <x:c r="W2901"/>
    </x:row>
    <x:row r="2902">
      <x:c r="A2902"/>
      <x:c r="B2902"/>
      <x:c r="C2902"/>
      <x:c r="D2902"/>
      <x:c r="E2902"/>
      <x:c r="F2902"/>
      <x:c r="G2902"/>
      <x:c r="H2902"/>
      <x:c r="I2902"/>
      <x:c r="J2902"/>
      <x:c r="K2902"/>
      <x:c r="L2902"/>
      <x:c r="M2902"/>
      <x:c r="N2902"/>
      <x:c r="O2902"/>
      <x:c r="P2902"/>
      <x:c r="Q2902"/>
      <x:c r="R2902"/>
      <x:c r="S2902"/>
      <x:c r="T2902"/>
      <x:c r="U2902"/>
      <x:c r="V2902"/>
      <x:c r="W2902"/>
    </x:row>
    <x:row r="2903">
      <x:c r="A2903"/>
      <x:c r="B2903"/>
      <x:c r="C2903"/>
      <x:c r="D2903"/>
      <x:c r="E2903"/>
      <x:c r="F2903"/>
      <x:c r="G2903"/>
      <x:c r="H2903"/>
      <x:c r="I2903"/>
      <x:c r="J2903"/>
      <x:c r="K2903"/>
      <x:c r="L2903"/>
      <x:c r="M2903"/>
      <x:c r="N2903"/>
      <x:c r="O2903"/>
      <x:c r="P2903"/>
      <x:c r="Q2903"/>
      <x:c r="R2903"/>
      <x:c r="S2903"/>
      <x:c r="T2903"/>
      <x:c r="U2903"/>
      <x:c r="V2903"/>
      <x:c r="W2903"/>
    </x:row>
    <x:row r="2904">
      <x:c r="A2904"/>
      <x:c r="B2904"/>
      <x:c r="C2904"/>
      <x:c r="D2904"/>
      <x:c r="E2904"/>
      <x:c r="F2904"/>
      <x:c r="G2904"/>
      <x:c r="H2904"/>
      <x:c r="I2904"/>
      <x:c r="J2904"/>
      <x:c r="K2904"/>
      <x:c r="L2904"/>
      <x:c r="M2904"/>
      <x:c r="N2904"/>
      <x:c r="O2904"/>
      <x:c r="P2904"/>
      <x:c r="Q2904"/>
      <x:c r="R2904"/>
      <x:c r="S2904"/>
      <x:c r="T2904"/>
      <x:c r="U2904"/>
      <x:c r="V2904"/>
      <x:c r="W2904"/>
    </x:row>
    <x:row r="2905">
      <x:c r="A2905"/>
      <x:c r="B2905"/>
      <x:c r="C2905"/>
      <x:c r="D2905"/>
      <x:c r="E2905"/>
      <x:c r="F2905"/>
      <x:c r="G2905"/>
      <x:c r="H2905"/>
      <x:c r="I2905"/>
      <x:c r="J2905"/>
      <x:c r="K2905"/>
      <x:c r="L2905"/>
      <x:c r="M2905"/>
      <x:c r="N2905"/>
      <x:c r="O2905"/>
      <x:c r="P2905"/>
      <x:c r="Q2905"/>
      <x:c r="R2905"/>
      <x:c r="S2905"/>
      <x:c r="T2905"/>
      <x:c r="U2905"/>
      <x:c r="V2905"/>
      <x:c r="W2905"/>
    </x:row>
    <x:row r="2906">
      <x:c r="A2906"/>
      <x:c r="B2906"/>
      <x:c r="C2906"/>
      <x:c r="D2906"/>
      <x:c r="E2906"/>
      <x:c r="F2906"/>
      <x:c r="G2906"/>
      <x:c r="H2906"/>
      <x:c r="I2906"/>
      <x:c r="J2906"/>
      <x:c r="K2906"/>
      <x:c r="L2906"/>
      <x:c r="M2906"/>
      <x:c r="N2906"/>
      <x:c r="O2906"/>
      <x:c r="P2906"/>
      <x:c r="Q2906"/>
      <x:c r="R2906"/>
      <x:c r="S2906"/>
      <x:c r="T2906"/>
      <x:c r="U2906"/>
      <x:c r="V2906"/>
      <x:c r="W2906"/>
    </x:row>
    <x:row r="2907">
      <x:c r="A2907"/>
      <x:c r="B2907"/>
      <x:c r="C2907"/>
      <x:c r="D2907"/>
      <x:c r="E2907"/>
      <x:c r="F2907"/>
      <x:c r="G2907"/>
      <x:c r="H2907"/>
      <x:c r="I2907"/>
      <x:c r="J2907"/>
      <x:c r="K2907"/>
      <x:c r="L2907"/>
      <x:c r="M2907"/>
      <x:c r="N2907"/>
      <x:c r="O2907"/>
      <x:c r="P2907"/>
      <x:c r="Q2907"/>
      <x:c r="R2907"/>
      <x:c r="S2907"/>
      <x:c r="T2907"/>
      <x:c r="U2907"/>
      <x:c r="V2907"/>
      <x:c r="W2907"/>
    </x:row>
    <x:row r="2908">
      <x:c r="A2908"/>
      <x:c r="B2908"/>
      <x:c r="C2908"/>
      <x:c r="D2908"/>
      <x:c r="E2908"/>
      <x:c r="F2908"/>
      <x:c r="G2908"/>
      <x:c r="H2908"/>
      <x:c r="I2908"/>
      <x:c r="J2908"/>
      <x:c r="K2908"/>
      <x:c r="L2908"/>
      <x:c r="M2908"/>
      <x:c r="N2908"/>
      <x:c r="O2908"/>
      <x:c r="P2908"/>
      <x:c r="Q2908"/>
      <x:c r="R2908"/>
      <x:c r="S2908"/>
      <x:c r="T2908"/>
      <x:c r="U2908"/>
      <x:c r="V2908"/>
      <x:c r="W2908"/>
    </x:row>
    <x:row r="2909">
      <x:c r="A2909"/>
      <x:c r="B2909"/>
      <x:c r="C2909"/>
      <x:c r="D2909"/>
      <x:c r="E2909"/>
      <x:c r="F2909"/>
      <x:c r="G2909"/>
      <x:c r="H2909"/>
      <x:c r="I2909"/>
      <x:c r="J2909"/>
      <x:c r="K2909"/>
      <x:c r="L2909"/>
      <x:c r="M2909"/>
      <x:c r="N2909"/>
      <x:c r="O2909"/>
      <x:c r="P2909"/>
      <x:c r="Q2909"/>
      <x:c r="R2909"/>
      <x:c r="S2909"/>
      <x:c r="T2909"/>
      <x:c r="U2909"/>
      <x:c r="V2909"/>
      <x:c r="W2909"/>
    </x:row>
    <x:row r="2910">
      <x:c r="A2910"/>
      <x:c r="B2910"/>
      <x:c r="C2910"/>
      <x:c r="D2910"/>
      <x:c r="E2910"/>
      <x:c r="F2910"/>
      <x:c r="G2910"/>
      <x:c r="H2910"/>
      <x:c r="I2910"/>
      <x:c r="J2910"/>
      <x:c r="K2910"/>
      <x:c r="L2910"/>
      <x:c r="M2910"/>
      <x:c r="N2910"/>
      <x:c r="O2910"/>
      <x:c r="P2910"/>
      <x:c r="Q2910"/>
      <x:c r="R2910"/>
      <x:c r="S2910"/>
      <x:c r="T2910"/>
      <x:c r="U2910"/>
      <x:c r="V2910"/>
      <x:c r="W2910"/>
    </x:row>
    <x:row r="2911">
      <x:c r="A2911"/>
      <x:c r="B2911"/>
      <x:c r="C2911"/>
      <x:c r="D2911"/>
      <x:c r="E2911"/>
      <x:c r="F2911"/>
      <x:c r="G2911"/>
      <x:c r="H2911"/>
      <x:c r="I2911"/>
      <x:c r="J2911"/>
      <x:c r="K2911"/>
      <x:c r="L2911"/>
      <x:c r="M2911"/>
      <x:c r="N2911"/>
      <x:c r="O2911"/>
      <x:c r="P2911"/>
      <x:c r="Q2911"/>
      <x:c r="R2911"/>
      <x:c r="S2911"/>
      <x:c r="T2911"/>
      <x:c r="U2911"/>
      <x:c r="V2911"/>
      <x:c r="W2911"/>
    </x:row>
    <x:row r="2912">
      <x:c r="A2912"/>
      <x:c r="B2912"/>
      <x:c r="C2912"/>
      <x:c r="D2912"/>
      <x:c r="E2912"/>
      <x:c r="F2912"/>
      <x:c r="G2912"/>
      <x:c r="H2912"/>
      <x:c r="I2912"/>
      <x:c r="J2912"/>
      <x:c r="K2912"/>
      <x:c r="L2912"/>
      <x:c r="M2912"/>
      <x:c r="N2912"/>
      <x:c r="O2912"/>
      <x:c r="P2912"/>
      <x:c r="Q2912"/>
      <x:c r="R2912"/>
      <x:c r="S2912"/>
      <x:c r="T2912"/>
      <x:c r="U2912"/>
      <x:c r="V2912"/>
      <x:c r="W2912"/>
    </x:row>
    <x:row r="2913">
      <x:c r="A2913"/>
      <x:c r="B2913"/>
      <x:c r="C2913"/>
      <x:c r="D2913"/>
      <x:c r="E2913"/>
      <x:c r="F2913"/>
      <x:c r="G2913"/>
      <x:c r="H2913"/>
      <x:c r="I2913"/>
      <x:c r="J2913"/>
      <x:c r="K2913"/>
      <x:c r="L2913"/>
      <x:c r="M2913"/>
      <x:c r="N2913"/>
      <x:c r="O2913"/>
      <x:c r="P2913"/>
      <x:c r="Q2913"/>
      <x:c r="R2913"/>
      <x:c r="S2913"/>
      <x:c r="T2913"/>
      <x:c r="U2913"/>
      <x:c r="V2913"/>
      <x:c r="W2913"/>
    </x:row>
    <x:row r="2914">
      <x:c r="A2914"/>
      <x:c r="B2914"/>
      <x:c r="C2914"/>
      <x:c r="D2914"/>
      <x:c r="E2914"/>
      <x:c r="F2914"/>
      <x:c r="G2914"/>
      <x:c r="H2914"/>
      <x:c r="I2914"/>
      <x:c r="J2914"/>
      <x:c r="K2914"/>
      <x:c r="L2914"/>
      <x:c r="M2914"/>
      <x:c r="N2914"/>
      <x:c r="O2914"/>
      <x:c r="P2914"/>
      <x:c r="Q2914"/>
      <x:c r="R2914"/>
      <x:c r="S2914"/>
      <x:c r="T2914"/>
      <x:c r="U2914"/>
      <x:c r="V2914"/>
      <x:c r="W2914"/>
    </x:row>
    <x:row r="2915">
      <x:c r="A2915"/>
      <x:c r="B2915"/>
      <x:c r="C2915"/>
      <x:c r="D2915"/>
      <x:c r="E2915"/>
      <x:c r="F2915"/>
      <x:c r="G2915"/>
      <x:c r="H2915"/>
      <x:c r="I2915"/>
      <x:c r="J2915"/>
      <x:c r="K2915"/>
      <x:c r="L2915"/>
      <x:c r="M2915"/>
      <x:c r="N2915"/>
      <x:c r="O2915"/>
      <x:c r="P2915"/>
      <x:c r="Q2915"/>
      <x:c r="R2915"/>
      <x:c r="S2915"/>
      <x:c r="T2915"/>
      <x:c r="U2915"/>
      <x:c r="V2915"/>
      <x:c r="W2915"/>
    </x:row>
    <x:row r="2916">
      <x:c r="A2916"/>
      <x:c r="B2916"/>
      <x:c r="C2916"/>
      <x:c r="D2916"/>
      <x:c r="E2916"/>
      <x:c r="F2916"/>
      <x:c r="G2916"/>
      <x:c r="H2916"/>
      <x:c r="I2916"/>
      <x:c r="J2916"/>
      <x:c r="K2916"/>
      <x:c r="L2916"/>
      <x:c r="M2916"/>
      <x:c r="N2916"/>
      <x:c r="O2916"/>
      <x:c r="P2916"/>
      <x:c r="Q2916"/>
      <x:c r="R2916"/>
      <x:c r="S2916"/>
      <x:c r="T2916"/>
      <x:c r="U2916"/>
      <x:c r="V2916"/>
      <x:c r="W2916"/>
    </x:row>
    <x:row r="2917">
      <x:c r="A2917"/>
      <x:c r="B2917"/>
      <x:c r="C2917"/>
      <x:c r="D2917"/>
      <x:c r="E2917"/>
      <x:c r="F2917"/>
      <x:c r="G2917"/>
      <x:c r="H2917"/>
      <x:c r="I2917"/>
      <x:c r="J2917"/>
      <x:c r="K2917"/>
      <x:c r="L2917"/>
      <x:c r="M2917"/>
      <x:c r="N2917"/>
      <x:c r="O2917"/>
      <x:c r="P2917"/>
      <x:c r="Q2917"/>
      <x:c r="R2917"/>
      <x:c r="S2917"/>
      <x:c r="T2917"/>
      <x:c r="U2917"/>
      <x:c r="V2917"/>
      <x:c r="W2917"/>
    </x:row>
    <x:row r="2918">
      <x:c r="A2918"/>
      <x:c r="B2918"/>
      <x:c r="C2918"/>
      <x:c r="D2918"/>
      <x:c r="E2918"/>
      <x:c r="F2918"/>
      <x:c r="G2918"/>
      <x:c r="H2918"/>
      <x:c r="I2918"/>
      <x:c r="J2918"/>
      <x:c r="K2918"/>
      <x:c r="L2918"/>
      <x:c r="M2918"/>
      <x:c r="N2918"/>
      <x:c r="O2918"/>
      <x:c r="P2918"/>
      <x:c r="Q2918"/>
      <x:c r="R2918"/>
      <x:c r="S2918"/>
      <x:c r="T2918"/>
      <x:c r="U2918"/>
      <x:c r="V2918"/>
      <x:c r="W2918"/>
    </x:row>
    <x:row r="2919">
      <x:c r="A2919"/>
      <x:c r="B2919"/>
      <x:c r="C2919"/>
      <x:c r="D2919"/>
      <x:c r="E2919"/>
      <x:c r="F2919"/>
      <x:c r="G2919"/>
      <x:c r="H2919"/>
      <x:c r="I2919"/>
      <x:c r="J2919"/>
      <x:c r="K2919"/>
      <x:c r="L2919"/>
      <x:c r="M2919"/>
      <x:c r="N2919"/>
      <x:c r="O2919"/>
      <x:c r="P2919"/>
      <x:c r="Q2919"/>
      <x:c r="R2919"/>
      <x:c r="S2919"/>
      <x:c r="T2919"/>
      <x:c r="U2919"/>
      <x:c r="V2919"/>
      <x:c r="W2919"/>
    </x:row>
    <x:row r="2920">
      <x:c r="A2920"/>
      <x:c r="B2920"/>
      <x:c r="C2920"/>
      <x:c r="D2920"/>
      <x:c r="E2920"/>
      <x:c r="F2920"/>
      <x:c r="G2920"/>
      <x:c r="H2920"/>
      <x:c r="I2920"/>
      <x:c r="J2920"/>
      <x:c r="K2920"/>
      <x:c r="L2920"/>
      <x:c r="M2920"/>
      <x:c r="N2920"/>
      <x:c r="O2920"/>
      <x:c r="P2920"/>
      <x:c r="Q2920"/>
      <x:c r="R2920"/>
      <x:c r="S2920"/>
      <x:c r="T2920"/>
      <x:c r="U2920"/>
      <x:c r="V2920"/>
      <x:c r="W2920"/>
    </x:row>
    <x:row r="2921">
      <x:c r="A2921"/>
      <x:c r="B2921"/>
      <x:c r="C2921"/>
      <x:c r="D2921"/>
      <x:c r="E2921"/>
      <x:c r="F2921"/>
      <x:c r="G2921"/>
      <x:c r="H2921"/>
      <x:c r="I2921"/>
      <x:c r="J2921"/>
      <x:c r="K2921"/>
      <x:c r="L2921"/>
      <x:c r="M2921"/>
      <x:c r="N2921"/>
      <x:c r="O2921"/>
      <x:c r="P2921"/>
      <x:c r="Q2921"/>
      <x:c r="R2921"/>
      <x:c r="S2921"/>
      <x:c r="T2921"/>
      <x:c r="U2921"/>
      <x:c r="V2921"/>
      <x:c r="W2921"/>
    </x:row>
    <x:row r="2922">
      <x:c r="A2922"/>
      <x:c r="B2922"/>
      <x:c r="C2922"/>
      <x:c r="D2922"/>
      <x:c r="E2922"/>
      <x:c r="F2922"/>
      <x:c r="G2922"/>
      <x:c r="H2922"/>
      <x:c r="I2922"/>
      <x:c r="J2922"/>
      <x:c r="K2922"/>
      <x:c r="L2922"/>
      <x:c r="M2922"/>
      <x:c r="N2922"/>
      <x:c r="O2922"/>
      <x:c r="P2922"/>
      <x:c r="Q2922"/>
      <x:c r="R2922"/>
      <x:c r="S2922"/>
      <x:c r="T2922"/>
      <x:c r="U2922"/>
      <x:c r="V2922"/>
      <x:c r="W2922"/>
    </x:row>
    <x:row r="2923">
      <x:c r="A2923"/>
      <x:c r="B2923"/>
      <x:c r="C2923"/>
      <x:c r="D2923"/>
      <x:c r="E2923"/>
      <x:c r="F2923"/>
      <x:c r="G2923"/>
      <x:c r="H2923"/>
      <x:c r="I2923"/>
      <x:c r="J2923"/>
      <x:c r="K2923"/>
      <x:c r="L2923"/>
      <x:c r="M2923"/>
      <x:c r="N2923"/>
      <x:c r="O2923"/>
      <x:c r="P2923"/>
      <x:c r="Q2923"/>
      <x:c r="R2923"/>
      <x:c r="S2923"/>
      <x:c r="T2923"/>
      <x:c r="U2923"/>
      <x:c r="V2923"/>
      <x:c r="W2923"/>
    </x:row>
    <x:row r="2924">
      <x:c r="A2924"/>
      <x:c r="B2924"/>
      <x:c r="C2924"/>
      <x:c r="D2924"/>
      <x:c r="E2924"/>
      <x:c r="F2924"/>
      <x:c r="G2924"/>
      <x:c r="H2924"/>
      <x:c r="I2924"/>
      <x:c r="J2924"/>
      <x:c r="K2924"/>
      <x:c r="L2924"/>
      <x:c r="M2924"/>
      <x:c r="N2924"/>
      <x:c r="O2924"/>
      <x:c r="P2924"/>
      <x:c r="Q2924"/>
      <x:c r="R2924"/>
      <x:c r="S2924"/>
      <x:c r="T2924"/>
      <x:c r="U2924"/>
      <x:c r="V2924"/>
      <x:c r="W2924"/>
    </x:row>
    <x:row r="2925">
      <x:c r="A2925"/>
      <x:c r="B2925"/>
      <x:c r="C2925"/>
      <x:c r="D2925"/>
      <x:c r="E2925"/>
      <x:c r="F2925"/>
      <x:c r="G2925"/>
      <x:c r="H2925"/>
      <x:c r="I2925"/>
      <x:c r="J2925"/>
      <x:c r="K2925"/>
      <x:c r="L2925"/>
      <x:c r="M2925"/>
      <x:c r="N2925"/>
      <x:c r="O2925"/>
      <x:c r="P2925"/>
      <x:c r="Q2925"/>
      <x:c r="R2925"/>
      <x:c r="S2925"/>
      <x:c r="T2925"/>
      <x:c r="U2925"/>
      <x:c r="V2925"/>
      <x:c r="W2925"/>
    </x:row>
    <x:row r="2926">
      <x:c r="A2926"/>
      <x:c r="B2926"/>
      <x:c r="C2926"/>
      <x:c r="D2926"/>
      <x:c r="E2926"/>
      <x:c r="F2926"/>
      <x:c r="G2926"/>
      <x:c r="H2926"/>
      <x:c r="I2926"/>
      <x:c r="J2926"/>
      <x:c r="K2926"/>
      <x:c r="L2926"/>
      <x:c r="M2926"/>
      <x:c r="N2926"/>
      <x:c r="O2926"/>
      <x:c r="P2926"/>
      <x:c r="Q2926"/>
      <x:c r="R2926"/>
      <x:c r="S2926"/>
      <x:c r="T2926"/>
      <x:c r="U2926"/>
      <x:c r="V2926"/>
      <x:c r="W2926"/>
    </x:row>
    <x:row r="2927">
      <x:c r="A2927"/>
      <x:c r="B2927"/>
      <x:c r="C2927"/>
      <x:c r="D2927"/>
      <x:c r="E2927"/>
      <x:c r="F2927"/>
      <x:c r="G2927"/>
      <x:c r="H2927"/>
      <x:c r="I2927"/>
      <x:c r="J2927"/>
      <x:c r="K2927"/>
      <x:c r="L2927"/>
      <x:c r="M2927"/>
      <x:c r="N2927"/>
      <x:c r="O2927"/>
      <x:c r="P2927"/>
      <x:c r="Q2927"/>
      <x:c r="R2927"/>
      <x:c r="S2927"/>
      <x:c r="T2927"/>
      <x:c r="U2927"/>
      <x:c r="V2927"/>
      <x:c r="W2927"/>
    </x:row>
    <x:row r="2928">
      <x:c r="A2928"/>
      <x:c r="B2928"/>
      <x:c r="C2928"/>
      <x:c r="D2928"/>
      <x:c r="E2928"/>
      <x:c r="F2928"/>
      <x:c r="G2928"/>
      <x:c r="H2928"/>
      <x:c r="I2928"/>
      <x:c r="J2928"/>
      <x:c r="K2928"/>
      <x:c r="L2928"/>
      <x:c r="M2928"/>
      <x:c r="N2928"/>
      <x:c r="O2928"/>
      <x:c r="P2928"/>
      <x:c r="Q2928"/>
      <x:c r="R2928"/>
      <x:c r="S2928"/>
      <x:c r="T2928"/>
      <x:c r="U2928"/>
      <x:c r="V2928"/>
      <x:c r="W2928"/>
    </x:row>
    <x:row r="2929">
      <x:c r="A2929"/>
      <x:c r="B2929"/>
      <x:c r="C2929"/>
      <x:c r="D2929"/>
      <x:c r="E2929"/>
      <x:c r="F2929"/>
      <x:c r="G2929"/>
      <x:c r="H2929"/>
      <x:c r="I2929"/>
      <x:c r="J2929"/>
      <x:c r="K2929"/>
      <x:c r="L2929"/>
      <x:c r="M2929"/>
      <x:c r="N2929"/>
      <x:c r="O2929"/>
      <x:c r="P2929"/>
      <x:c r="Q2929"/>
      <x:c r="R2929"/>
      <x:c r="S2929"/>
      <x:c r="T2929"/>
      <x:c r="U2929"/>
      <x:c r="V2929"/>
      <x:c r="W2929"/>
    </x:row>
    <x:row r="2930">
      <x:c r="A2930"/>
      <x:c r="B2930"/>
      <x:c r="C2930"/>
      <x:c r="D2930"/>
      <x:c r="E2930"/>
      <x:c r="F2930"/>
      <x:c r="G2930"/>
      <x:c r="H2930"/>
      <x:c r="I2930"/>
      <x:c r="J2930"/>
      <x:c r="K2930"/>
      <x:c r="L2930"/>
      <x:c r="M2930"/>
      <x:c r="N2930"/>
      <x:c r="O2930"/>
      <x:c r="P2930"/>
      <x:c r="Q2930"/>
      <x:c r="R2930"/>
      <x:c r="S2930"/>
      <x:c r="T2930"/>
      <x:c r="U2930"/>
      <x:c r="V2930"/>
      <x:c r="W2930"/>
    </x:row>
    <x:row r="2931">
      <x:c r="A2931"/>
      <x:c r="B2931"/>
      <x:c r="C2931"/>
      <x:c r="D2931"/>
      <x:c r="E2931"/>
      <x:c r="F2931"/>
      <x:c r="G2931"/>
      <x:c r="H2931"/>
      <x:c r="I2931"/>
      <x:c r="J2931"/>
      <x:c r="K2931"/>
      <x:c r="L2931"/>
      <x:c r="M2931"/>
      <x:c r="N2931"/>
      <x:c r="O2931"/>
      <x:c r="P2931"/>
      <x:c r="Q2931"/>
      <x:c r="R2931"/>
      <x:c r="S2931"/>
      <x:c r="T2931"/>
      <x:c r="U2931"/>
      <x:c r="V2931"/>
      <x:c r="W2931"/>
    </x:row>
    <x:row r="2932">
      <x:c r="A2932"/>
      <x:c r="B2932"/>
      <x:c r="C2932"/>
      <x:c r="D2932"/>
      <x:c r="E2932"/>
      <x:c r="F2932"/>
      <x:c r="G2932"/>
      <x:c r="H2932"/>
      <x:c r="I2932"/>
      <x:c r="J2932"/>
      <x:c r="K2932"/>
      <x:c r="L2932"/>
      <x:c r="M2932"/>
      <x:c r="N2932"/>
      <x:c r="O2932"/>
      <x:c r="P2932"/>
      <x:c r="Q2932"/>
      <x:c r="R2932"/>
      <x:c r="S2932"/>
      <x:c r="T2932"/>
      <x:c r="U2932"/>
      <x:c r="V2932"/>
      <x:c r="W2932"/>
    </x:row>
    <x:row r="2933">
      <x:c r="A2933"/>
      <x:c r="B2933"/>
      <x:c r="C2933"/>
      <x:c r="D2933"/>
      <x:c r="E2933"/>
      <x:c r="F2933"/>
      <x:c r="G2933"/>
      <x:c r="H2933"/>
      <x:c r="I2933"/>
      <x:c r="J2933"/>
      <x:c r="K2933"/>
      <x:c r="L2933"/>
      <x:c r="M2933"/>
      <x:c r="N2933"/>
      <x:c r="O2933"/>
      <x:c r="P2933"/>
      <x:c r="Q2933"/>
      <x:c r="R2933"/>
      <x:c r="S2933"/>
      <x:c r="T2933"/>
      <x:c r="U2933"/>
      <x:c r="V2933"/>
      <x:c r="W2933"/>
    </x:row>
    <x:row r="2934">
      <x:c r="A2934"/>
      <x:c r="B2934"/>
      <x:c r="C2934"/>
      <x:c r="D2934"/>
      <x:c r="E2934"/>
      <x:c r="F2934"/>
      <x:c r="G2934"/>
      <x:c r="H2934"/>
      <x:c r="I2934"/>
      <x:c r="J2934"/>
      <x:c r="K2934"/>
      <x:c r="L2934"/>
      <x:c r="M2934"/>
      <x:c r="N2934"/>
      <x:c r="O2934"/>
      <x:c r="P2934"/>
      <x:c r="Q2934"/>
      <x:c r="R2934"/>
      <x:c r="S2934"/>
      <x:c r="T2934"/>
      <x:c r="U2934"/>
      <x:c r="V2934"/>
      <x:c r="W2934"/>
    </x:row>
    <x:row r="2935">
      <x:c r="A2935"/>
      <x:c r="B2935"/>
      <x:c r="C2935"/>
      <x:c r="D2935"/>
      <x:c r="E2935"/>
      <x:c r="F2935"/>
      <x:c r="G2935"/>
      <x:c r="H2935"/>
      <x:c r="I2935"/>
      <x:c r="J2935"/>
      <x:c r="K2935"/>
      <x:c r="L2935"/>
      <x:c r="M2935"/>
      <x:c r="N2935"/>
      <x:c r="O2935"/>
      <x:c r="P2935"/>
      <x:c r="Q2935"/>
      <x:c r="R2935"/>
      <x:c r="S2935"/>
      <x:c r="T2935"/>
      <x:c r="U2935"/>
      <x:c r="V2935"/>
      <x:c r="W2935"/>
    </x:row>
    <x:row r="2936">
      <x:c r="A2936"/>
      <x:c r="B2936"/>
      <x:c r="C2936"/>
      <x:c r="D2936"/>
      <x:c r="E2936"/>
      <x:c r="F2936"/>
      <x:c r="G2936"/>
      <x:c r="H2936"/>
      <x:c r="I2936"/>
      <x:c r="J2936"/>
      <x:c r="K2936"/>
      <x:c r="L2936"/>
      <x:c r="M2936"/>
      <x:c r="N2936"/>
      <x:c r="O2936"/>
      <x:c r="P2936"/>
      <x:c r="Q2936"/>
      <x:c r="R2936"/>
      <x:c r="S2936"/>
      <x:c r="T2936"/>
      <x:c r="U2936"/>
      <x:c r="V2936"/>
      <x:c r="W2936"/>
    </x:row>
    <x:row r="2937">
      <x:c r="A2937"/>
      <x:c r="B2937"/>
      <x:c r="C2937"/>
      <x:c r="D2937"/>
      <x:c r="E2937"/>
      <x:c r="F2937"/>
      <x:c r="G2937"/>
      <x:c r="H2937"/>
      <x:c r="I2937"/>
      <x:c r="J2937"/>
      <x:c r="K2937"/>
      <x:c r="L2937"/>
      <x:c r="M2937"/>
      <x:c r="N2937"/>
      <x:c r="O2937"/>
      <x:c r="P2937"/>
      <x:c r="Q2937"/>
      <x:c r="R2937"/>
      <x:c r="S2937"/>
      <x:c r="T2937"/>
      <x:c r="U2937"/>
      <x:c r="V2937"/>
      <x:c r="W2937"/>
    </x:row>
    <x:row r="2938">
      <x:c r="A2938"/>
      <x:c r="B2938"/>
      <x:c r="C2938"/>
      <x:c r="D2938"/>
      <x:c r="E2938"/>
      <x:c r="F2938"/>
      <x:c r="G2938"/>
      <x:c r="H2938"/>
      <x:c r="I2938"/>
      <x:c r="J2938"/>
      <x:c r="K2938"/>
      <x:c r="L2938"/>
      <x:c r="M2938"/>
      <x:c r="N2938"/>
      <x:c r="O2938"/>
      <x:c r="P2938"/>
      <x:c r="Q2938"/>
      <x:c r="R2938"/>
      <x:c r="S2938"/>
      <x:c r="T2938"/>
      <x:c r="U2938"/>
      <x:c r="V2938"/>
      <x:c r="W2938"/>
    </x:row>
    <x:row r="2939">
      <x:c r="A2939"/>
      <x:c r="B2939"/>
      <x:c r="C2939"/>
      <x:c r="D2939"/>
      <x:c r="E2939"/>
      <x:c r="F2939"/>
      <x:c r="G2939"/>
      <x:c r="H2939"/>
      <x:c r="I2939"/>
      <x:c r="J2939"/>
      <x:c r="K2939"/>
      <x:c r="L2939"/>
      <x:c r="M2939"/>
      <x:c r="N2939"/>
      <x:c r="O2939"/>
      <x:c r="P2939"/>
      <x:c r="Q2939"/>
      <x:c r="R2939"/>
      <x:c r="S2939"/>
      <x:c r="T2939"/>
      <x:c r="U2939"/>
      <x:c r="V2939"/>
      <x:c r="W2939"/>
    </x:row>
    <x:row r="2940">
      <x:c r="A2940"/>
      <x:c r="B2940"/>
      <x:c r="C2940"/>
      <x:c r="D2940"/>
      <x:c r="E2940"/>
      <x:c r="F2940"/>
      <x:c r="G2940"/>
      <x:c r="H2940"/>
      <x:c r="I2940"/>
      <x:c r="J2940"/>
      <x:c r="K2940"/>
      <x:c r="L2940"/>
      <x:c r="M2940"/>
      <x:c r="N2940"/>
      <x:c r="O2940"/>
      <x:c r="P2940"/>
      <x:c r="Q2940"/>
      <x:c r="R2940"/>
      <x:c r="S2940"/>
      <x:c r="T2940"/>
      <x:c r="U2940"/>
      <x:c r="V2940"/>
      <x:c r="W2940"/>
    </x:row>
    <x:row r="2941">
      <x:c r="A2941"/>
      <x:c r="B2941"/>
      <x:c r="C2941"/>
      <x:c r="D2941"/>
      <x:c r="E2941"/>
      <x:c r="F2941"/>
      <x:c r="G2941"/>
      <x:c r="H2941"/>
      <x:c r="I2941"/>
      <x:c r="J2941"/>
      <x:c r="K2941"/>
      <x:c r="L2941"/>
      <x:c r="M2941"/>
      <x:c r="N2941"/>
      <x:c r="O2941"/>
      <x:c r="P2941"/>
      <x:c r="Q2941"/>
      <x:c r="R2941"/>
      <x:c r="S2941"/>
      <x:c r="T2941"/>
      <x:c r="U2941"/>
      <x:c r="V2941"/>
      <x:c r="W2941"/>
    </x:row>
    <x:row r="2942">
      <x:c r="A2942"/>
      <x:c r="B2942"/>
      <x:c r="C2942"/>
      <x:c r="D2942"/>
      <x:c r="E2942"/>
      <x:c r="F2942"/>
      <x:c r="G2942"/>
      <x:c r="H2942"/>
      <x:c r="I2942"/>
      <x:c r="J2942"/>
      <x:c r="K2942"/>
      <x:c r="L2942"/>
      <x:c r="M2942"/>
      <x:c r="N2942"/>
      <x:c r="O2942"/>
      <x:c r="P2942"/>
      <x:c r="Q2942"/>
      <x:c r="R2942"/>
      <x:c r="S2942"/>
      <x:c r="T2942"/>
      <x:c r="U2942"/>
      <x:c r="V2942"/>
      <x:c r="W2942"/>
    </x:row>
    <x:row r="2943">
      <x:c r="A2943"/>
      <x:c r="B2943"/>
      <x:c r="C2943"/>
      <x:c r="D2943"/>
      <x:c r="E2943"/>
      <x:c r="F2943"/>
      <x:c r="G2943"/>
      <x:c r="H2943"/>
      <x:c r="I2943"/>
      <x:c r="J2943"/>
      <x:c r="K2943"/>
      <x:c r="L2943"/>
      <x:c r="M2943"/>
      <x:c r="N2943"/>
      <x:c r="O2943"/>
      <x:c r="P2943"/>
      <x:c r="Q2943"/>
      <x:c r="R2943"/>
      <x:c r="S2943"/>
      <x:c r="T2943"/>
      <x:c r="U2943"/>
      <x:c r="V2943"/>
      <x:c r="W2943"/>
    </x:row>
    <x:row r="2944">
      <x:c r="A2944"/>
      <x:c r="B2944"/>
      <x:c r="C2944"/>
      <x:c r="D2944"/>
      <x:c r="E2944"/>
      <x:c r="F2944"/>
      <x:c r="G2944"/>
      <x:c r="H2944"/>
      <x:c r="I2944"/>
      <x:c r="J2944"/>
      <x:c r="K2944"/>
      <x:c r="L2944"/>
      <x:c r="M2944"/>
      <x:c r="N2944"/>
      <x:c r="O2944"/>
      <x:c r="P2944"/>
      <x:c r="Q2944"/>
      <x:c r="R2944"/>
      <x:c r="S2944"/>
      <x:c r="T2944"/>
      <x:c r="U2944"/>
      <x:c r="V2944"/>
      <x:c r="W2944"/>
    </x:row>
    <x:row r="2945">
      <x:c r="A2945"/>
      <x:c r="B2945"/>
      <x:c r="C2945"/>
      <x:c r="D2945"/>
      <x:c r="E2945"/>
      <x:c r="F2945"/>
      <x:c r="G2945"/>
      <x:c r="H2945"/>
      <x:c r="I2945"/>
      <x:c r="J2945"/>
      <x:c r="K2945"/>
      <x:c r="L2945"/>
      <x:c r="M2945"/>
      <x:c r="N2945"/>
      <x:c r="O2945"/>
      <x:c r="P2945"/>
      <x:c r="Q2945"/>
      <x:c r="R2945"/>
      <x:c r="S2945"/>
      <x:c r="T2945"/>
      <x:c r="U2945"/>
      <x:c r="V2945"/>
      <x:c r="W2945"/>
    </x:row>
    <x:row r="2946">
      <x:c r="A2946"/>
      <x:c r="B2946"/>
      <x:c r="C2946"/>
      <x:c r="D2946"/>
      <x:c r="E2946"/>
      <x:c r="F2946"/>
      <x:c r="G2946"/>
      <x:c r="H2946"/>
      <x:c r="I2946"/>
      <x:c r="J2946"/>
      <x:c r="K2946"/>
      <x:c r="L2946"/>
      <x:c r="M2946"/>
      <x:c r="N2946"/>
      <x:c r="O2946"/>
      <x:c r="P2946"/>
      <x:c r="Q2946"/>
      <x:c r="R2946"/>
      <x:c r="S2946"/>
      <x:c r="T2946"/>
      <x:c r="U2946"/>
      <x:c r="V2946"/>
      <x:c r="W2946"/>
    </x:row>
    <x:row r="2947">
      <x:c r="A2947"/>
      <x:c r="B2947"/>
      <x:c r="C2947"/>
      <x:c r="D2947"/>
      <x:c r="E2947"/>
      <x:c r="F2947"/>
      <x:c r="G2947"/>
      <x:c r="H2947"/>
      <x:c r="I2947"/>
      <x:c r="J2947"/>
      <x:c r="K2947"/>
      <x:c r="L2947"/>
      <x:c r="M2947"/>
      <x:c r="N2947"/>
      <x:c r="O2947"/>
      <x:c r="P2947"/>
      <x:c r="Q2947"/>
      <x:c r="R2947"/>
      <x:c r="S2947"/>
      <x:c r="T2947"/>
      <x:c r="U2947"/>
      <x:c r="V2947"/>
      <x:c r="W2947"/>
    </x:row>
    <x:row r="2948">
      <x:c r="A2948"/>
      <x:c r="B2948"/>
      <x:c r="C2948"/>
      <x:c r="D2948"/>
      <x:c r="E2948"/>
      <x:c r="F2948"/>
      <x:c r="G2948"/>
      <x:c r="H2948"/>
      <x:c r="I2948"/>
      <x:c r="J2948"/>
      <x:c r="K2948"/>
      <x:c r="L2948"/>
      <x:c r="M2948"/>
      <x:c r="N2948"/>
      <x:c r="O2948"/>
      <x:c r="P2948"/>
      <x:c r="Q2948"/>
      <x:c r="R2948"/>
      <x:c r="S2948"/>
      <x:c r="T2948"/>
      <x:c r="U2948"/>
      <x:c r="V2948"/>
      <x:c r="W2948"/>
    </x:row>
    <x:row r="2949">
      <x:c r="A2949"/>
      <x:c r="B2949"/>
      <x:c r="C2949"/>
      <x:c r="D2949"/>
      <x:c r="E2949"/>
      <x:c r="F2949"/>
      <x:c r="G2949"/>
      <x:c r="H2949"/>
      <x:c r="I2949"/>
      <x:c r="J2949"/>
      <x:c r="K2949"/>
      <x:c r="L2949"/>
      <x:c r="M2949"/>
      <x:c r="N2949"/>
      <x:c r="O2949"/>
      <x:c r="P2949"/>
      <x:c r="Q2949"/>
      <x:c r="R2949"/>
      <x:c r="S2949"/>
      <x:c r="T2949"/>
      <x:c r="U2949"/>
      <x:c r="V2949"/>
      <x:c r="W2949"/>
    </x:row>
    <x:row r="2950">
      <x:c r="A2950"/>
      <x:c r="B2950"/>
      <x:c r="C2950"/>
      <x:c r="D2950"/>
      <x:c r="E2950"/>
      <x:c r="F2950"/>
      <x:c r="G2950"/>
      <x:c r="H2950"/>
      <x:c r="I2950"/>
      <x:c r="J2950"/>
      <x:c r="K2950"/>
      <x:c r="L2950"/>
      <x:c r="M2950"/>
      <x:c r="N2950"/>
      <x:c r="O2950"/>
      <x:c r="P2950"/>
      <x:c r="Q2950"/>
      <x:c r="R2950"/>
      <x:c r="S2950"/>
      <x:c r="T2950"/>
      <x:c r="U2950"/>
      <x:c r="V2950"/>
      <x:c r="W2950"/>
    </x:row>
    <x:row r="2951">
      <x:c r="A2951"/>
      <x:c r="B2951"/>
      <x:c r="C2951"/>
      <x:c r="D2951"/>
      <x:c r="E2951"/>
      <x:c r="F2951"/>
      <x:c r="G2951"/>
      <x:c r="H2951"/>
      <x:c r="I2951"/>
      <x:c r="J2951"/>
      <x:c r="K2951"/>
      <x:c r="L2951"/>
      <x:c r="M2951"/>
      <x:c r="N2951"/>
      <x:c r="O2951"/>
      <x:c r="P2951"/>
      <x:c r="Q2951"/>
      <x:c r="R2951"/>
      <x:c r="S2951"/>
      <x:c r="T2951"/>
      <x:c r="U2951"/>
      <x:c r="V2951"/>
      <x:c r="W2951"/>
    </x:row>
    <x:row r="2952">
      <x:c r="A2952"/>
      <x:c r="B2952"/>
      <x:c r="C2952"/>
      <x:c r="D2952"/>
      <x:c r="E2952"/>
      <x:c r="F2952"/>
      <x:c r="G2952"/>
      <x:c r="H2952"/>
      <x:c r="I2952"/>
      <x:c r="J2952"/>
      <x:c r="K2952"/>
      <x:c r="L2952"/>
      <x:c r="M2952"/>
      <x:c r="N2952"/>
      <x:c r="O2952"/>
      <x:c r="P2952"/>
      <x:c r="Q2952"/>
      <x:c r="R2952"/>
      <x:c r="S2952"/>
      <x:c r="T2952"/>
      <x:c r="U2952"/>
      <x:c r="V2952"/>
      <x:c r="W2952"/>
    </x:row>
    <x:row r="2953">
      <x:c r="A2953"/>
      <x:c r="B2953"/>
      <x:c r="C2953"/>
      <x:c r="D2953"/>
      <x:c r="E2953"/>
      <x:c r="F2953"/>
      <x:c r="G2953"/>
      <x:c r="H2953"/>
      <x:c r="I2953"/>
      <x:c r="J2953"/>
      <x:c r="K2953"/>
      <x:c r="L2953"/>
      <x:c r="M2953"/>
      <x:c r="N2953"/>
      <x:c r="O2953"/>
      <x:c r="P2953"/>
      <x:c r="Q2953"/>
      <x:c r="R2953"/>
      <x:c r="S2953"/>
      <x:c r="T2953"/>
      <x:c r="U2953"/>
      <x:c r="V2953"/>
      <x:c r="W2953"/>
    </x:row>
    <x:row r="2954">
      <x:c r="A2954"/>
      <x:c r="B2954"/>
      <x:c r="C2954"/>
      <x:c r="D2954"/>
      <x:c r="E2954"/>
      <x:c r="F2954"/>
      <x:c r="G2954"/>
      <x:c r="H2954"/>
      <x:c r="I2954"/>
      <x:c r="J2954"/>
      <x:c r="K2954"/>
      <x:c r="L2954"/>
      <x:c r="M2954"/>
      <x:c r="N2954"/>
      <x:c r="O2954"/>
      <x:c r="P2954"/>
      <x:c r="Q2954"/>
      <x:c r="R2954"/>
      <x:c r="S2954"/>
      <x:c r="T2954"/>
      <x:c r="U2954"/>
      <x:c r="V2954"/>
      <x:c r="W2954"/>
    </x:row>
    <x:row r="2955">
      <x:c r="A2955"/>
      <x:c r="B2955"/>
      <x:c r="C2955"/>
      <x:c r="D2955"/>
      <x:c r="E2955"/>
      <x:c r="F2955"/>
      <x:c r="G2955"/>
      <x:c r="H2955"/>
      <x:c r="I2955"/>
      <x:c r="J2955"/>
      <x:c r="K2955"/>
      <x:c r="L2955"/>
      <x:c r="M2955"/>
      <x:c r="N2955"/>
      <x:c r="O2955"/>
      <x:c r="P2955"/>
      <x:c r="Q2955"/>
      <x:c r="R2955"/>
      <x:c r="S2955"/>
      <x:c r="T2955"/>
      <x:c r="U2955"/>
      <x:c r="V2955"/>
      <x:c r="W2955"/>
    </x:row>
    <x:row r="2956">
      <x:c r="A2956"/>
      <x:c r="B2956"/>
      <x:c r="C2956"/>
      <x:c r="D2956"/>
      <x:c r="E2956"/>
      <x:c r="F2956"/>
      <x:c r="G2956"/>
      <x:c r="H2956"/>
      <x:c r="I2956"/>
      <x:c r="J2956"/>
      <x:c r="K2956"/>
      <x:c r="L2956"/>
      <x:c r="M2956"/>
      <x:c r="N2956"/>
      <x:c r="O2956"/>
      <x:c r="P2956"/>
      <x:c r="Q2956"/>
      <x:c r="R2956"/>
      <x:c r="S2956"/>
      <x:c r="T2956"/>
      <x:c r="U2956"/>
      <x:c r="V2956"/>
      <x:c r="W2956"/>
    </x:row>
    <x:row r="2957">
      <x:c r="A2957"/>
      <x:c r="B2957"/>
      <x:c r="C2957"/>
      <x:c r="D2957"/>
      <x:c r="E2957"/>
      <x:c r="F2957"/>
      <x:c r="G2957"/>
      <x:c r="H2957"/>
      <x:c r="I2957"/>
      <x:c r="J2957"/>
      <x:c r="K2957"/>
      <x:c r="L2957"/>
      <x:c r="M2957"/>
      <x:c r="N2957"/>
      <x:c r="O2957"/>
      <x:c r="P2957"/>
      <x:c r="Q2957"/>
      <x:c r="R2957"/>
      <x:c r="S2957"/>
      <x:c r="T2957"/>
      <x:c r="U2957"/>
      <x:c r="V2957"/>
      <x:c r="W2957"/>
    </x:row>
    <x:row r="2958">
      <x:c r="A2958"/>
      <x:c r="B2958"/>
      <x:c r="C2958"/>
      <x:c r="D2958"/>
      <x:c r="E2958"/>
      <x:c r="F2958"/>
      <x:c r="G2958"/>
      <x:c r="H2958"/>
      <x:c r="I2958"/>
      <x:c r="J2958"/>
      <x:c r="K2958"/>
      <x:c r="L2958"/>
      <x:c r="M2958"/>
      <x:c r="N2958"/>
      <x:c r="O2958"/>
      <x:c r="P2958"/>
      <x:c r="Q2958"/>
      <x:c r="R2958"/>
      <x:c r="S2958"/>
      <x:c r="T2958"/>
      <x:c r="U2958"/>
      <x:c r="V2958"/>
      <x:c r="W2958"/>
    </x:row>
    <x:row r="2959">
      <x:c r="A2959"/>
      <x:c r="B2959"/>
      <x:c r="C2959"/>
      <x:c r="D2959"/>
      <x:c r="E2959"/>
      <x:c r="F2959"/>
      <x:c r="G2959"/>
      <x:c r="H2959"/>
      <x:c r="I2959"/>
      <x:c r="J2959"/>
      <x:c r="K2959"/>
      <x:c r="L2959"/>
      <x:c r="M2959"/>
      <x:c r="N2959"/>
      <x:c r="O2959"/>
      <x:c r="P2959"/>
      <x:c r="Q2959"/>
      <x:c r="R2959"/>
      <x:c r="S2959"/>
      <x:c r="T2959"/>
      <x:c r="U2959"/>
      <x:c r="V2959"/>
      <x:c r="W2959"/>
    </x:row>
    <x:row r="2960">
      <x:c r="A2960"/>
      <x:c r="B2960"/>
      <x:c r="C2960"/>
      <x:c r="D2960"/>
      <x:c r="E2960"/>
      <x:c r="F2960"/>
      <x:c r="G2960"/>
      <x:c r="H2960"/>
      <x:c r="I2960"/>
      <x:c r="J2960"/>
      <x:c r="K2960"/>
      <x:c r="L2960"/>
      <x:c r="M2960"/>
      <x:c r="N2960"/>
      <x:c r="O2960"/>
      <x:c r="P2960"/>
      <x:c r="Q2960"/>
      <x:c r="R2960"/>
      <x:c r="S2960"/>
      <x:c r="T2960"/>
      <x:c r="U2960"/>
      <x:c r="V2960"/>
      <x:c r="W2960"/>
    </x:row>
    <x:row r="2961">
      <x:c r="A2961"/>
      <x:c r="B2961"/>
      <x:c r="C2961"/>
      <x:c r="D2961"/>
      <x:c r="E2961"/>
      <x:c r="F2961"/>
      <x:c r="G2961"/>
      <x:c r="H2961"/>
      <x:c r="I2961"/>
      <x:c r="J2961"/>
      <x:c r="K2961"/>
      <x:c r="L2961"/>
      <x:c r="M2961"/>
      <x:c r="N2961"/>
      <x:c r="O2961"/>
      <x:c r="P2961"/>
      <x:c r="Q2961"/>
      <x:c r="R2961"/>
      <x:c r="S2961"/>
      <x:c r="T2961"/>
      <x:c r="U2961"/>
      <x:c r="V2961"/>
      <x:c r="W2961"/>
    </x:row>
    <x:row r="2962">
      <x:c r="A2962"/>
      <x:c r="B2962"/>
      <x:c r="C2962"/>
      <x:c r="D2962"/>
      <x:c r="E2962"/>
      <x:c r="F2962"/>
      <x:c r="G2962"/>
      <x:c r="H2962"/>
      <x:c r="I2962"/>
      <x:c r="J2962"/>
      <x:c r="K2962"/>
      <x:c r="L2962"/>
      <x:c r="M2962"/>
      <x:c r="N2962"/>
      <x:c r="O2962"/>
      <x:c r="P2962"/>
      <x:c r="Q2962"/>
      <x:c r="R2962"/>
      <x:c r="S2962"/>
      <x:c r="T2962"/>
      <x:c r="U2962"/>
      <x:c r="V2962"/>
      <x:c r="W2962"/>
    </x:row>
    <x:row r="2963">
      <x:c r="A2963"/>
      <x:c r="B2963"/>
      <x:c r="C2963"/>
      <x:c r="D2963"/>
      <x:c r="E2963"/>
      <x:c r="F2963"/>
      <x:c r="G2963"/>
      <x:c r="H2963"/>
      <x:c r="I2963"/>
      <x:c r="J2963"/>
      <x:c r="K2963"/>
      <x:c r="L2963"/>
      <x:c r="M2963"/>
      <x:c r="N2963"/>
      <x:c r="O2963"/>
      <x:c r="P2963"/>
      <x:c r="Q2963"/>
      <x:c r="R2963"/>
      <x:c r="S2963"/>
      <x:c r="T2963"/>
      <x:c r="U2963"/>
      <x:c r="V2963"/>
      <x:c r="W2963"/>
    </x:row>
    <x:row r="2964">
      <x:c r="A2964"/>
      <x:c r="B2964"/>
      <x:c r="C2964"/>
      <x:c r="D2964"/>
      <x:c r="E2964"/>
      <x:c r="F2964"/>
      <x:c r="G2964"/>
      <x:c r="H2964"/>
      <x:c r="I2964"/>
      <x:c r="J2964"/>
      <x:c r="K2964"/>
      <x:c r="L2964"/>
      <x:c r="M2964"/>
      <x:c r="N2964"/>
      <x:c r="O2964"/>
      <x:c r="P2964"/>
      <x:c r="Q2964"/>
      <x:c r="R2964"/>
      <x:c r="S2964"/>
      <x:c r="T2964"/>
      <x:c r="U2964"/>
      <x:c r="V2964"/>
      <x:c r="W2964"/>
    </x:row>
    <x:row r="2965">
      <x:c r="A2965"/>
      <x:c r="B2965"/>
      <x:c r="C2965"/>
      <x:c r="D2965"/>
      <x:c r="E2965"/>
      <x:c r="F2965"/>
      <x:c r="G2965"/>
      <x:c r="H2965"/>
      <x:c r="I2965"/>
      <x:c r="J2965"/>
      <x:c r="K2965"/>
      <x:c r="L2965"/>
      <x:c r="M2965"/>
      <x:c r="N2965"/>
      <x:c r="O2965"/>
      <x:c r="P2965"/>
      <x:c r="Q2965"/>
      <x:c r="R2965"/>
      <x:c r="S2965"/>
      <x:c r="T2965"/>
      <x:c r="U2965"/>
      <x:c r="V2965"/>
      <x:c r="W2965"/>
    </x:row>
    <x:row r="2966">
      <x:c r="A2966"/>
      <x:c r="B2966"/>
      <x:c r="C2966"/>
      <x:c r="D2966"/>
      <x:c r="E2966"/>
      <x:c r="F2966"/>
      <x:c r="G2966"/>
      <x:c r="H2966"/>
      <x:c r="I2966"/>
      <x:c r="J2966"/>
      <x:c r="K2966"/>
      <x:c r="L2966"/>
      <x:c r="M2966"/>
      <x:c r="N2966"/>
      <x:c r="O2966"/>
      <x:c r="P2966"/>
      <x:c r="Q2966"/>
      <x:c r="R2966"/>
      <x:c r="S2966"/>
      <x:c r="T2966"/>
      <x:c r="U2966"/>
      <x:c r="V2966"/>
      <x:c r="W2966"/>
    </x:row>
    <x:row r="2967">
      <x:c r="A2967"/>
      <x:c r="B2967"/>
      <x:c r="C2967"/>
      <x:c r="D2967"/>
      <x:c r="E2967"/>
      <x:c r="F2967"/>
      <x:c r="G2967"/>
      <x:c r="H2967"/>
      <x:c r="I2967"/>
      <x:c r="J2967"/>
      <x:c r="K2967"/>
      <x:c r="L2967"/>
      <x:c r="M2967"/>
      <x:c r="N2967"/>
      <x:c r="O2967"/>
      <x:c r="P2967"/>
      <x:c r="Q2967"/>
      <x:c r="R2967"/>
      <x:c r="S2967"/>
      <x:c r="T2967"/>
      <x:c r="U2967"/>
      <x:c r="V2967"/>
      <x:c r="W2967"/>
    </x:row>
    <x:row r="2968">
      <x:c r="A2968"/>
      <x:c r="B2968"/>
      <x:c r="C2968"/>
      <x:c r="D2968"/>
      <x:c r="E2968"/>
      <x:c r="F2968"/>
      <x:c r="G2968"/>
      <x:c r="H2968"/>
      <x:c r="I2968"/>
      <x:c r="J2968"/>
      <x:c r="K2968"/>
      <x:c r="L2968"/>
      <x:c r="M2968"/>
      <x:c r="N2968"/>
      <x:c r="O2968"/>
      <x:c r="P2968"/>
      <x:c r="Q2968"/>
      <x:c r="R2968"/>
      <x:c r="S2968"/>
      <x:c r="T2968"/>
      <x:c r="U2968"/>
      <x:c r="V2968"/>
      <x:c r="W2968"/>
    </x:row>
    <x:row r="2969">
      <x:c r="A2969"/>
      <x:c r="B2969"/>
      <x:c r="C2969"/>
      <x:c r="D2969"/>
      <x:c r="E2969"/>
      <x:c r="F2969"/>
      <x:c r="G2969"/>
      <x:c r="H2969"/>
      <x:c r="I2969"/>
      <x:c r="J2969"/>
      <x:c r="K2969"/>
      <x:c r="L2969"/>
      <x:c r="M2969"/>
      <x:c r="N2969"/>
      <x:c r="O2969"/>
      <x:c r="P2969"/>
      <x:c r="Q2969"/>
      <x:c r="R2969"/>
      <x:c r="S2969"/>
      <x:c r="T2969"/>
      <x:c r="U2969"/>
      <x:c r="V2969"/>
      <x:c r="W2969"/>
    </x:row>
    <x:row r="2970">
      <x:c r="A2970"/>
      <x:c r="B2970"/>
      <x:c r="C2970"/>
      <x:c r="D2970"/>
      <x:c r="E2970"/>
      <x:c r="F2970"/>
      <x:c r="G2970"/>
      <x:c r="H2970"/>
      <x:c r="I2970"/>
      <x:c r="J2970"/>
      <x:c r="K2970"/>
      <x:c r="L2970"/>
      <x:c r="M2970"/>
      <x:c r="N2970"/>
      <x:c r="O2970"/>
      <x:c r="P2970"/>
      <x:c r="Q2970"/>
      <x:c r="R2970"/>
      <x:c r="S2970"/>
      <x:c r="T2970"/>
      <x:c r="U2970"/>
      <x:c r="V2970"/>
      <x:c r="W2970"/>
    </x:row>
    <x:row r="2971">
      <x:c r="A2971"/>
      <x:c r="B2971"/>
      <x:c r="C2971"/>
      <x:c r="D2971"/>
      <x:c r="E2971"/>
      <x:c r="F2971"/>
      <x:c r="G2971"/>
      <x:c r="H2971"/>
      <x:c r="I2971"/>
      <x:c r="J2971"/>
      <x:c r="K2971"/>
      <x:c r="L2971"/>
      <x:c r="M2971"/>
      <x:c r="N2971"/>
      <x:c r="O2971"/>
      <x:c r="P2971"/>
      <x:c r="Q2971"/>
      <x:c r="R2971"/>
      <x:c r="S2971"/>
      <x:c r="T2971"/>
      <x:c r="U2971"/>
      <x:c r="V2971"/>
      <x:c r="W2971"/>
    </x:row>
    <x:row r="2972">
      <x:c r="A2972"/>
      <x:c r="B2972"/>
      <x:c r="C2972"/>
      <x:c r="D2972"/>
      <x:c r="E2972"/>
      <x:c r="F2972"/>
      <x:c r="G2972"/>
      <x:c r="H2972"/>
      <x:c r="I2972"/>
      <x:c r="J2972"/>
      <x:c r="K2972"/>
      <x:c r="L2972"/>
      <x:c r="M2972"/>
      <x:c r="N2972"/>
      <x:c r="O2972"/>
      <x:c r="P2972"/>
      <x:c r="Q2972"/>
      <x:c r="R2972"/>
      <x:c r="S2972"/>
      <x:c r="T2972"/>
      <x:c r="U2972"/>
      <x:c r="V2972"/>
      <x:c r="W2972"/>
    </x:row>
    <x:row r="2973">
      <x:c r="A2973"/>
      <x:c r="B2973"/>
      <x:c r="C2973"/>
      <x:c r="D2973"/>
      <x:c r="E2973"/>
      <x:c r="F2973"/>
      <x:c r="G2973"/>
      <x:c r="H2973"/>
      <x:c r="I2973"/>
      <x:c r="J2973"/>
      <x:c r="K2973"/>
      <x:c r="L2973"/>
      <x:c r="M2973"/>
      <x:c r="N2973"/>
      <x:c r="O2973"/>
      <x:c r="P2973"/>
      <x:c r="Q2973"/>
      <x:c r="R2973"/>
      <x:c r="S2973"/>
      <x:c r="T2973"/>
      <x:c r="U2973"/>
      <x:c r="V2973"/>
      <x:c r="W2973"/>
    </x:row>
    <x:row r="2974">
      <x:c r="A2974"/>
      <x:c r="B2974"/>
      <x:c r="C2974"/>
      <x:c r="D2974"/>
      <x:c r="E2974"/>
      <x:c r="F2974"/>
      <x:c r="G2974"/>
      <x:c r="H2974"/>
      <x:c r="I2974"/>
      <x:c r="J2974"/>
      <x:c r="K2974"/>
      <x:c r="L2974"/>
      <x:c r="M2974"/>
      <x:c r="N2974"/>
      <x:c r="O2974"/>
      <x:c r="P2974"/>
      <x:c r="Q2974"/>
      <x:c r="R2974"/>
      <x:c r="S2974"/>
      <x:c r="T2974"/>
      <x:c r="U2974"/>
      <x:c r="V2974"/>
      <x:c r="W2974"/>
    </x:row>
    <x:row r="2975">
      <x:c r="A2975"/>
      <x:c r="B2975"/>
      <x:c r="C2975"/>
      <x:c r="D2975"/>
      <x:c r="E2975"/>
      <x:c r="F2975"/>
      <x:c r="G2975"/>
      <x:c r="H2975"/>
      <x:c r="I2975"/>
      <x:c r="J2975"/>
      <x:c r="K2975"/>
      <x:c r="L2975"/>
      <x:c r="M2975"/>
      <x:c r="N2975"/>
      <x:c r="O2975"/>
      <x:c r="P2975"/>
      <x:c r="Q2975"/>
      <x:c r="R2975"/>
      <x:c r="S2975"/>
      <x:c r="T2975"/>
      <x:c r="U2975"/>
      <x:c r="V2975"/>
      <x:c r="W2975"/>
    </x:row>
    <x:row r="2976">
      <x:c r="A2976"/>
      <x:c r="B2976"/>
      <x:c r="C2976"/>
      <x:c r="D2976"/>
      <x:c r="E2976"/>
      <x:c r="F2976"/>
      <x:c r="G2976"/>
      <x:c r="H2976"/>
      <x:c r="I2976"/>
      <x:c r="J2976"/>
      <x:c r="K2976"/>
      <x:c r="L2976"/>
      <x:c r="M2976"/>
      <x:c r="N2976"/>
      <x:c r="O2976"/>
      <x:c r="P2976"/>
      <x:c r="Q2976"/>
      <x:c r="R2976"/>
      <x:c r="S2976"/>
      <x:c r="T2976"/>
      <x:c r="U2976"/>
      <x:c r="V2976"/>
      <x:c r="W2976"/>
    </x:row>
    <x:row r="2977">
      <x:c r="A2977"/>
      <x:c r="B2977"/>
      <x:c r="C2977"/>
      <x:c r="D2977"/>
      <x:c r="E2977"/>
      <x:c r="F2977"/>
      <x:c r="G2977"/>
      <x:c r="H2977"/>
      <x:c r="I2977"/>
      <x:c r="J2977"/>
      <x:c r="K2977"/>
      <x:c r="L2977"/>
      <x:c r="M2977"/>
      <x:c r="N2977"/>
      <x:c r="O2977"/>
      <x:c r="P2977"/>
      <x:c r="Q2977"/>
      <x:c r="R2977"/>
      <x:c r="S2977"/>
      <x:c r="T2977"/>
      <x:c r="U2977"/>
      <x:c r="V2977"/>
      <x:c r="W2977"/>
    </x:row>
    <x:row r="2978">
      <x:c r="A2978"/>
      <x:c r="B2978"/>
      <x:c r="C2978"/>
      <x:c r="D2978"/>
      <x:c r="E2978"/>
      <x:c r="F2978"/>
      <x:c r="G2978"/>
      <x:c r="H2978"/>
      <x:c r="I2978"/>
      <x:c r="J2978"/>
      <x:c r="K2978"/>
      <x:c r="L2978"/>
      <x:c r="M2978"/>
      <x:c r="N2978"/>
      <x:c r="O2978"/>
      <x:c r="P2978"/>
      <x:c r="Q2978"/>
      <x:c r="R2978"/>
      <x:c r="S2978"/>
      <x:c r="T2978"/>
      <x:c r="U2978"/>
      <x:c r="V2978"/>
      <x:c r="W2978"/>
    </x:row>
    <x:row r="2979">
      <x:c r="A2979"/>
      <x:c r="B2979"/>
      <x:c r="C2979"/>
      <x:c r="D2979"/>
      <x:c r="E2979"/>
      <x:c r="F2979"/>
      <x:c r="G2979"/>
      <x:c r="H2979"/>
      <x:c r="I2979"/>
      <x:c r="J2979"/>
      <x:c r="K2979"/>
      <x:c r="L2979"/>
      <x:c r="M2979"/>
      <x:c r="N2979"/>
      <x:c r="O2979"/>
      <x:c r="P2979"/>
      <x:c r="Q2979"/>
      <x:c r="R2979"/>
      <x:c r="S2979"/>
      <x:c r="T2979"/>
      <x:c r="U2979"/>
      <x:c r="V2979"/>
      <x:c r="W2979"/>
    </x:row>
    <x:row r="2980">
      <x:c r="A2980"/>
      <x:c r="B2980"/>
      <x:c r="C2980"/>
      <x:c r="D2980"/>
      <x:c r="E2980"/>
      <x:c r="F2980"/>
      <x:c r="G2980"/>
      <x:c r="H2980"/>
      <x:c r="I2980"/>
      <x:c r="J2980"/>
      <x:c r="K2980"/>
      <x:c r="L2980"/>
      <x:c r="M2980"/>
      <x:c r="N2980"/>
      <x:c r="O2980"/>
      <x:c r="P2980"/>
      <x:c r="Q2980"/>
      <x:c r="R2980"/>
      <x:c r="S2980"/>
      <x:c r="T2980"/>
      <x:c r="U2980"/>
      <x:c r="V2980"/>
      <x:c r="W2980"/>
    </x:row>
    <x:row r="2981">
      <x:c r="A2981"/>
      <x:c r="B2981"/>
      <x:c r="C2981"/>
      <x:c r="D2981"/>
      <x:c r="E2981"/>
      <x:c r="F2981"/>
      <x:c r="G2981"/>
      <x:c r="H2981"/>
      <x:c r="I2981"/>
      <x:c r="J2981"/>
      <x:c r="K2981"/>
      <x:c r="L2981"/>
      <x:c r="M2981"/>
      <x:c r="N2981"/>
      <x:c r="O2981"/>
      <x:c r="P2981"/>
      <x:c r="Q2981"/>
      <x:c r="R2981"/>
      <x:c r="S2981"/>
      <x:c r="T2981"/>
      <x:c r="U2981"/>
      <x:c r="V2981"/>
      <x:c r="W2981"/>
    </x:row>
    <x:row r="2982">
      <x:c r="A2982"/>
      <x:c r="B2982"/>
      <x:c r="C2982"/>
      <x:c r="D2982"/>
      <x:c r="E2982"/>
      <x:c r="F2982"/>
      <x:c r="G2982"/>
      <x:c r="H2982"/>
      <x:c r="I2982"/>
      <x:c r="J2982"/>
      <x:c r="K2982"/>
      <x:c r="L2982"/>
      <x:c r="M2982"/>
      <x:c r="N2982"/>
      <x:c r="O2982"/>
      <x:c r="P2982"/>
      <x:c r="Q2982"/>
      <x:c r="R2982"/>
      <x:c r="S2982"/>
      <x:c r="T2982"/>
      <x:c r="U2982"/>
      <x:c r="V2982"/>
      <x:c r="W2982"/>
    </x:row>
    <x:row r="2983">
      <x:c r="A2983"/>
      <x:c r="B2983"/>
      <x:c r="C2983"/>
      <x:c r="D2983"/>
      <x:c r="E2983"/>
      <x:c r="F2983"/>
      <x:c r="G2983"/>
      <x:c r="H2983"/>
      <x:c r="I2983"/>
      <x:c r="J2983"/>
      <x:c r="K2983"/>
      <x:c r="L2983"/>
      <x:c r="M2983"/>
      <x:c r="N2983"/>
      <x:c r="O2983"/>
      <x:c r="P2983"/>
      <x:c r="Q2983"/>
      <x:c r="R2983"/>
      <x:c r="S2983"/>
      <x:c r="T2983"/>
      <x:c r="U2983"/>
      <x:c r="V2983"/>
      <x:c r="W2983"/>
    </x:row>
    <x:row r="2984">
      <x:c r="A2984"/>
      <x:c r="B2984"/>
      <x:c r="C2984"/>
      <x:c r="D2984"/>
      <x:c r="E2984"/>
      <x:c r="F2984"/>
      <x:c r="G2984"/>
      <x:c r="H2984"/>
      <x:c r="I2984"/>
      <x:c r="J2984"/>
      <x:c r="K2984"/>
      <x:c r="L2984"/>
      <x:c r="M2984"/>
      <x:c r="N2984"/>
      <x:c r="O2984"/>
      <x:c r="P2984"/>
      <x:c r="Q2984"/>
      <x:c r="R2984"/>
      <x:c r="S2984"/>
      <x:c r="T2984"/>
      <x:c r="U2984"/>
      <x:c r="V2984"/>
      <x:c r="W2984"/>
    </x:row>
    <x:row r="2985">
      <x:c r="A2985"/>
      <x:c r="B2985"/>
      <x:c r="C2985"/>
      <x:c r="D2985"/>
      <x:c r="E2985"/>
      <x:c r="F2985"/>
      <x:c r="G2985"/>
      <x:c r="H2985"/>
      <x:c r="I2985"/>
      <x:c r="J2985"/>
      <x:c r="K2985"/>
      <x:c r="L2985"/>
      <x:c r="M2985"/>
      <x:c r="N2985"/>
      <x:c r="O2985"/>
      <x:c r="P2985"/>
      <x:c r="Q2985"/>
      <x:c r="R2985"/>
      <x:c r="S2985"/>
      <x:c r="T2985"/>
      <x:c r="U2985"/>
      <x:c r="V2985"/>
      <x:c r="W2985"/>
    </x:row>
    <x:row r="2986">
      <x:c r="A2986"/>
      <x:c r="B2986"/>
      <x:c r="C2986"/>
      <x:c r="D2986"/>
      <x:c r="E2986"/>
      <x:c r="F2986"/>
      <x:c r="G2986"/>
      <x:c r="H2986"/>
      <x:c r="I2986"/>
      <x:c r="J2986"/>
      <x:c r="K2986"/>
      <x:c r="L2986"/>
      <x:c r="M2986"/>
      <x:c r="N2986"/>
      <x:c r="O2986"/>
      <x:c r="P2986"/>
      <x:c r="Q2986"/>
      <x:c r="R2986"/>
      <x:c r="S2986"/>
      <x:c r="T2986"/>
      <x:c r="U2986"/>
      <x:c r="V2986"/>
      <x:c r="W2986"/>
    </x:row>
    <x:row r="2987">
      <x:c r="A2987"/>
      <x:c r="B2987"/>
      <x:c r="C2987"/>
      <x:c r="D2987"/>
      <x:c r="E2987"/>
      <x:c r="F2987"/>
      <x:c r="G2987"/>
      <x:c r="H2987"/>
      <x:c r="I2987"/>
      <x:c r="J2987"/>
      <x:c r="K2987"/>
      <x:c r="L2987"/>
      <x:c r="M2987"/>
      <x:c r="N2987"/>
      <x:c r="O2987"/>
      <x:c r="P2987"/>
      <x:c r="Q2987"/>
      <x:c r="R2987"/>
      <x:c r="S2987"/>
      <x:c r="T2987"/>
      <x:c r="U2987"/>
      <x:c r="V2987"/>
      <x:c r="W2987"/>
    </x:row>
    <x:row r="2988">
      <x:c r="A2988"/>
      <x:c r="B2988"/>
      <x:c r="C2988"/>
      <x:c r="D2988"/>
      <x:c r="E2988"/>
      <x:c r="F2988"/>
      <x:c r="G2988"/>
      <x:c r="H2988"/>
      <x:c r="I2988"/>
      <x:c r="J2988"/>
      <x:c r="K2988"/>
      <x:c r="L2988"/>
      <x:c r="M2988"/>
      <x:c r="N2988"/>
      <x:c r="O2988"/>
      <x:c r="P2988"/>
      <x:c r="Q2988"/>
      <x:c r="R2988"/>
      <x:c r="S2988"/>
      <x:c r="T2988"/>
      <x:c r="U2988"/>
      <x:c r="V2988"/>
      <x:c r="W2988"/>
    </x:row>
    <x:row r="2989">
      <x:c r="A2989"/>
      <x:c r="B2989"/>
      <x:c r="C2989"/>
      <x:c r="D2989"/>
      <x:c r="E2989"/>
      <x:c r="F2989"/>
      <x:c r="G2989"/>
      <x:c r="H2989"/>
      <x:c r="I2989"/>
      <x:c r="J2989"/>
      <x:c r="K2989"/>
      <x:c r="L2989"/>
      <x:c r="M2989"/>
      <x:c r="N2989"/>
      <x:c r="O2989"/>
      <x:c r="P2989"/>
      <x:c r="Q2989"/>
      <x:c r="R2989"/>
      <x:c r="S2989"/>
      <x:c r="T2989"/>
      <x:c r="U2989"/>
      <x:c r="V2989"/>
      <x:c r="W2989"/>
    </x:row>
    <x:row r="2990">
      <x:c r="A2990"/>
      <x:c r="B2990"/>
      <x:c r="C2990"/>
      <x:c r="D2990"/>
      <x:c r="E2990"/>
      <x:c r="F2990"/>
      <x:c r="G2990"/>
      <x:c r="H2990"/>
      <x:c r="I2990"/>
      <x:c r="J2990"/>
      <x:c r="K2990"/>
      <x:c r="L2990"/>
      <x:c r="M2990"/>
      <x:c r="N2990"/>
      <x:c r="O2990"/>
      <x:c r="P2990"/>
      <x:c r="Q2990"/>
      <x:c r="R2990"/>
      <x:c r="S2990"/>
      <x:c r="T2990"/>
      <x:c r="U2990"/>
      <x:c r="V2990"/>
      <x:c r="W2990"/>
    </x:row>
    <x:row r="2991">
      <x:c r="A2991"/>
      <x:c r="B2991"/>
      <x:c r="C2991"/>
      <x:c r="D2991"/>
      <x:c r="E2991"/>
      <x:c r="F2991"/>
      <x:c r="G2991"/>
      <x:c r="H2991"/>
      <x:c r="I2991"/>
      <x:c r="J2991"/>
      <x:c r="K2991"/>
      <x:c r="L2991"/>
      <x:c r="M2991"/>
      <x:c r="N2991"/>
      <x:c r="O2991"/>
      <x:c r="P2991"/>
      <x:c r="Q2991"/>
      <x:c r="R2991"/>
      <x:c r="S2991"/>
      <x:c r="T2991"/>
      <x:c r="U2991"/>
      <x:c r="V2991"/>
      <x:c r="W2991"/>
    </x:row>
    <x:row r="2992">
      <x:c r="A2992"/>
      <x:c r="B2992"/>
      <x:c r="C2992"/>
      <x:c r="D2992"/>
      <x:c r="E2992"/>
      <x:c r="F2992"/>
      <x:c r="G2992"/>
      <x:c r="H2992"/>
      <x:c r="I2992"/>
      <x:c r="J2992"/>
      <x:c r="K2992"/>
      <x:c r="L2992"/>
      <x:c r="M2992"/>
      <x:c r="N2992"/>
      <x:c r="O2992"/>
      <x:c r="P2992"/>
      <x:c r="Q2992"/>
      <x:c r="R2992"/>
      <x:c r="S2992"/>
      <x:c r="T2992"/>
      <x:c r="U2992"/>
      <x:c r="V2992"/>
      <x:c r="W2992"/>
    </x:row>
    <x:row r="2993">
      <x:c r="A2993"/>
      <x:c r="B2993"/>
      <x:c r="C2993"/>
      <x:c r="D2993"/>
      <x:c r="E2993"/>
      <x:c r="F2993"/>
      <x:c r="G2993"/>
      <x:c r="H2993"/>
      <x:c r="I2993"/>
      <x:c r="J2993"/>
      <x:c r="K2993"/>
      <x:c r="L2993"/>
      <x:c r="M2993"/>
      <x:c r="N2993"/>
      <x:c r="O2993"/>
      <x:c r="P2993"/>
      <x:c r="Q2993"/>
      <x:c r="R2993"/>
      <x:c r="S2993"/>
      <x:c r="T2993"/>
      <x:c r="U2993"/>
      <x:c r="V2993"/>
      <x:c r="W2993"/>
    </x:row>
    <x:row r="2994">
      <x:c r="A2994"/>
      <x:c r="B2994"/>
      <x:c r="C2994"/>
      <x:c r="D2994"/>
      <x:c r="E2994"/>
      <x:c r="F2994"/>
      <x:c r="G2994"/>
      <x:c r="H2994"/>
      <x:c r="I2994"/>
      <x:c r="J2994"/>
      <x:c r="K2994"/>
      <x:c r="L2994"/>
      <x:c r="M2994"/>
      <x:c r="N2994"/>
      <x:c r="O2994"/>
      <x:c r="P2994"/>
      <x:c r="Q2994"/>
      <x:c r="R2994"/>
      <x:c r="S2994"/>
      <x:c r="T2994"/>
      <x:c r="U2994"/>
      <x:c r="V2994"/>
      <x:c r="W2994"/>
    </x:row>
    <x:row r="2995">
      <x:c r="A2995"/>
      <x:c r="B2995"/>
      <x:c r="C2995"/>
      <x:c r="D2995"/>
      <x:c r="E2995"/>
      <x:c r="F2995"/>
      <x:c r="G2995"/>
      <x:c r="H2995"/>
      <x:c r="I2995"/>
      <x:c r="J2995"/>
      <x:c r="K2995"/>
      <x:c r="L2995"/>
      <x:c r="M2995"/>
      <x:c r="N2995"/>
      <x:c r="O2995"/>
      <x:c r="P2995"/>
      <x:c r="Q2995"/>
      <x:c r="R2995"/>
      <x:c r="S2995"/>
      <x:c r="T2995"/>
      <x:c r="U2995"/>
      <x:c r="V2995"/>
      <x:c r="W2995"/>
    </x:row>
    <x:row r="2996">
      <x:c r="A2996"/>
      <x:c r="B2996"/>
      <x:c r="C2996"/>
      <x:c r="D2996"/>
      <x:c r="E2996"/>
      <x:c r="F2996"/>
      <x:c r="G2996"/>
      <x:c r="H2996"/>
      <x:c r="I2996"/>
      <x:c r="J2996"/>
      <x:c r="K2996"/>
      <x:c r="L2996"/>
      <x:c r="M2996"/>
      <x:c r="N2996"/>
      <x:c r="O2996"/>
      <x:c r="P2996"/>
      <x:c r="Q2996"/>
      <x:c r="R2996"/>
      <x:c r="S2996"/>
      <x:c r="T2996"/>
      <x:c r="U2996"/>
      <x:c r="V2996"/>
      <x:c r="W2996"/>
    </x:row>
    <x:row r="2997">
      <x:c r="A2997"/>
      <x:c r="B2997"/>
      <x:c r="C2997"/>
      <x:c r="D2997"/>
      <x:c r="E2997"/>
      <x:c r="F2997"/>
      <x:c r="G2997"/>
      <x:c r="H2997"/>
      <x:c r="I2997"/>
      <x:c r="J2997"/>
      <x:c r="K2997"/>
      <x:c r="L2997"/>
      <x:c r="M2997"/>
      <x:c r="N2997"/>
      <x:c r="O2997"/>
      <x:c r="P2997"/>
      <x:c r="Q2997"/>
      <x:c r="R2997"/>
      <x:c r="S2997"/>
      <x:c r="T2997"/>
      <x:c r="U2997"/>
      <x:c r="V2997"/>
      <x:c r="W2997"/>
    </x:row>
    <x:row r="2998">
      <x:c r="A2998"/>
      <x:c r="B2998"/>
      <x:c r="C2998"/>
      <x:c r="D2998"/>
      <x:c r="E2998"/>
      <x:c r="F2998"/>
      <x:c r="G2998"/>
      <x:c r="H2998"/>
      <x:c r="I2998"/>
      <x:c r="J2998"/>
      <x:c r="K2998"/>
      <x:c r="L2998"/>
      <x:c r="M2998"/>
      <x:c r="N2998"/>
      <x:c r="O2998"/>
      <x:c r="P2998"/>
      <x:c r="Q2998"/>
      <x:c r="R2998"/>
      <x:c r="S2998"/>
      <x:c r="T2998"/>
      <x:c r="U2998"/>
      <x:c r="V2998"/>
      <x:c r="W2998"/>
    </x:row>
    <x:row r="2999">
      <x:c r="A2999"/>
      <x:c r="B2999"/>
      <x:c r="C2999"/>
      <x:c r="D2999"/>
      <x:c r="E2999"/>
      <x:c r="F2999"/>
      <x:c r="G2999"/>
      <x:c r="H2999"/>
      <x:c r="I2999"/>
      <x:c r="J2999"/>
      <x:c r="K2999"/>
      <x:c r="L2999"/>
      <x:c r="M2999"/>
      <x:c r="N2999"/>
      <x:c r="O2999"/>
      <x:c r="P2999"/>
      <x:c r="Q2999"/>
      <x:c r="R2999"/>
      <x:c r="S2999"/>
      <x:c r="T2999"/>
      <x:c r="U2999"/>
      <x:c r="V2999"/>
      <x:c r="W2999"/>
    </x:row>
    <x:row r="3000">
      <x:c r="A3000"/>
      <x:c r="B3000"/>
      <x:c r="C3000"/>
      <x:c r="D3000"/>
      <x:c r="E3000"/>
      <x:c r="F3000"/>
      <x:c r="G3000"/>
      <x:c r="H3000"/>
      <x:c r="I3000"/>
      <x:c r="J3000"/>
      <x:c r="K3000"/>
      <x:c r="L3000"/>
      <x:c r="M3000"/>
      <x:c r="N3000"/>
      <x:c r="O3000"/>
      <x:c r="P3000"/>
      <x:c r="Q3000"/>
      <x:c r="R3000"/>
      <x:c r="S3000"/>
      <x:c r="T3000"/>
      <x:c r="U3000"/>
      <x:c r="V3000"/>
      <x:c r="W3000"/>
    </x:row>
    <x:row r="3001">
      <x:c r="A3001"/>
      <x:c r="B3001"/>
      <x:c r="C3001"/>
      <x:c r="D3001"/>
      <x:c r="E3001"/>
      <x:c r="F3001"/>
      <x:c r="G3001"/>
      <x:c r="H3001"/>
      <x:c r="I3001"/>
      <x:c r="J3001"/>
      <x:c r="K3001"/>
      <x:c r="L3001"/>
      <x:c r="M3001"/>
      <x:c r="N3001"/>
      <x:c r="O3001"/>
      <x:c r="P3001"/>
      <x:c r="Q3001"/>
      <x:c r="R3001"/>
      <x:c r="S3001"/>
      <x:c r="T3001"/>
      <x:c r="U3001"/>
      <x:c r="V3001"/>
      <x:c r="W3001"/>
    </x:row>
    <x:row r="3002">
      <x:c r="A3002"/>
      <x:c r="B3002"/>
      <x:c r="C3002"/>
      <x:c r="D3002"/>
      <x:c r="E3002"/>
      <x:c r="F3002"/>
      <x:c r="G3002"/>
      <x:c r="H3002"/>
      <x:c r="I3002"/>
      <x:c r="J3002"/>
      <x:c r="K3002"/>
      <x:c r="L3002"/>
      <x:c r="M3002"/>
      <x:c r="N3002"/>
      <x:c r="O3002"/>
      <x:c r="P3002"/>
      <x:c r="Q3002"/>
      <x:c r="R3002"/>
      <x:c r="S3002"/>
      <x:c r="T3002"/>
      <x:c r="U3002"/>
      <x:c r="V3002"/>
      <x:c r="W3002"/>
    </x:row>
    <x:row r="3003">
      <x:c r="A3003"/>
      <x:c r="B3003"/>
      <x:c r="C3003"/>
      <x:c r="D3003"/>
      <x:c r="E3003"/>
      <x:c r="F3003"/>
      <x:c r="G3003"/>
      <x:c r="H3003"/>
      <x:c r="I3003"/>
      <x:c r="J3003"/>
      <x:c r="K3003"/>
      <x:c r="L3003"/>
      <x:c r="M3003"/>
      <x:c r="N3003"/>
      <x:c r="O3003"/>
      <x:c r="P3003"/>
      <x:c r="Q3003"/>
      <x:c r="R3003"/>
      <x:c r="S3003"/>
      <x:c r="T3003"/>
      <x:c r="U3003"/>
      <x:c r="V3003"/>
      <x:c r="W3003"/>
    </x:row>
    <x:row r="3004">
      <x:c r="A3004"/>
      <x:c r="B3004"/>
      <x:c r="C3004"/>
      <x:c r="D3004"/>
      <x:c r="E3004"/>
      <x:c r="F3004"/>
      <x:c r="G3004"/>
      <x:c r="H3004"/>
      <x:c r="I3004"/>
      <x:c r="J3004"/>
      <x:c r="K3004"/>
      <x:c r="L3004"/>
      <x:c r="M3004"/>
      <x:c r="N3004"/>
      <x:c r="O3004"/>
      <x:c r="P3004"/>
      <x:c r="Q3004"/>
      <x:c r="R3004"/>
      <x:c r="S3004"/>
      <x:c r="T3004"/>
      <x:c r="U3004"/>
      <x:c r="V3004"/>
      <x:c r="W3004"/>
    </x:row>
    <x:row r="3005">
      <x:c r="A3005"/>
      <x:c r="B3005"/>
      <x:c r="C3005"/>
      <x:c r="D3005"/>
      <x:c r="E3005"/>
      <x:c r="F3005"/>
      <x:c r="G3005"/>
      <x:c r="H3005"/>
      <x:c r="I3005"/>
      <x:c r="J3005"/>
      <x:c r="K3005"/>
      <x:c r="L3005"/>
      <x:c r="M3005"/>
      <x:c r="N3005"/>
      <x:c r="O3005"/>
      <x:c r="P3005"/>
      <x:c r="Q3005"/>
      <x:c r="R3005"/>
      <x:c r="S3005"/>
      <x:c r="T3005"/>
      <x:c r="U3005"/>
      <x:c r="V3005"/>
      <x:c r="W3005"/>
    </x:row>
    <x:row r="3006">
      <x:c r="A3006"/>
      <x:c r="B3006"/>
      <x:c r="C3006"/>
      <x:c r="D3006"/>
      <x:c r="E3006"/>
      <x:c r="F3006"/>
      <x:c r="G3006"/>
      <x:c r="H3006"/>
      <x:c r="I3006"/>
      <x:c r="J3006"/>
      <x:c r="K3006"/>
      <x:c r="L3006"/>
      <x:c r="M3006"/>
      <x:c r="N3006"/>
      <x:c r="O3006"/>
      <x:c r="P3006"/>
      <x:c r="Q3006"/>
      <x:c r="R3006"/>
      <x:c r="S3006"/>
      <x:c r="T3006"/>
      <x:c r="U3006"/>
      <x:c r="V3006"/>
      <x:c r="W3006"/>
    </x:row>
    <x:row r="3007">
      <x:c r="A3007"/>
      <x:c r="B3007"/>
      <x:c r="C3007"/>
      <x:c r="D3007"/>
      <x:c r="E3007"/>
      <x:c r="F3007"/>
      <x:c r="G3007"/>
      <x:c r="H3007"/>
      <x:c r="I3007"/>
      <x:c r="J3007"/>
      <x:c r="K3007"/>
      <x:c r="L3007"/>
      <x:c r="M3007"/>
      <x:c r="N3007"/>
      <x:c r="O3007"/>
      <x:c r="P3007"/>
      <x:c r="Q3007"/>
      <x:c r="R3007"/>
      <x:c r="S3007"/>
      <x:c r="T3007"/>
      <x:c r="U3007"/>
      <x:c r="V3007"/>
      <x:c r="W3007"/>
    </x:row>
    <x:row r="3008">
      <x:c r="A3008"/>
      <x:c r="B3008"/>
      <x:c r="C3008"/>
      <x:c r="D3008"/>
      <x:c r="E3008"/>
      <x:c r="F3008"/>
      <x:c r="G3008"/>
      <x:c r="H3008"/>
      <x:c r="I3008"/>
      <x:c r="J3008"/>
      <x:c r="K3008"/>
      <x:c r="L3008"/>
      <x:c r="M3008"/>
      <x:c r="N3008"/>
      <x:c r="O3008"/>
      <x:c r="P3008"/>
      <x:c r="Q3008"/>
      <x:c r="R3008"/>
      <x:c r="S3008"/>
      <x:c r="T3008"/>
      <x:c r="U3008"/>
      <x:c r="V3008"/>
      <x:c r="W3008"/>
    </x:row>
    <x:row r="3009">
      <x:c r="A3009"/>
      <x:c r="B3009"/>
      <x:c r="C3009"/>
      <x:c r="D3009"/>
      <x:c r="E3009"/>
      <x:c r="F3009"/>
      <x:c r="G3009"/>
      <x:c r="H3009"/>
      <x:c r="I3009"/>
      <x:c r="J3009"/>
      <x:c r="K3009"/>
      <x:c r="L3009"/>
      <x:c r="M3009"/>
      <x:c r="N3009"/>
      <x:c r="O3009"/>
      <x:c r="P3009"/>
      <x:c r="Q3009"/>
      <x:c r="R3009"/>
      <x:c r="S3009"/>
      <x:c r="T3009"/>
      <x:c r="U3009"/>
      <x:c r="V3009"/>
      <x:c r="W3009"/>
    </x:row>
    <x:row r="3010">
      <x:c r="A3010"/>
      <x:c r="B3010"/>
      <x:c r="C3010"/>
      <x:c r="D3010"/>
      <x:c r="E3010"/>
      <x:c r="F3010"/>
      <x:c r="G3010"/>
      <x:c r="H3010"/>
      <x:c r="I3010"/>
      <x:c r="J3010"/>
      <x:c r="K3010"/>
      <x:c r="L3010"/>
      <x:c r="M3010"/>
      <x:c r="N3010"/>
      <x:c r="O3010"/>
      <x:c r="P3010"/>
      <x:c r="Q3010"/>
      <x:c r="R3010"/>
      <x:c r="S3010"/>
      <x:c r="T3010"/>
      <x:c r="U3010"/>
      <x:c r="V3010"/>
      <x:c r="W3010"/>
    </x:row>
    <x:row r="3011">
      <x:c r="A3011"/>
      <x:c r="B3011"/>
      <x:c r="C3011"/>
      <x:c r="D3011"/>
      <x:c r="E3011"/>
      <x:c r="F3011"/>
      <x:c r="G3011"/>
      <x:c r="H3011"/>
      <x:c r="I3011"/>
      <x:c r="J3011"/>
      <x:c r="K3011"/>
      <x:c r="L3011"/>
      <x:c r="M3011"/>
      <x:c r="N3011"/>
      <x:c r="O3011"/>
      <x:c r="P3011"/>
      <x:c r="Q3011"/>
      <x:c r="R3011"/>
      <x:c r="S3011"/>
      <x:c r="T3011"/>
      <x:c r="U3011"/>
      <x:c r="V3011"/>
      <x:c r="W3011"/>
    </x:row>
    <x:row r="3012">
      <x:c r="A3012"/>
      <x:c r="B3012"/>
      <x:c r="C3012"/>
      <x:c r="D3012"/>
      <x:c r="E3012"/>
      <x:c r="F3012"/>
      <x:c r="G3012"/>
      <x:c r="H3012"/>
      <x:c r="I3012"/>
      <x:c r="J3012"/>
      <x:c r="K3012"/>
      <x:c r="L3012"/>
      <x:c r="M3012"/>
      <x:c r="N3012"/>
      <x:c r="O3012"/>
      <x:c r="P3012"/>
      <x:c r="Q3012"/>
      <x:c r="R3012"/>
      <x:c r="S3012"/>
      <x:c r="T3012"/>
      <x:c r="U3012"/>
      <x:c r="V3012"/>
      <x:c r="W3012"/>
    </x:row>
    <x:row r="3013">
      <x:c r="A3013"/>
      <x:c r="B3013"/>
      <x:c r="C3013"/>
      <x:c r="D3013"/>
      <x:c r="E3013"/>
      <x:c r="F3013"/>
      <x:c r="G3013"/>
      <x:c r="H3013"/>
      <x:c r="I3013"/>
      <x:c r="J3013"/>
      <x:c r="K3013"/>
      <x:c r="L3013"/>
      <x:c r="M3013"/>
      <x:c r="N3013"/>
      <x:c r="O3013"/>
      <x:c r="P3013"/>
      <x:c r="Q3013"/>
      <x:c r="R3013"/>
      <x:c r="S3013"/>
      <x:c r="T3013"/>
      <x:c r="U3013"/>
      <x:c r="V3013"/>
      <x:c r="W3013"/>
    </x:row>
    <x:row r="3014">
      <x:c r="A3014"/>
      <x:c r="B3014"/>
      <x:c r="C3014"/>
      <x:c r="D3014"/>
      <x:c r="E3014"/>
      <x:c r="F3014"/>
      <x:c r="G3014"/>
      <x:c r="H3014"/>
      <x:c r="I3014"/>
      <x:c r="J3014"/>
      <x:c r="K3014"/>
      <x:c r="L3014"/>
      <x:c r="M3014"/>
      <x:c r="N3014"/>
      <x:c r="O3014"/>
      <x:c r="P3014"/>
      <x:c r="Q3014"/>
      <x:c r="R3014"/>
      <x:c r="S3014"/>
      <x:c r="T3014"/>
      <x:c r="U3014"/>
      <x:c r="V3014"/>
      <x:c r="W3014"/>
    </x:row>
    <x:row r="3015">
      <x:c r="A3015"/>
      <x:c r="B3015"/>
      <x:c r="C3015"/>
      <x:c r="D3015"/>
      <x:c r="E3015"/>
      <x:c r="F3015"/>
      <x:c r="G3015"/>
      <x:c r="H3015"/>
      <x:c r="I3015"/>
      <x:c r="J3015"/>
      <x:c r="K3015"/>
      <x:c r="L3015"/>
      <x:c r="M3015"/>
      <x:c r="N3015"/>
      <x:c r="O3015"/>
      <x:c r="P3015"/>
      <x:c r="Q3015"/>
      <x:c r="R3015"/>
      <x:c r="S3015"/>
      <x:c r="T3015"/>
      <x:c r="U3015"/>
      <x:c r="V3015"/>
      <x:c r="W3015"/>
    </x:row>
    <x:row r="3016">
      <x:c r="A3016"/>
      <x:c r="B3016"/>
      <x:c r="C3016"/>
      <x:c r="D3016"/>
      <x:c r="E3016"/>
      <x:c r="F3016"/>
      <x:c r="G3016"/>
      <x:c r="H3016"/>
      <x:c r="I3016"/>
      <x:c r="J3016"/>
      <x:c r="K3016"/>
      <x:c r="L3016"/>
      <x:c r="M3016"/>
      <x:c r="N3016"/>
      <x:c r="O3016"/>
      <x:c r="P3016"/>
      <x:c r="Q3016"/>
      <x:c r="R3016"/>
      <x:c r="S3016"/>
      <x:c r="T3016"/>
      <x:c r="U3016"/>
      <x:c r="V3016"/>
      <x:c r="W3016"/>
    </x:row>
    <x:row r="3017">
      <x:c r="A3017"/>
      <x:c r="B3017"/>
      <x:c r="C3017"/>
      <x:c r="D3017"/>
      <x:c r="E3017"/>
      <x:c r="F3017"/>
      <x:c r="G3017"/>
      <x:c r="H3017"/>
      <x:c r="I3017"/>
      <x:c r="J3017"/>
      <x:c r="K3017"/>
      <x:c r="L3017"/>
      <x:c r="M3017"/>
      <x:c r="N3017"/>
      <x:c r="O3017"/>
      <x:c r="P3017"/>
      <x:c r="Q3017"/>
      <x:c r="R3017"/>
      <x:c r="S3017"/>
      <x:c r="T3017"/>
      <x:c r="U3017"/>
      <x:c r="V3017"/>
      <x:c r="W3017"/>
    </x:row>
    <x:row r="3018">
      <x:c r="A3018"/>
      <x:c r="B3018"/>
      <x:c r="C3018"/>
      <x:c r="D3018"/>
      <x:c r="E3018"/>
      <x:c r="F3018"/>
      <x:c r="G3018"/>
      <x:c r="H3018"/>
      <x:c r="I3018"/>
      <x:c r="J3018"/>
      <x:c r="K3018"/>
      <x:c r="L3018"/>
      <x:c r="M3018"/>
      <x:c r="N3018"/>
      <x:c r="O3018"/>
      <x:c r="P3018"/>
      <x:c r="Q3018"/>
      <x:c r="R3018"/>
      <x:c r="S3018"/>
      <x:c r="T3018"/>
      <x:c r="U3018"/>
      <x:c r="V3018"/>
      <x:c r="W3018"/>
    </x:row>
    <x:row r="3019">
      <x:c r="A3019"/>
      <x:c r="B3019"/>
      <x:c r="C3019"/>
      <x:c r="D3019"/>
      <x:c r="E3019"/>
      <x:c r="F3019"/>
      <x:c r="G3019"/>
      <x:c r="H3019"/>
      <x:c r="I3019"/>
      <x:c r="J3019"/>
      <x:c r="K3019"/>
      <x:c r="L3019"/>
      <x:c r="M3019"/>
      <x:c r="N3019"/>
      <x:c r="O3019"/>
      <x:c r="P3019"/>
      <x:c r="Q3019"/>
      <x:c r="R3019"/>
      <x:c r="S3019"/>
      <x:c r="T3019"/>
      <x:c r="U3019"/>
      <x:c r="V3019"/>
      <x:c r="W3019"/>
    </x:row>
    <x:row r="3020">
      <x:c r="A3020"/>
      <x:c r="B3020"/>
      <x:c r="C3020"/>
      <x:c r="D3020"/>
      <x:c r="E3020"/>
      <x:c r="F3020"/>
      <x:c r="G3020"/>
      <x:c r="H3020"/>
      <x:c r="I3020"/>
      <x:c r="J3020"/>
      <x:c r="K3020"/>
      <x:c r="L3020"/>
      <x:c r="M3020"/>
      <x:c r="N3020"/>
      <x:c r="O3020"/>
      <x:c r="P3020"/>
      <x:c r="Q3020"/>
      <x:c r="R3020"/>
      <x:c r="S3020"/>
      <x:c r="T3020"/>
      <x:c r="U3020"/>
      <x:c r="V3020"/>
      <x:c r="W3020"/>
    </x:row>
    <x:row r="3021">
      <x:c r="A3021"/>
      <x:c r="B3021"/>
      <x:c r="C3021"/>
      <x:c r="D3021"/>
      <x:c r="E3021"/>
      <x:c r="F3021"/>
      <x:c r="G3021"/>
      <x:c r="H3021"/>
      <x:c r="I3021"/>
      <x:c r="J3021"/>
      <x:c r="K3021"/>
      <x:c r="L3021"/>
      <x:c r="M3021"/>
      <x:c r="N3021"/>
      <x:c r="O3021"/>
      <x:c r="P3021"/>
      <x:c r="Q3021"/>
      <x:c r="R3021"/>
      <x:c r="S3021"/>
      <x:c r="T3021"/>
      <x:c r="U3021"/>
      <x:c r="V3021"/>
      <x:c r="W3021"/>
    </x:row>
    <x:row r="3022">
      <x:c r="A3022"/>
      <x:c r="B3022"/>
      <x:c r="C3022"/>
      <x:c r="D3022"/>
      <x:c r="E3022"/>
      <x:c r="F3022"/>
      <x:c r="G3022"/>
      <x:c r="H3022"/>
      <x:c r="I3022"/>
      <x:c r="J3022"/>
      <x:c r="K3022"/>
      <x:c r="L3022"/>
      <x:c r="M3022"/>
      <x:c r="N3022"/>
      <x:c r="O3022"/>
      <x:c r="P3022"/>
      <x:c r="Q3022"/>
      <x:c r="R3022"/>
      <x:c r="S3022"/>
      <x:c r="T3022"/>
      <x:c r="U3022"/>
      <x:c r="V3022"/>
      <x:c r="W3022"/>
    </x:row>
    <x:row r="3023">
      <x:c r="A3023"/>
      <x:c r="B3023"/>
      <x:c r="C3023"/>
      <x:c r="D3023"/>
      <x:c r="E3023"/>
      <x:c r="F3023"/>
      <x:c r="G3023"/>
      <x:c r="H3023"/>
      <x:c r="I3023"/>
      <x:c r="J3023"/>
      <x:c r="K3023"/>
      <x:c r="L3023"/>
      <x:c r="M3023"/>
      <x:c r="N3023"/>
      <x:c r="O3023"/>
      <x:c r="P3023"/>
      <x:c r="Q3023"/>
      <x:c r="R3023"/>
      <x:c r="S3023"/>
      <x:c r="T3023"/>
      <x:c r="U3023"/>
      <x:c r="V3023"/>
      <x:c r="W3023"/>
    </x:row>
    <x:row r="3024">
      <x:c r="A3024"/>
      <x:c r="B3024"/>
      <x:c r="C3024"/>
      <x:c r="D3024"/>
      <x:c r="E3024"/>
      <x:c r="F3024"/>
      <x:c r="G3024"/>
      <x:c r="H3024"/>
      <x:c r="I3024"/>
      <x:c r="J3024"/>
      <x:c r="K3024"/>
      <x:c r="L3024"/>
      <x:c r="M3024"/>
      <x:c r="N3024"/>
      <x:c r="O3024"/>
      <x:c r="P3024"/>
      <x:c r="Q3024"/>
      <x:c r="R3024"/>
      <x:c r="S3024"/>
      <x:c r="T3024"/>
      <x:c r="U3024"/>
      <x:c r="V3024"/>
      <x:c r="W3024"/>
    </x:row>
    <x:row r="3025">
      <x:c r="A3025"/>
      <x:c r="B3025"/>
      <x:c r="C3025"/>
      <x:c r="D3025"/>
      <x:c r="E3025"/>
      <x:c r="F3025"/>
      <x:c r="G3025"/>
      <x:c r="H3025"/>
      <x:c r="I3025"/>
      <x:c r="J3025"/>
      <x:c r="K3025"/>
      <x:c r="L3025"/>
      <x:c r="M3025"/>
      <x:c r="N3025"/>
      <x:c r="O3025"/>
      <x:c r="P3025"/>
      <x:c r="Q3025"/>
      <x:c r="R3025"/>
      <x:c r="S3025"/>
      <x:c r="T3025"/>
      <x:c r="U3025"/>
      <x:c r="V3025"/>
      <x:c r="W3025"/>
    </x:row>
    <x:row r="3026">
      <x:c r="A3026"/>
      <x:c r="B3026"/>
      <x:c r="C3026"/>
      <x:c r="D3026"/>
      <x:c r="E3026"/>
      <x:c r="F3026"/>
      <x:c r="G3026"/>
      <x:c r="H3026"/>
      <x:c r="I3026"/>
      <x:c r="J3026"/>
      <x:c r="K3026"/>
      <x:c r="L3026"/>
      <x:c r="M3026"/>
      <x:c r="N3026"/>
      <x:c r="O3026"/>
      <x:c r="P3026"/>
      <x:c r="Q3026"/>
      <x:c r="R3026"/>
      <x:c r="S3026"/>
      <x:c r="T3026"/>
      <x:c r="U3026"/>
      <x:c r="V3026"/>
      <x:c r="W3026"/>
    </x:row>
    <x:row r="3027">
      <x:c r="A3027"/>
      <x:c r="B3027"/>
      <x:c r="C3027"/>
      <x:c r="D3027"/>
      <x:c r="E3027"/>
      <x:c r="F3027"/>
      <x:c r="G3027"/>
      <x:c r="H3027"/>
      <x:c r="I3027"/>
      <x:c r="J3027"/>
      <x:c r="K3027"/>
      <x:c r="L3027"/>
      <x:c r="M3027"/>
      <x:c r="N3027"/>
      <x:c r="O3027"/>
      <x:c r="P3027"/>
      <x:c r="Q3027"/>
      <x:c r="R3027"/>
      <x:c r="S3027"/>
      <x:c r="T3027"/>
      <x:c r="U3027"/>
      <x:c r="V3027"/>
      <x:c r="W3027"/>
    </x:row>
    <x:row r="3028">
      <x:c r="A3028"/>
      <x:c r="B3028"/>
      <x:c r="C3028"/>
      <x:c r="D3028"/>
      <x:c r="E3028"/>
      <x:c r="F3028"/>
      <x:c r="G3028"/>
      <x:c r="H3028"/>
      <x:c r="I3028"/>
      <x:c r="J3028"/>
      <x:c r="K3028"/>
      <x:c r="L3028"/>
      <x:c r="M3028"/>
      <x:c r="N3028"/>
      <x:c r="O3028"/>
      <x:c r="P3028"/>
      <x:c r="Q3028"/>
      <x:c r="R3028"/>
      <x:c r="S3028"/>
      <x:c r="T3028"/>
      <x:c r="U3028"/>
      <x:c r="V3028"/>
      <x:c r="W3028"/>
    </x:row>
    <x:row r="3029">
      <x:c r="A3029"/>
      <x:c r="B3029"/>
      <x:c r="C3029"/>
      <x:c r="D3029"/>
      <x:c r="E3029"/>
      <x:c r="F3029"/>
      <x:c r="G3029"/>
      <x:c r="H3029"/>
      <x:c r="I3029"/>
      <x:c r="J3029"/>
      <x:c r="K3029"/>
      <x:c r="L3029"/>
      <x:c r="M3029"/>
      <x:c r="N3029"/>
      <x:c r="O3029"/>
      <x:c r="P3029"/>
      <x:c r="Q3029"/>
      <x:c r="R3029"/>
      <x:c r="S3029"/>
      <x:c r="T3029"/>
      <x:c r="U3029"/>
      <x:c r="V3029"/>
      <x:c r="W3029"/>
    </x:row>
    <x:row r="3030">
      <x:c r="A3030"/>
      <x:c r="B3030"/>
      <x:c r="C3030"/>
      <x:c r="D3030"/>
      <x:c r="E3030"/>
      <x:c r="F3030"/>
      <x:c r="G3030"/>
      <x:c r="H3030"/>
      <x:c r="I3030"/>
      <x:c r="J3030"/>
      <x:c r="K3030"/>
      <x:c r="L3030"/>
      <x:c r="M3030"/>
      <x:c r="N3030"/>
      <x:c r="O3030"/>
      <x:c r="P3030"/>
      <x:c r="Q3030"/>
      <x:c r="R3030"/>
      <x:c r="S3030"/>
      <x:c r="T3030"/>
      <x:c r="U3030"/>
      <x:c r="V3030"/>
      <x:c r="W3030"/>
    </x:row>
    <x:row r="3031">
      <x:c r="A3031"/>
      <x:c r="B3031"/>
      <x:c r="C3031"/>
      <x:c r="D3031"/>
      <x:c r="E3031"/>
      <x:c r="F3031"/>
      <x:c r="G3031"/>
      <x:c r="H3031"/>
      <x:c r="I3031"/>
      <x:c r="J3031"/>
      <x:c r="K3031"/>
      <x:c r="L3031"/>
      <x:c r="M3031"/>
      <x:c r="N3031"/>
      <x:c r="O3031"/>
      <x:c r="P3031"/>
      <x:c r="Q3031"/>
      <x:c r="R3031"/>
      <x:c r="S3031"/>
      <x:c r="T3031"/>
      <x:c r="U3031"/>
      <x:c r="V3031"/>
      <x:c r="W3031"/>
    </x:row>
    <x:row r="3032">
      <x:c r="A3032"/>
      <x:c r="B3032"/>
      <x:c r="C3032"/>
      <x:c r="D3032"/>
      <x:c r="E3032"/>
      <x:c r="F3032"/>
      <x:c r="G3032"/>
      <x:c r="H3032"/>
      <x:c r="I3032"/>
      <x:c r="J3032"/>
      <x:c r="K3032"/>
      <x:c r="L3032"/>
      <x:c r="M3032"/>
      <x:c r="N3032"/>
      <x:c r="O3032"/>
      <x:c r="P3032"/>
      <x:c r="Q3032"/>
      <x:c r="R3032"/>
      <x:c r="S3032"/>
      <x:c r="T3032"/>
      <x:c r="U3032"/>
      <x:c r="V3032"/>
      <x:c r="W3032"/>
    </x:row>
    <x:row r="3033">
      <x:c r="A3033"/>
      <x:c r="B3033"/>
      <x:c r="C3033"/>
      <x:c r="D3033"/>
      <x:c r="E3033"/>
      <x:c r="F3033"/>
      <x:c r="G3033"/>
      <x:c r="H3033"/>
      <x:c r="I3033"/>
      <x:c r="J3033"/>
      <x:c r="K3033"/>
      <x:c r="L3033"/>
      <x:c r="M3033"/>
      <x:c r="N3033"/>
      <x:c r="O3033"/>
      <x:c r="P3033"/>
      <x:c r="Q3033"/>
      <x:c r="R3033"/>
      <x:c r="S3033"/>
      <x:c r="T3033"/>
      <x:c r="U3033"/>
      <x:c r="V3033"/>
      <x:c r="W3033"/>
    </x:row>
    <x:row r="3034">
      <x:c r="A3034"/>
      <x:c r="B3034"/>
      <x:c r="C3034"/>
      <x:c r="D3034"/>
      <x:c r="E3034"/>
      <x:c r="F3034"/>
      <x:c r="G3034"/>
      <x:c r="H3034"/>
      <x:c r="I3034"/>
      <x:c r="J3034"/>
      <x:c r="K3034"/>
      <x:c r="L3034"/>
      <x:c r="M3034"/>
      <x:c r="N3034"/>
      <x:c r="O3034"/>
      <x:c r="P3034"/>
      <x:c r="Q3034"/>
      <x:c r="R3034"/>
      <x:c r="S3034"/>
      <x:c r="T3034"/>
      <x:c r="U3034"/>
      <x:c r="V3034"/>
      <x:c r="W3034"/>
    </x:row>
    <x:row r="3035">
      <x:c r="A3035"/>
      <x:c r="B3035"/>
      <x:c r="C3035"/>
      <x:c r="D3035"/>
      <x:c r="E3035"/>
      <x:c r="F3035"/>
      <x:c r="G3035"/>
      <x:c r="H3035"/>
      <x:c r="I3035"/>
      <x:c r="J3035"/>
      <x:c r="K3035"/>
      <x:c r="L3035"/>
      <x:c r="M3035"/>
      <x:c r="N3035"/>
      <x:c r="O3035"/>
      <x:c r="P3035"/>
      <x:c r="Q3035"/>
      <x:c r="R3035"/>
      <x:c r="S3035"/>
      <x:c r="T3035"/>
      <x:c r="U3035"/>
      <x:c r="V3035"/>
      <x:c r="W3035"/>
    </x:row>
    <x:row r="3036">
      <x:c r="A3036"/>
      <x:c r="B3036"/>
      <x:c r="C3036"/>
      <x:c r="D3036"/>
      <x:c r="E3036"/>
      <x:c r="F3036"/>
      <x:c r="G3036"/>
      <x:c r="H3036"/>
      <x:c r="I3036"/>
      <x:c r="J3036"/>
      <x:c r="K3036"/>
      <x:c r="L3036"/>
      <x:c r="M3036"/>
      <x:c r="N3036"/>
      <x:c r="O3036"/>
      <x:c r="P3036"/>
      <x:c r="Q3036"/>
      <x:c r="R3036"/>
      <x:c r="S3036"/>
      <x:c r="T3036"/>
      <x:c r="U3036"/>
      <x:c r="V3036"/>
      <x:c r="W3036"/>
    </x:row>
    <x:row r="3037">
      <x:c r="A3037"/>
      <x:c r="B3037"/>
      <x:c r="C3037"/>
      <x:c r="D3037"/>
      <x:c r="E3037"/>
      <x:c r="F3037"/>
      <x:c r="G3037"/>
      <x:c r="H3037"/>
      <x:c r="I3037"/>
      <x:c r="J3037"/>
      <x:c r="K3037"/>
      <x:c r="L3037"/>
      <x:c r="M3037"/>
      <x:c r="N3037"/>
      <x:c r="O3037"/>
      <x:c r="P3037"/>
      <x:c r="Q3037"/>
      <x:c r="R3037"/>
      <x:c r="S3037"/>
      <x:c r="T3037"/>
      <x:c r="U3037"/>
      <x:c r="V3037"/>
      <x:c r="W3037"/>
    </x:row>
    <x:row r="3038">
      <x:c r="A3038"/>
      <x:c r="B3038"/>
      <x:c r="C3038"/>
      <x:c r="D3038"/>
      <x:c r="E3038"/>
      <x:c r="F3038"/>
      <x:c r="G3038"/>
      <x:c r="H3038"/>
      <x:c r="I3038"/>
      <x:c r="J3038"/>
      <x:c r="K3038"/>
      <x:c r="L3038"/>
      <x:c r="M3038"/>
      <x:c r="N3038"/>
      <x:c r="O3038"/>
      <x:c r="P3038"/>
      <x:c r="Q3038"/>
      <x:c r="R3038"/>
      <x:c r="S3038"/>
      <x:c r="T3038"/>
      <x:c r="U3038"/>
      <x:c r="V3038"/>
      <x:c r="W3038"/>
    </x:row>
    <x:row r="3039">
      <x:c r="A3039"/>
      <x:c r="B3039"/>
      <x:c r="C3039"/>
      <x:c r="D3039"/>
      <x:c r="E3039"/>
      <x:c r="F3039"/>
      <x:c r="G3039"/>
      <x:c r="H3039"/>
      <x:c r="I3039"/>
      <x:c r="J3039"/>
      <x:c r="K3039"/>
      <x:c r="L3039"/>
      <x:c r="M3039"/>
      <x:c r="N3039"/>
      <x:c r="O3039"/>
      <x:c r="P3039"/>
      <x:c r="Q3039"/>
      <x:c r="R3039"/>
      <x:c r="S3039"/>
      <x:c r="T3039"/>
      <x:c r="U3039"/>
      <x:c r="V3039"/>
      <x:c r="W3039"/>
    </x:row>
    <x:row r="3040">
      <x:c r="A3040"/>
      <x:c r="B3040"/>
      <x:c r="C3040"/>
      <x:c r="D3040"/>
      <x:c r="E3040"/>
      <x:c r="F3040"/>
      <x:c r="G3040"/>
      <x:c r="H3040"/>
      <x:c r="I3040"/>
      <x:c r="J3040"/>
      <x:c r="K3040"/>
      <x:c r="L3040"/>
      <x:c r="M3040"/>
      <x:c r="N3040"/>
      <x:c r="O3040"/>
      <x:c r="P3040"/>
      <x:c r="Q3040"/>
      <x:c r="R3040"/>
      <x:c r="S3040"/>
      <x:c r="T3040"/>
      <x:c r="U3040"/>
      <x:c r="V3040"/>
      <x:c r="W3040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/>
      <x:c r="V3041"/>
      <x:c r="W3041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/>
      <x:c r="V3042"/>
      <x:c r="W304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/>
      <x:c r="V3043"/>
      <x:c r="W3043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/>
      <x:c r="V3044"/>
      <x:c r="W3044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/>
      <x:c r="V3045"/>
      <x:c r="W3045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/>
      <x:c r="V3046"/>
      <x:c r="W3046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/>
      <x:c r="V3047"/>
      <x:c r="W3047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/>
      <x:c r="V3048"/>
      <x:c r="W3048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/>
      <x:c r="V3049"/>
      <x:c r="W3049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/>
      <x:c r="V3050"/>
      <x:c r="W3050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/>
      <x:c r="V3051"/>
      <x:c r="W3051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/>
      <x:c r="V3052"/>
      <x:c r="W305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/>
      <x:c r="V3053"/>
      <x:c r="W3053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/>
      <x:c r="V3054"/>
      <x:c r="W3054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/>
      <x:c r="V3055"/>
      <x:c r="W3055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/>
      <x:c r="V3056"/>
      <x:c r="W3056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/>
      <x:c r="V3057"/>
      <x:c r="W3057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/>
      <x:c r="V3058"/>
      <x:c r="W3058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/>
      <x:c r="V3059"/>
      <x:c r="W3059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/>
      <x:c r="V3060"/>
      <x:c r="W3060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/>
      <x:c r="V3061"/>
      <x:c r="W3061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/>
      <x:c r="V3062"/>
      <x:c r="W306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/>
      <x:c r="V3063"/>
      <x:c r="W3063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/>
      <x:c r="V3064"/>
      <x:c r="W3064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/>
      <x:c r="V3065"/>
      <x:c r="W3065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/>
      <x:c r="V3066"/>
      <x:c r="W3066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/>
      <x:c r="V3067"/>
      <x:c r="W3067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/>
      <x:c r="V3068"/>
      <x:c r="W3068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/>
      <x:c r="V3069"/>
      <x:c r="W3069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/>
      <x:c r="V3070"/>
      <x:c r="W3070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/>
      <x:c r="V3071"/>
      <x:c r="W3071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/>
      <x:c r="V3072"/>
      <x:c r="W307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/>
      <x:c r="V3073"/>
      <x:c r="W3073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/>
      <x:c r="V3074"/>
      <x:c r="W3074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/>
      <x:c r="V3075"/>
      <x:c r="W3075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/>
      <x:c r="V3076"/>
      <x:c r="W3076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/>
      <x:c r="V3077"/>
      <x:c r="W3077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/>
      <x:c r="V3078"/>
      <x:c r="W3078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/>
      <x:c r="V3079"/>
      <x:c r="W3079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/>
      <x:c r="V3080"/>
      <x:c r="W3080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/>
      <x:c r="V3081"/>
      <x:c r="W3081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/>
      <x:c r="V3082"/>
      <x:c r="W308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/>
      <x:c r="V3083"/>
      <x:c r="W3083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/>
      <x:c r="V3084"/>
      <x:c r="W3084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/>
      <x:c r="V3085"/>
      <x:c r="W3085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/>
      <x:c r="V3086"/>
      <x:c r="W3086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/>
      <x:c r="V3087"/>
      <x:c r="W3087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/>
      <x:c r="V3088"/>
      <x:c r="W3088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/>
      <x:c r="V3089"/>
      <x:c r="W3089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/>
      <x:c r="V3090"/>
      <x:c r="W3090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/>
      <x:c r="V3091"/>
      <x:c r="W3091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/>
      <x:c r="V3092"/>
      <x:c r="W309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/>
      <x:c r="V3093"/>
      <x:c r="W3093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/>
      <x:c r="V3094"/>
      <x:c r="W3094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/>
      <x:c r="V3095"/>
      <x:c r="W3095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/>
      <x:c r="V3096"/>
      <x:c r="W3096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/>
      <x:c r="V3097"/>
      <x:c r="W3097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/>
      <x:c r="V3098"/>
      <x:c r="W3098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/>
      <x:c r="V3099"/>
      <x:c r="W3099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/>
      <x:c r="V3100"/>
      <x:c r="W3100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/>
      <x:c r="V3101"/>
      <x:c r="W3101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/>
      <x:c r="V3102"/>
      <x:c r="W310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/>
      <x:c r="V3103"/>
      <x:c r="W3103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/>
      <x:c r="V3104"/>
      <x:c r="W3104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/>
      <x:c r="V3105"/>
      <x:c r="W3105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/>
      <x:c r="V3106"/>
      <x:c r="W3106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/>
      <x:c r="V3107"/>
      <x:c r="W3107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/>
      <x:c r="V3108"/>
      <x:c r="W3108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/>
      <x:c r="V3109"/>
      <x:c r="W3109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/>
      <x:c r="V3110"/>
      <x:c r="W3110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/>
      <x:c r="V3111"/>
      <x:c r="W3111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/>
      <x:c r="V3112"/>
      <x:c r="W311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/>
      <x:c r="V3113"/>
      <x:c r="W3113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/>
      <x:c r="V3114"/>
      <x:c r="W3114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/>
      <x:c r="V3115"/>
      <x:c r="W3115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/>
      <x:c r="V3116"/>
      <x:c r="W3116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/>
      <x:c r="V3117"/>
      <x:c r="W3117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/>
      <x:c r="V3118"/>
      <x:c r="W3118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/>
      <x:c r="V3119"/>
      <x:c r="W3119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/>
      <x:c r="V3120"/>
      <x:c r="W3120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/>
      <x:c r="V3121"/>
      <x:c r="W3121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/>
      <x:c r="V3122"/>
      <x:c r="W312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/>
      <x:c r="V3123"/>
      <x:c r="W3123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/>
      <x:c r="V3124"/>
      <x:c r="W3124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/>
      <x:c r="V3125"/>
      <x:c r="W3125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/>
      <x:c r="V3126"/>
      <x:c r="W3126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/>
      <x:c r="V3127"/>
      <x:c r="W3127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/>
      <x:c r="V3128"/>
      <x:c r="W3128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/>
      <x:c r="V3129"/>
      <x:c r="W3129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/>
      <x:c r="V3130"/>
      <x:c r="W3130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/>
      <x:c r="V3131"/>
      <x:c r="W3131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/>
      <x:c r="V3132"/>
      <x:c r="W313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/>
      <x:c r="V3133"/>
      <x:c r="W3133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/>
      <x:c r="V3134"/>
      <x:c r="W3134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/>
      <x:c r="V3135"/>
      <x:c r="W3135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/>
      <x:c r="V3136"/>
      <x:c r="W3136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/>
      <x:c r="V3137"/>
      <x:c r="W3137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/>
      <x:c r="V3138"/>
      <x:c r="W3138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/>
      <x:c r="V3139"/>
      <x:c r="W3139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/>
      <x:c r="V3140"/>
      <x:c r="W3140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/>
      <x:c r="V3141"/>
      <x:c r="W3141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/>
      <x:c r="V3142"/>
      <x:c r="W314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/>
      <x:c r="V3143"/>
      <x:c r="W3143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/>
      <x:c r="V3144"/>
      <x:c r="W3144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/>
      <x:c r="V3145"/>
      <x:c r="W3145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/>
      <x:c r="V3146"/>
      <x:c r="W3146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/>
      <x:c r="V3147"/>
      <x:c r="W3147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/>
      <x:c r="V3148"/>
      <x:c r="W3148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/>
      <x:c r="V3149"/>
      <x:c r="W3149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/>
      <x:c r="V3150"/>
      <x:c r="W3150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/>
      <x:c r="V3151"/>
      <x:c r="W3151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/>
      <x:c r="V3152"/>
      <x:c r="W315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/>
      <x:c r="V3153"/>
      <x:c r="W3153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/>
      <x:c r="V3154"/>
      <x:c r="W3154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/>
      <x:c r="V3155"/>
      <x:c r="W3155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/>
      <x:c r="V3156"/>
      <x:c r="W3156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/>
      <x:c r="V3157"/>
      <x:c r="W3157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/>
      <x:c r="V3158"/>
      <x:c r="W3158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/>
      <x:c r="V3159"/>
      <x:c r="W3159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/>
      <x:c r="V3160"/>
      <x:c r="W3160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/>
      <x:c r="V3161"/>
      <x:c r="W3161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/>
      <x:c r="V3162"/>
      <x:c r="W316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/>
      <x:c r="V3163"/>
      <x:c r="W3163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/>
      <x:c r="V3164"/>
      <x:c r="W3164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/>
      <x:c r="V3165"/>
      <x:c r="W3165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/>
      <x:c r="V3166"/>
      <x:c r="W3166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/>
      <x:c r="V3167"/>
      <x:c r="W3167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/>
      <x:c r="V3168"/>
      <x:c r="W3168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/>
      <x:c r="V3169"/>
      <x:c r="W3169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/>
      <x:c r="V3170"/>
      <x:c r="W3170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/>
      <x:c r="V3171"/>
      <x:c r="W3171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/>
      <x:c r="V3172"/>
      <x:c r="W317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/>
      <x:c r="V3173"/>
      <x:c r="W3173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/>
      <x:c r="V3174"/>
      <x:c r="W3174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/>
      <x:c r="V3175"/>
      <x:c r="W3175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/>
      <x:c r="V3176"/>
      <x:c r="W3176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/>
      <x:c r="V3177"/>
      <x:c r="W3177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/>
      <x:c r="V3178"/>
      <x:c r="W3178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/>
      <x:c r="V3179"/>
      <x:c r="W3179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/>
      <x:c r="V3180"/>
      <x:c r="W3180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/>
      <x:c r="V3181"/>
      <x:c r="W3181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/>
      <x:c r="V3182"/>
      <x:c r="W318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/>
      <x:c r="V3183"/>
      <x:c r="W3183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/>
      <x:c r="V3184"/>
      <x:c r="W3184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/>
      <x:c r="V3185"/>
      <x:c r="W3185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/>
      <x:c r="V3186"/>
      <x:c r="W3186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/>
      <x:c r="V3187"/>
      <x:c r="W3187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/>
      <x:c r="V3188"/>
      <x:c r="W3188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/>
      <x:c r="V3189"/>
      <x:c r="W3189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/>
      <x:c r="V3190"/>
      <x:c r="W3190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/>
      <x:c r="V3191"/>
      <x:c r="W3191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/>
      <x:c r="V3192"/>
      <x:c r="W319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/>
      <x:c r="V3193"/>
      <x:c r="W3193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/>
      <x:c r="V3194"/>
      <x:c r="W3194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/>
      <x:c r="V3195"/>
      <x:c r="W3195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/>
      <x:c r="V3196"/>
      <x:c r="W3196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/>
      <x:c r="V3197"/>
      <x:c r="W3197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/>
      <x:c r="V3198"/>
      <x:c r="W3198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/>
      <x:c r="V3199"/>
      <x:c r="W3199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/>
      <x:c r="V3200"/>
      <x:c r="W3200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/>
      <x:c r="V3201"/>
      <x:c r="W3201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/>
      <x:c r="V3202"/>
      <x:c r="W320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/>
      <x:c r="V3203"/>
      <x:c r="W3203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/>
      <x:c r="V3204"/>
      <x:c r="W3204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/>
      <x:c r="V3205"/>
      <x:c r="W3205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/>
      <x:c r="V3206"/>
      <x:c r="W3206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/>
      <x:c r="V3207"/>
      <x:c r="W3207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/>
      <x:c r="V3208"/>
      <x:c r="W3208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/>
      <x:c r="V3209"/>
      <x:c r="W3209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/>
      <x:c r="V3210"/>
      <x:c r="W3210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/>
      <x:c r="V3211"/>
      <x:c r="W3211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/>
      <x:c r="V3212"/>
      <x:c r="W321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/>
      <x:c r="V3213"/>
      <x:c r="W3213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/>
      <x:c r="V3214"/>
      <x:c r="W3214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/>
      <x:c r="V3215"/>
      <x:c r="W3215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/>
      <x:c r="V3216"/>
      <x:c r="W3216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/>
      <x:c r="V3217"/>
      <x:c r="W3217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/>
      <x:c r="V3218"/>
      <x:c r="W3218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/>
      <x:c r="V3219"/>
      <x:c r="W3219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/>
      <x:c r="V3220"/>
      <x:c r="W3220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/>
      <x:c r="V3221"/>
      <x:c r="W3221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/>
      <x:c r="V3222"/>
      <x:c r="W322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/>
      <x:c r="V3223"/>
      <x:c r="W3223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/>
      <x:c r="V3224"/>
      <x:c r="W3224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/>
      <x:c r="V3225"/>
      <x:c r="W3225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/>
      <x:c r="V3226"/>
      <x:c r="W3226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/>
      <x:c r="V3227"/>
      <x:c r="W3227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/>
      <x:c r="V3228"/>
      <x:c r="W3228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/>
      <x:c r="V3229"/>
      <x:c r="W3229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/>
      <x:c r="V3230"/>
      <x:c r="W3230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/>
      <x:c r="V3231"/>
      <x:c r="W3231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/>
      <x:c r="V3232"/>
      <x:c r="W323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/>
      <x:c r="V3233"/>
      <x:c r="W3233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/>
      <x:c r="V3234"/>
      <x:c r="W3234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/>
      <x:c r="V3235"/>
      <x:c r="W3235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/>
      <x:c r="V3236"/>
      <x:c r="W3236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/>
      <x:c r="V3237"/>
      <x:c r="W3237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/>
      <x:c r="V3238"/>
      <x:c r="W3238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/>
      <x:c r="V3239"/>
      <x:c r="W3239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/>
      <x:c r="V3240"/>
      <x:c r="W3240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/>
      <x:c r="V3241"/>
      <x:c r="W3241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/>
      <x:c r="V3242"/>
      <x:c r="W324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/>
      <x:c r="V3243"/>
      <x:c r="W3243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/>
      <x:c r="V3244"/>
      <x:c r="W3244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/>
      <x:c r="V3245"/>
      <x:c r="W3245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/>
      <x:c r="V3246"/>
      <x:c r="W3246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/>
      <x:c r="V3247"/>
      <x:c r="W3247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/>
      <x:c r="V3248"/>
      <x:c r="W3248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/>
      <x:c r="V3249"/>
      <x:c r="W3249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/>
      <x:c r="V3250"/>
      <x:c r="W3250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/>
      <x:c r="V3251"/>
      <x:c r="W3251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/>
      <x:c r="V3252"/>
      <x:c r="W325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/>
      <x:c r="V3253"/>
      <x:c r="W3253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/>
      <x:c r="V3254"/>
      <x:c r="W3254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/>
      <x:c r="V3255"/>
      <x:c r="W3255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/>
      <x:c r="V3256"/>
      <x:c r="W3256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/>
      <x:c r="V3257"/>
      <x:c r="W3257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/>
      <x:c r="V3258"/>
      <x:c r="W3258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/>
      <x:c r="V3259"/>
      <x:c r="W3259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/>
      <x:c r="V3260"/>
      <x:c r="W3260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/>
      <x:c r="V3261"/>
      <x:c r="W3261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/>
      <x:c r="V3262"/>
      <x:c r="W326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/>
      <x:c r="V3263"/>
      <x:c r="W3263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/>
      <x:c r="V3264"/>
      <x:c r="W3264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/>
      <x:c r="V3265"/>
      <x:c r="W3265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/>
      <x:c r="V3266"/>
      <x:c r="W3266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/>
      <x:c r="V3267"/>
      <x:c r="W3267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/>
      <x:c r="V3268"/>
      <x:c r="W3268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/>
      <x:c r="V3269"/>
      <x:c r="W3269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/>
      <x:c r="V3270"/>
      <x:c r="W3270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/>
      <x:c r="V3271"/>
      <x:c r="W3271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/>
      <x:c r="V3272"/>
      <x:c r="W327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/>
      <x:c r="V3273"/>
      <x:c r="W3273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/>
      <x:c r="V3274"/>
      <x:c r="W3274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/>
      <x:c r="V3275"/>
      <x:c r="W3275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/>
      <x:c r="V3276"/>
      <x:c r="W3276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/>
      <x:c r="V3277"/>
      <x:c r="W3277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/>
      <x:c r="V3278"/>
      <x:c r="W3278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/>
      <x:c r="V3279"/>
      <x:c r="W3279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/>
      <x:c r="V3280"/>
      <x:c r="W3280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/>
      <x:c r="V3281"/>
      <x:c r="W3281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/>
      <x:c r="V3282"/>
      <x:c r="W328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/>
      <x:c r="V3283"/>
      <x:c r="W3283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/>
      <x:c r="V3284"/>
      <x:c r="W3284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/>
      <x:c r="V3285"/>
      <x:c r="W3285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/>
      <x:c r="V3286"/>
      <x:c r="W3286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/>
      <x:c r="V3287"/>
      <x:c r="W3287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/>
      <x:c r="V3288"/>
      <x:c r="W3288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/>
      <x:c r="V3289"/>
      <x:c r="W3289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/>
      <x:c r="V3290"/>
      <x:c r="W3290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/>
      <x:c r="V3291"/>
      <x:c r="W3291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/>
      <x:c r="V3292"/>
      <x:c r="W329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/>
      <x:c r="V3293"/>
      <x:c r="W3293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/>
      <x:c r="V3294"/>
      <x:c r="W3294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/>
      <x:c r="V3295"/>
      <x:c r="W3295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/>
      <x:c r="V3296"/>
      <x:c r="W3296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/>
      <x:c r="V3297"/>
      <x:c r="W3297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  <x:c r="V3298"/>
      <x:c r="W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  <x:c r="V3299"/>
      <x:c r="W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  <x:c r="V3300"/>
      <x:c r="W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  <x:c r="V3301"/>
      <x:c r="W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  <x:c r="V3302"/>
      <x:c r="W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  <x:c r="V3303"/>
      <x:c r="W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  <x:c r="V3304"/>
      <x:c r="W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  <x:c r="V3305"/>
      <x:c r="W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  <x:c r="V3306"/>
      <x:c r="W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  <x:c r="V3307"/>
      <x:c r="W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  <x:c r="V3308"/>
      <x:c r="W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  <x:c r="V3309"/>
      <x:c r="W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  <x:c r="V3310"/>
      <x:c r="W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  <x:c r="V3311"/>
      <x:c r="W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  <x:c r="V3312"/>
      <x:c r="W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  <x:c r="V3313"/>
      <x:c r="W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  <x:c r="V3314"/>
      <x:c r="W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  <x:c r="V3315"/>
      <x:c r="W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  <x:c r="V3316"/>
      <x:c r="W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  <x:c r="V3317"/>
      <x:c r="W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  <x:c r="V3318"/>
      <x:c r="W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  <x:c r="V3319"/>
      <x:c r="W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  <x:c r="V3320"/>
      <x:c r="W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  <x:c r="V3321"/>
      <x:c r="W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  <x:c r="V3322"/>
      <x:c r="W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  <x:c r="V3323"/>
      <x:c r="W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  <x:c r="V3324"/>
      <x:c r="W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  <x:c r="V3325"/>
      <x:c r="W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  <x:c r="V3326"/>
      <x:c r="W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  <x:c r="V3327"/>
      <x:c r="W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  <x:c r="V3328"/>
      <x:c r="W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  <x:c r="V3329"/>
      <x:c r="W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  <x:c r="V3330"/>
      <x:c r="W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  <x:c r="V3331"/>
      <x:c r="W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  <x:c r="V3332"/>
      <x:c r="W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  <x:c r="V3333"/>
      <x:c r="W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  <x:c r="V3334"/>
      <x:c r="W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  <x:c r="V3335"/>
      <x:c r="W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  <x:c r="V3336"/>
      <x:c r="W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  <x:c r="V3337"/>
      <x:c r="W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  <x:c r="V3338"/>
      <x:c r="W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  <x:c r="V3339"/>
      <x:c r="W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  <x:c r="V3340"/>
      <x:c r="W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  <x:c r="V3341"/>
      <x:c r="W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  <x:c r="V3342"/>
      <x:c r="W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  <x:c r="V3343"/>
      <x:c r="W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  <x:c r="V3344"/>
      <x:c r="W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  <x:c r="V3345"/>
      <x:c r="W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  <x:c r="V3346"/>
      <x:c r="W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  <x:c r="V3347"/>
      <x:c r="W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  <x:c r="V3348"/>
      <x:c r="W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  <x:c r="V3349"/>
      <x:c r="W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  <x:c r="V3350"/>
      <x:c r="W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  <x:c r="V3351"/>
      <x:c r="W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  <x:c r="V3352"/>
      <x:c r="W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  <x:c r="V3353"/>
      <x:c r="W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  <x:c r="V3354"/>
      <x:c r="W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  <x:c r="V3355"/>
      <x:c r="W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  <x:c r="V3356"/>
      <x:c r="W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  <x:c r="V3357"/>
      <x:c r="W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  <x:c r="V3358"/>
      <x:c r="W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  <x:c r="V3359"/>
      <x:c r="W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  <x:c r="V3360"/>
      <x:c r="W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  <x:c r="V3361"/>
      <x:c r="W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  <x:c r="V3362"/>
      <x:c r="W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  <x:c r="V3363"/>
      <x:c r="W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  <x:c r="V3364"/>
      <x:c r="W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  <x:c r="V3365"/>
      <x:c r="W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  <x:c r="V3366"/>
      <x:c r="W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  <x:c r="V3367"/>
      <x:c r="W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  <x:c r="V3368"/>
      <x:c r="W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  <x:c r="V3369"/>
      <x:c r="W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  <x:c r="V3370"/>
      <x:c r="W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  <x:c r="V3371"/>
      <x:c r="W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  <x:c r="V3372"/>
      <x:c r="W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  <x:c r="V3373"/>
      <x:c r="W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  <x:c r="V3374"/>
      <x:c r="W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  <x:c r="V3375"/>
      <x:c r="W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  <x:c r="V3376"/>
      <x:c r="W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  <x:c r="V3377"/>
      <x:c r="W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  <x:c r="V3378"/>
      <x:c r="W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  <x:c r="V3379"/>
      <x:c r="W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  <x:c r="V3380"/>
      <x:c r="W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  <x:c r="V3381"/>
      <x:c r="W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  <x:c r="V3382"/>
      <x:c r="W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  <x:c r="V3383"/>
      <x:c r="W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  <x:c r="V3384"/>
      <x:c r="W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  <x:c r="V3385"/>
      <x:c r="W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  <x:c r="V3386"/>
      <x:c r="W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  <x:c r="V3387"/>
      <x:c r="W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  <x:c r="V3388"/>
      <x:c r="W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  <x:c r="V3389"/>
      <x:c r="W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  <x:c r="V3390"/>
      <x:c r="W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  <x:c r="V3391"/>
      <x:c r="W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  <x:c r="V3392"/>
      <x:c r="W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  <x:c r="V3393"/>
      <x:c r="W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  <x:c r="V3394"/>
      <x:c r="W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  <x:c r="V3395"/>
      <x:c r="W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  <x:c r="V3396"/>
      <x:c r="W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  <x:c r="V3397"/>
      <x:c r="W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  <x:c r="V3398"/>
      <x:c r="W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  <x:c r="V3399"/>
      <x:c r="W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  <x:c r="V3400"/>
      <x:c r="W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  <x:c r="V3401"/>
      <x:c r="W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  <x:c r="V3402"/>
      <x:c r="W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  <x:c r="V3403"/>
      <x:c r="W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  <x:c r="V3404"/>
      <x:c r="W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  <x:c r="V3405"/>
      <x:c r="W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  <x:c r="V3406"/>
      <x:c r="W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  <x:c r="V3407"/>
      <x:c r="W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  <x:c r="V3408"/>
      <x:c r="W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  <x:c r="V3409"/>
      <x:c r="W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  <x:c r="V3410"/>
      <x:c r="W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  <x:c r="V3411"/>
      <x:c r="W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  <x:c r="V3412"/>
      <x:c r="W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  <x:c r="V3413"/>
      <x:c r="W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  <x:c r="V3414"/>
      <x:c r="W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  <x:c r="V3415"/>
      <x:c r="W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  <x:c r="V3416"/>
      <x:c r="W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  <x:c r="V3417"/>
      <x:c r="W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  <x:c r="V3418"/>
      <x:c r="W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  <x:c r="V3419"/>
      <x:c r="W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  <x:c r="V3420"/>
      <x:c r="W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  <x:c r="V3421"/>
      <x:c r="W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  <x:c r="V3422"/>
      <x:c r="W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  <x:c r="V3423"/>
      <x:c r="W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  <x:c r="V3424"/>
      <x:c r="W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  <x:c r="V3425"/>
      <x:c r="W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  <x:c r="V3426"/>
      <x:c r="W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  <x:c r="V3427"/>
      <x:c r="W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  <x:c r="V3428"/>
      <x:c r="W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  <x:c r="V3429"/>
      <x:c r="W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  <x:c r="V3430"/>
      <x:c r="W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  <x:c r="V3431"/>
      <x:c r="W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  <x:c r="V3432"/>
      <x:c r="W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  <x:c r="V3433"/>
      <x:c r="W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  <x:c r="V3434"/>
      <x:c r="W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  <x:c r="V3435"/>
      <x:c r="W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  <x:c r="V3436"/>
      <x:c r="W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  <x:c r="V3437"/>
      <x:c r="W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  <x:c r="V3438"/>
      <x:c r="W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  <x:c r="V3439"/>
      <x:c r="W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  <x:c r="V3440"/>
      <x:c r="W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  <x:c r="V3441"/>
      <x:c r="W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  <x:c r="V3442"/>
      <x:c r="W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  <x:c r="V3443"/>
      <x:c r="W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  <x:c r="V3444"/>
      <x:c r="W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  <x:c r="V3445"/>
      <x:c r="W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  <x:c r="V3446"/>
      <x:c r="W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  <x:c r="V3447"/>
      <x:c r="W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  <x:c r="V3448"/>
      <x:c r="W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  <x:c r="V3449"/>
      <x:c r="W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  <x:c r="V3450"/>
      <x:c r="W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  <x:c r="V3451"/>
      <x:c r="W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  <x:c r="V3452"/>
      <x:c r="W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  <x:c r="V3453"/>
      <x:c r="W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  <x:c r="V3454"/>
      <x:c r="W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  <x:c r="V3455"/>
      <x:c r="W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  <x:c r="V3456"/>
      <x:c r="W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  <x:c r="V3457"/>
      <x:c r="W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  <x:c r="V3458"/>
      <x:c r="W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  <x:c r="V3459"/>
      <x:c r="W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  <x:c r="V3460"/>
      <x:c r="W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  <x:c r="V3461"/>
      <x:c r="W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  <x:c r="V3462"/>
      <x:c r="W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  <x:c r="V3463"/>
      <x:c r="W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  <x:c r="V3464"/>
      <x:c r="W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  <x:c r="V3465"/>
      <x:c r="W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  <x:c r="V3466"/>
      <x:c r="W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  <x:c r="V3467"/>
      <x:c r="W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  <x:c r="V3468"/>
      <x:c r="W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  <x:c r="V3469"/>
      <x:c r="W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  <x:c r="V3470"/>
      <x:c r="W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  <x:c r="V3471"/>
      <x:c r="W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  <x:c r="V3472"/>
      <x:c r="W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  <x:c r="V3473"/>
      <x:c r="W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  <x:c r="V3474"/>
      <x:c r="W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  <x:c r="V3475"/>
      <x:c r="W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  <x:c r="V3476"/>
      <x:c r="W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  <x:c r="V3477"/>
      <x:c r="W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  <x:c r="V3478"/>
      <x:c r="W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  <x:c r="V3479"/>
      <x:c r="W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  <x:c r="V3480"/>
      <x:c r="W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  <x:c r="V3481"/>
      <x:c r="W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  <x:c r="V3482"/>
      <x:c r="W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  <x:c r="V3483"/>
      <x:c r="W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  <x:c r="V3484"/>
      <x:c r="W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  <x:c r="V3485"/>
      <x:c r="W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  <x:c r="V3486"/>
      <x:c r="W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  <x:c r="V3487"/>
      <x:c r="W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  <x:c r="V3488"/>
      <x:c r="W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  <x:c r="V3489"/>
      <x:c r="W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  <x:c r="V3490"/>
      <x:c r="W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  <x:c r="V3491"/>
      <x:c r="W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  <x:c r="V3492"/>
      <x:c r="W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  <x:c r="V3493"/>
      <x:c r="W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  <x:c r="V3494"/>
      <x:c r="W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  <x:c r="V3495"/>
      <x:c r="W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  <x:c r="V3496"/>
      <x:c r="W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  <x:c r="V3497"/>
      <x:c r="W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  <x:c r="V3498"/>
      <x:c r="W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  <x:c r="V3499"/>
      <x:c r="W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  <x:c r="V3500"/>
      <x:c r="W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  <x:c r="V3501"/>
      <x:c r="W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  <x:c r="V3502"/>
      <x:c r="W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  <x:c r="V3503"/>
      <x:c r="W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  <x:c r="V3504"/>
      <x:c r="W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  <x:c r="V3505"/>
      <x:c r="W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  <x:c r="V3506"/>
      <x:c r="W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  <x:c r="V3507"/>
      <x:c r="W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  <x:c r="V3508"/>
      <x:c r="W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  <x:c r="V3509"/>
      <x:c r="W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  <x:c r="V3510"/>
      <x:c r="W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  <x:c r="V3511"/>
      <x:c r="W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  <x:c r="V3512"/>
      <x:c r="W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  <x:c r="V3513"/>
      <x:c r="W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  <x:c r="V3514"/>
      <x:c r="W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  <x:c r="V3515"/>
      <x:c r="W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  <x:c r="V3516"/>
      <x:c r="W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  <x:c r="V3517"/>
      <x:c r="W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  <x:c r="V3518"/>
      <x:c r="W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  <x:c r="V3519"/>
      <x:c r="W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  <x:c r="V3520"/>
      <x:c r="W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  <x:c r="V3521"/>
      <x:c r="W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  <x:c r="V3522"/>
      <x:c r="W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  <x:c r="V3523"/>
      <x:c r="W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  <x:c r="V3524"/>
      <x:c r="W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  <x:c r="V3525"/>
      <x:c r="W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  <x:c r="V3526"/>
      <x:c r="W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  <x:c r="V3527"/>
      <x:c r="W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  <x:c r="V3528"/>
      <x:c r="W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  <x:c r="V3529"/>
      <x:c r="W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  <x:c r="V3530"/>
      <x:c r="W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  <x:c r="V3531"/>
      <x:c r="W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  <x:c r="V3532"/>
      <x:c r="W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  <x:c r="V3533"/>
      <x:c r="W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  <x:c r="V3534"/>
      <x:c r="W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  <x:c r="V3535"/>
      <x:c r="W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  <x:c r="V3536"/>
      <x:c r="W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  <x:c r="V3537"/>
      <x:c r="W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  <x:c r="V3538"/>
      <x:c r="W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  <x:c r="V3539"/>
      <x:c r="W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  <x:c r="V3540"/>
      <x:c r="W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  <x:c r="V3541"/>
      <x:c r="W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  <x:c r="V3542"/>
      <x:c r="W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  <x:c r="V3543"/>
      <x:c r="W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  <x:c r="V3544"/>
      <x:c r="W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  <x:c r="V3545"/>
      <x:c r="W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  <x:c r="V3546"/>
      <x:c r="W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  <x:c r="V3547"/>
      <x:c r="W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  <x:c r="V3548"/>
      <x:c r="W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  <x:c r="V3549"/>
      <x:c r="W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  <x:c r="V3550"/>
      <x:c r="W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  <x:c r="V3551"/>
      <x:c r="W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  <x:c r="V3552"/>
      <x:c r="W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  <x:c r="V3553"/>
      <x:c r="W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  <x:c r="V3554"/>
      <x:c r="W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  <x:c r="V3555"/>
      <x:c r="W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  <x:c r="V3556"/>
      <x:c r="W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  <x:c r="V3557"/>
      <x:c r="W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  <x:c r="V3558"/>
      <x:c r="W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  <x:c r="V3559"/>
      <x:c r="W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  <x:c r="V3560"/>
      <x:c r="W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  <x:c r="V3561"/>
      <x:c r="W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  <x:c r="V3562"/>
      <x:c r="W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  <x:c r="V3563"/>
      <x:c r="W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  <x:c r="V3564"/>
      <x:c r="W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  <x:c r="V3565"/>
      <x:c r="W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  <x:c r="V3566"/>
      <x:c r="W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  <x:c r="V3567"/>
      <x:c r="W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  <x:c r="V3568"/>
      <x:c r="W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  <x:c r="V3569"/>
      <x:c r="W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  <x:c r="V3570"/>
      <x:c r="W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  <x:c r="V3571"/>
      <x:c r="W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  <x:c r="V3572"/>
      <x:c r="W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  <x:c r="V3573"/>
      <x:c r="W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  <x:c r="V3574"/>
      <x:c r="W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  <x:c r="V3575"/>
      <x:c r="W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  <x:c r="V3576"/>
      <x:c r="W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  <x:c r="V3577"/>
      <x:c r="W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  <x:c r="V3578"/>
      <x:c r="W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  <x:c r="V3579"/>
      <x:c r="W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  <x:c r="V3580"/>
      <x:c r="W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  <x:c r="V3581"/>
      <x:c r="W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  <x:c r="V3582"/>
      <x:c r="W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  <x:c r="V3583"/>
      <x:c r="W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  <x:c r="V3584"/>
      <x:c r="W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  <x:c r="V3585"/>
      <x:c r="W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  <x:c r="V3586"/>
      <x:c r="W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  <x:c r="V3587"/>
      <x:c r="W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  <x:c r="V3588"/>
      <x:c r="W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  <x:c r="V3589"/>
      <x:c r="W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  <x:c r="V3590"/>
      <x:c r="W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  <x:c r="V3591"/>
      <x:c r="W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  <x:c r="V3592"/>
      <x:c r="W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  <x:c r="V3593"/>
      <x:c r="W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  <x:c r="V3594"/>
      <x:c r="W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  <x:c r="V3595"/>
      <x:c r="W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  <x:c r="V3596"/>
      <x:c r="W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  <x:c r="V3597"/>
      <x:c r="W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  <x:c r="V3598"/>
      <x:c r="W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  <x:c r="V3599"/>
      <x:c r="W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  <x:c r="V3600"/>
      <x:c r="W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  <x:c r="V3601"/>
      <x:c r="W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  <x:c r="V3602"/>
      <x:c r="W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  <x:c r="V3603"/>
      <x:c r="W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  <x:c r="V3604"/>
      <x:c r="W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  <x:c r="V3605"/>
      <x:c r="W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  <x:c r="V3606"/>
      <x:c r="W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  <x:c r="V3607"/>
      <x:c r="W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  <x:c r="V3608"/>
      <x:c r="W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  <x:c r="V3609"/>
      <x:c r="W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  <x:c r="V3610"/>
      <x:c r="W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  <x:c r="V3611"/>
      <x:c r="W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  <x:c r="V3612"/>
      <x:c r="W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  <x:c r="V3613"/>
      <x:c r="W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  <x:c r="V3614"/>
      <x:c r="W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  <x:c r="V3615"/>
      <x:c r="W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  <x:c r="V3616"/>
      <x:c r="W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  <x:c r="V3617"/>
      <x:c r="W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  <x:c r="V3618"/>
      <x:c r="W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  <x:c r="V3619"/>
      <x:c r="W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  <x:c r="V3620"/>
      <x:c r="W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  <x:c r="V3621"/>
      <x:c r="W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  <x:c r="V3622"/>
      <x:c r="W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  <x:c r="V3623"/>
      <x:c r="W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  <x:c r="V3624"/>
      <x:c r="W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  <x:c r="V3625"/>
      <x:c r="W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  <x:c r="V3626"/>
      <x:c r="W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  <x:c r="V3627"/>
      <x:c r="W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  <x:c r="V3628"/>
      <x:c r="W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  <x:c r="V3629"/>
      <x:c r="W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  <x:c r="V3630"/>
      <x:c r="W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  <x:c r="V3631"/>
      <x:c r="W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  <x:c r="V3632"/>
      <x:c r="W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  <x:c r="V3633"/>
      <x:c r="W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  <x:c r="V3634"/>
      <x:c r="W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  <x:c r="V3635"/>
      <x:c r="W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  <x:c r="V3636"/>
      <x:c r="W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  <x:c r="V3637"/>
      <x:c r="W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  <x:c r="V3638"/>
      <x:c r="W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  <x:c r="V3639"/>
      <x:c r="W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  <x:c r="V3640"/>
      <x:c r="W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  <x:c r="V3641"/>
      <x:c r="W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  <x:c r="V3642"/>
      <x:c r="W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  <x:c r="V3643"/>
      <x:c r="W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  <x:c r="V3644"/>
      <x:c r="W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  <x:c r="V3645"/>
      <x:c r="W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  <x:c r="V3646"/>
      <x:c r="W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  <x:c r="V3647"/>
      <x:c r="W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  <x:c r="V3648"/>
      <x:c r="W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  <x:c r="V3649"/>
      <x:c r="W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  <x:c r="V3650"/>
      <x:c r="W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  <x:c r="V3651"/>
      <x:c r="W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  <x:c r="V3652"/>
      <x:c r="W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  <x:c r="V3653"/>
      <x:c r="W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  <x:c r="V3654"/>
      <x:c r="W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  <x:c r="V3655"/>
      <x:c r="W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  <x:c r="V3656"/>
      <x:c r="W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  <x:c r="V3657"/>
      <x:c r="W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  <x:c r="V3658"/>
      <x:c r="W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  <x:c r="V3659"/>
      <x:c r="W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  <x:c r="V3660"/>
      <x:c r="W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  <x:c r="V3661"/>
      <x:c r="W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  <x:c r="V3662"/>
      <x:c r="W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  <x:c r="V3663"/>
      <x:c r="W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  <x:c r="V3664"/>
      <x:c r="W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  <x:c r="V3665"/>
      <x:c r="W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  <x:c r="V3666"/>
      <x:c r="W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  <x:c r="V3667"/>
      <x:c r="W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  <x:c r="V3668"/>
      <x:c r="W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  <x:c r="V3669"/>
      <x:c r="W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  <x:c r="V3670"/>
      <x:c r="W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  <x:c r="V3671"/>
      <x:c r="W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  <x:c r="V3672"/>
      <x:c r="W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  <x:c r="V3673"/>
      <x:c r="W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  <x:c r="V3674"/>
      <x:c r="W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  <x:c r="V3675"/>
      <x:c r="W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  <x:c r="V3676"/>
      <x:c r="W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  <x:c r="V3677"/>
      <x:c r="W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  <x:c r="V3678"/>
      <x:c r="W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  <x:c r="V3679"/>
      <x:c r="W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  <x:c r="V3680"/>
      <x:c r="W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  <x:c r="V3681"/>
      <x:c r="W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  <x:c r="V3682"/>
      <x:c r="W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  <x:c r="V3683"/>
      <x:c r="W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  <x:c r="V3684"/>
      <x:c r="W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  <x:c r="V3685"/>
      <x:c r="W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  <x:c r="V3686"/>
      <x:c r="W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  <x:c r="V3687"/>
      <x:c r="W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  <x:c r="V3688"/>
      <x:c r="W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  <x:c r="V3689"/>
      <x:c r="W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  <x:c r="V3690"/>
      <x:c r="W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  <x:c r="V3691"/>
      <x:c r="W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  <x:c r="V3692"/>
      <x:c r="W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  <x:c r="V3693"/>
      <x:c r="W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  <x:c r="V3694"/>
      <x:c r="W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  <x:c r="V3695"/>
      <x:c r="W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  <x:c r="V3696"/>
      <x:c r="W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  <x:c r="V3697"/>
      <x:c r="W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  <x:c r="V3698"/>
      <x:c r="W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  <x:c r="V3699"/>
      <x:c r="W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  <x:c r="V3700"/>
      <x:c r="W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  <x:c r="V3701"/>
      <x:c r="W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  <x:c r="V3702"/>
      <x:c r="W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  <x:c r="V3703"/>
      <x:c r="W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  <x:c r="V3704"/>
      <x:c r="W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  <x:c r="V3705"/>
      <x:c r="W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  <x:c r="V3706"/>
      <x:c r="W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  <x:c r="V3707"/>
      <x:c r="W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  <x:c r="V3708"/>
      <x:c r="W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  <x:c r="V3709"/>
      <x:c r="W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  <x:c r="V3710"/>
      <x:c r="W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  <x:c r="V3711"/>
      <x:c r="W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  <x:c r="V3712"/>
      <x:c r="W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  <x:c r="V3713"/>
      <x:c r="W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  <x:c r="V3714"/>
      <x:c r="W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  <x:c r="V3715"/>
      <x:c r="W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  <x:c r="V3716"/>
      <x:c r="W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  <x:c r="V3717"/>
      <x:c r="W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  <x:c r="V3718"/>
      <x:c r="W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  <x:c r="V3719"/>
      <x:c r="W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  <x:c r="V3720"/>
      <x:c r="W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  <x:c r="V3721"/>
      <x:c r="W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  <x:c r="V3722"/>
      <x:c r="W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  <x:c r="V3723"/>
      <x:c r="W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  <x:c r="V3724"/>
      <x:c r="W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  <x:c r="V3725"/>
      <x:c r="W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  <x:c r="V3726"/>
      <x:c r="W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  <x:c r="V3727"/>
      <x:c r="W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  <x:c r="V3728"/>
      <x:c r="W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  <x:c r="V3729"/>
      <x:c r="W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  <x:c r="V3730"/>
      <x:c r="W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  <x:c r="V3731"/>
      <x:c r="W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  <x:c r="V3732"/>
      <x:c r="W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  <x:c r="V3733"/>
      <x:c r="W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  <x:c r="V3734"/>
      <x:c r="W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  <x:c r="V3735"/>
      <x:c r="W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  <x:c r="V3736"/>
      <x:c r="W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  <x:c r="V3737"/>
      <x:c r="W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  <x:c r="V3738"/>
      <x:c r="W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  <x:c r="V3739"/>
      <x:c r="W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  <x:c r="V3740"/>
      <x:c r="W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  <x:c r="V3741"/>
      <x:c r="W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  <x:c r="V3742"/>
      <x:c r="W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  <x:c r="V3743"/>
      <x:c r="W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  <x:c r="V3744"/>
      <x:c r="W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  <x:c r="V3745"/>
      <x:c r="W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  <x:c r="V3746"/>
      <x:c r="W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  <x:c r="V3747"/>
      <x:c r="W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  <x:c r="V3748"/>
      <x:c r="W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  <x:c r="V3749"/>
      <x:c r="W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  <x:c r="V3750"/>
      <x:c r="W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  <x:c r="V3751"/>
      <x:c r="W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  <x:c r="V3752"/>
      <x:c r="W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  <x:c r="V3753"/>
      <x:c r="W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  <x:c r="V3754"/>
      <x:c r="W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  <x:c r="V3755"/>
      <x:c r="W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  <x:c r="V3756"/>
      <x:c r="W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  <x:c r="V3757"/>
      <x:c r="W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  <x:c r="V3758"/>
      <x:c r="W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  <x:c r="V3759"/>
      <x:c r="W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  <x:c r="V3760"/>
      <x:c r="W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  <x:c r="V3761"/>
      <x:c r="W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  <x:c r="V3762"/>
      <x:c r="W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  <x:c r="V3763"/>
      <x:c r="W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  <x:c r="V3764"/>
      <x:c r="W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  <x:c r="V3765"/>
      <x:c r="W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  <x:c r="V3766"/>
      <x:c r="W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  <x:c r="V3767"/>
      <x:c r="W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  <x:c r="V3768"/>
      <x:c r="W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  <x:c r="V3769"/>
      <x:c r="W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  <x:c r="V3770"/>
      <x:c r="W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  <x:c r="V3771"/>
      <x:c r="W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  <x:c r="V3772"/>
      <x:c r="W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  <x:c r="V3773"/>
      <x:c r="W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  <x:c r="V3774"/>
      <x:c r="W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  <x:c r="V3775"/>
      <x:c r="W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  <x:c r="V3776"/>
      <x:c r="W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  <x:c r="V3777"/>
      <x:c r="W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  <x:c r="V3778"/>
      <x:c r="W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  <x:c r="V3779"/>
      <x:c r="W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  <x:c r="V3780"/>
      <x:c r="W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  <x:c r="V3781"/>
      <x:c r="W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  <x:c r="V3782"/>
      <x:c r="W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  <x:c r="V3783"/>
      <x:c r="W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  <x:c r="V3784"/>
      <x:c r="W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  <x:c r="V3785"/>
      <x:c r="W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  <x:c r="V3786"/>
      <x:c r="W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  <x:c r="V3787"/>
      <x:c r="W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  <x:c r="V3788"/>
      <x:c r="W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  <x:c r="V3789"/>
      <x:c r="W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  <x:c r="V3790"/>
      <x:c r="W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  <x:c r="V3791"/>
      <x:c r="W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  <x:c r="V3792"/>
      <x:c r="W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  <x:c r="V3793"/>
      <x:c r="W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  <x:c r="V3794"/>
      <x:c r="W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  <x:c r="V3795"/>
      <x:c r="W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  <x:c r="V3796"/>
      <x:c r="W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  <x:c r="V3797"/>
      <x:c r="W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  <x:c r="V3798"/>
      <x:c r="W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  <x:c r="V3799"/>
      <x:c r="W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  <x:c r="V3800"/>
      <x:c r="W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  <x:c r="V3801"/>
      <x:c r="W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  <x:c r="V3802"/>
      <x:c r="W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  <x:c r="V3803"/>
      <x:c r="W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  <x:c r="V3804"/>
      <x:c r="W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  <x:c r="V3805"/>
      <x:c r="W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  <x:c r="V3806"/>
      <x:c r="W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  <x:c r="V3807"/>
      <x:c r="W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  <x:c r="V3808"/>
      <x:c r="W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  <x:c r="V3809"/>
      <x:c r="W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  <x:c r="V3810"/>
      <x:c r="W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  <x:c r="V3811"/>
      <x:c r="W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  <x:c r="V3812"/>
      <x:c r="W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  <x:c r="V3813"/>
      <x:c r="W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  <x:c r="V3814"/>
      <x:c r="W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  <x:c r="V3815"/>
      <x:c r="W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  <x:c r="V3816"/>
      <x:c r="W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  <x:c r="V3817"/>
      <x:c r="W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  <x:c r="V3818"/>
      <x:c r="W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  <x:c r="V3819"/>
      <x:c r="W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  <x:c r="V3820"/>
      <x:c r="W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  <x:c r="V3821"/>
      <x:c r="W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  <x:c r="V3822"/>
      <x:c r="W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  <x:c r="V3823"/>
      <x:c r="W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  <x:c r="V3824"/>
      <x:c r="W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  <x:c r="V3825"/>
      <x:c r="W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  <x:c r="V3826"/>
      <x:c r="W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  <x:c r="V3827"/>
      <x:c r="W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  <x:c r="V3828"/>
      <x:c r="W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  <x:c r="V3829"/>
      <x:c r="W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  <x:c r="V3830"/>
      <x:c r="W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  <x:c r="V3831"/>
      <x:c r="W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  <x:c r="V3832"/>
      <x:c r="W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  <x:c r="V3833"/>
      <x:c r="W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  <x:c r="V3834"/>
      <x:c r="W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  <x:c r="V3835"/>
      <x:c r="W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  <x:c r="V3836"/>
      <x:c r="W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  <x:c r="V3837"/>
      <x:c r="W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  <x:c r="V3838"/>
      <x:c r="W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  <x:c r="V3839"/>
      <x:c r="W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  <x:c r="V3840"/>
      <x:c r="W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  <x:c r="V3841"/>
      <x:c r="W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  <x:c r="V3842"/>
      <x:c r="W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  <x:c r="V3843"/>
      <x:c r="W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  <x:c r="V3844"/>
      <x:c r="W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  <x:c r="V3845"/>
      <x:c r="W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  <x:c r="V3846"/>
      <x:c r="W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  <x:c r="V3847"/>
      <x:c r="W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  <x:c r="V3848"/>
      <x:c r="W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  <x:c r="V3849"/>
      <x:c r="W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  <x:c r="V3850"/>
      <x:c r="W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  <x:c r="V3851"/>
      <x:c r="W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  <x:c r="V3852"/>
      <x:c r="W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  <x:c r="V3853"/>
      <x:c r="W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  <x:c r="V3854"/>
      <x:c r="W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  <x:c r="V3855"/>
      <x:c r="W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  <x:c r="V3856"/>
      <x:c r="W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  <x:c r="V3857"/>
      <x:c r="W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  <x:c r="V3858"/>
      <x:c r="W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  <x:c r="V3859"/>
      <x:c r="W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  <x:c r="V3860"/>
      <x:c r="W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  <x:c r="V3861"/>
      <x:c r="W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  <x:c r="V3862"/>
      <x:c r="W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  <x:c r="V3863"/>
      <x:c r="W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  <x:c r="V3864"/>
      <x:c r="W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  <x:c r="V3865"/>
      <x:c r="W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  <x:c r="V3866"/>
      <x:c r="W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  <x:c r="V3867"/>
      <x:c r="W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  <x:c r="V3868"/>
      <x:c r="W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  <x:c r="V3869"/>
      <x:c r="W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  <x:c r="V3870"/>
      <x:c r="W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  <x:c r="V3871"/>
      <x:c r="W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  <x:c r="V3872"/>
      <x:c r="W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  <x:c r="V3873"/>
      <x:c r="W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  <x:c r="V3874"/>
      <x:c r="W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  <x:c r="V3875"/>
      <x:c r="W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  <x:c r="V3876"/>
      <x:c r="W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  <x:c r="V3877"/>
      <x:c r="W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  <x:c r="V3878"/>
      <x:c r="W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  <x:c r="V3879"/>
      <x:c r="W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  <x:c r="V3880"/>
      <x:c r="W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  <x:c r="V3881"/>
      <x:c r="W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  <x:c r="V3882"/>
      <x:c r="W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  <x:c r="V3883"/>
      <x:c r="W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  <x:c r="V3884"/>
      <x:c r="W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  <x:c r="V3885"/>
      <x:c r="W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  <x:c r="V3886"/>
      <x:c r="W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  <x:c r="V3887"/>
      <x:c r="W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  <x:c r="V3888"/>
      <x:c r="W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  <x:c r="V3889"/>
      <x:c r="W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  <x:c r="V3890"/>
      <x:c r="W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  <x:c r="V3891"/>
      <x:c r="W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  <x:c r="V3892"/>
      <x:c r="W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  <x:c r="V3893"/>
      <x:c r="W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  <x:c r="V3894"/>
      <x:c r="W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  <x:c r="V3895"/>
      <x:c r="W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  <x:c r="V3896"/>
      <x:c r="W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  <x:c r="V3897"/>
      <x:c r="W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  <x:c r="V3898"/>
      <x:c r="W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  <x:c r="V3899"/>
      <x:c r="W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  <x:c r="V3900"/>
      <x:c r="W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  <x:c r="V3901"/>
      <x:c r="W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  <x:c r="V3902"/>
      <x:c r="W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  <x:c r="V3903"/>
      <x:c r="W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  <x:c r="V3904"/>
      <x:c r="W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  <x:c r="V3905"/>
      <x:c r="W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  <x:c r="V3906"/>
      <x:c r="W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  <x:c r="V3907"/>
      <x:c r="W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  <x:c r="V3908"/>
      <x:c r="W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  <x:c r="V3909"/>
      <x:c r="W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  <x:c r="V3910"/>
      <x:c r="W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  <x:c r="V3911"/>
      <x:c r="W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  <x:c r="V3912"/>
      <x:c r="W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  <x:c r="V3913"/>
      <x:c r="W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  <x:c r="V3914"/>
      <x:c r="W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  <x:c r="V3915"/>
      <x:c r="W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  <x:c r="V3916"/>
      <x:c r="W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  <x:c r="V3917"/>
      <x:c r="W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  <x:c r="V3918"/>
      <x:c r="W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  <x:c r="V3919"/>
      <x:c r="W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  <x:c r="V3920"/>
      <x:c r="W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  <x:c r="V3921"/>
      <x:c r="W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  <x:c r="V3922"/>
      <x:c r="W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  <x:c r="V3923"/>
      <x:c r="W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  <x:c r="V3924"/>
      <x:c r="W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  <x:c r="V3925"/>
      <x:c r="W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  <x:c r="V3926"/>
      <x:c r="W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  <x:c r="V3927"/>
      <x:c r="W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  <x:c r="V3928"/>
      <x:c r="W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  <x:c r="V3929"/>
      <x:c r="W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  <x:c r="V3930"/>
      <x:c r="W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  <x:c r="V3931"/>
      <x:c r="W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  <x:c r="V3932"/>
      <x:c r="W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  <x:c r="V3933"/>
      <x:c r="W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  <x:c r="V3934"/>
      <x:c r="W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  <x:c r="V3935"/>
      <x:c r="W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  <x:c r="V3936"/>
      <x:c r="W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  <x:c r="V3937"/>
      <x:c r="W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  <x:c r="V3938"/>
      <x:c r="W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  <x:c r="V3939"/>
      <x:c r="W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  <x:c r="V3940"/>
      <x:c r="W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  <x:c r="V3941"/>
      <x:c r="W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  <x:c r="V3942"/>
      <x:c r="W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  <x:c r="V3943"/>
      <x:c r="W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  <x:c r="V3944"/>
      <x:c r="W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  <x:c r="V3945"/>
      <x:c r="W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  <x:c r="V3946"/>
      <x:c r="W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  <x:c r="V3947"/>
      <x:c r="W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  <x:c r="V3948"/>
      <x:c r="W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  <x:c r="V3949"/>
      <x:c r="W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  <x:c r="V3950"/>
      <x:c r="W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  <x:c r="V3951"/>
      <x:c r="W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  <x:c r="V3952"/>
      <x:c r="W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  <x:c r="V3953"/>
      <x:c r="W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  <x:c r="V3954"/>
      <x:c r="W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  <x:c r="V3955"/>
      <x:c r="W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  <x:c r="V3956"/>
      <x:c r="W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  <x:c r="V3957"/>
      <x:c r="W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  <x:c r="V3958"/>
      <x:c r="W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  <x:c r="V3959"/>
      <x:c r="W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  <x:c r="V3960"/>
      <x:c r="W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  <x:c r="V3961"/>
      <x:c r="W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  <x:c r="V3962"/>
      <x:c r="W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  <x:c r="V3963"/>
      <x:c r="W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  <x:c r="V3964"/>
      <x:c r="W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  <x:c r="V3965"/>
      <x:c r="W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  <x:c r="V3966"/>
      <x:c r="W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  <x:c r="V3967"/>
      <x:c r="W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  <x:c r="V3968"/>
      <x:c r="W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  <x:c r="V3969"/>
      <x:c r="W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  <x:c r="V3970"/>
      <x:c r="W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  <x:c r="V3971"/>
      <x:c r="W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  <x:c r="V3972"/>
      <x:c r="W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  <x:c r="V3973"/>
      <x:c r="W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  <x:c r="V3974"/>
      <x:c r="W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  <x:c r="V3975"/>
      <x:c r="W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  <x:c r="V3976"/>
      <x:c r="W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  <x:c r="V3977"/>
      <x:c r="W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  <x:c r="V3978"/>
      <x:c r="W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  <x:c r="V3979"/>
      <x:c r="W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  <x:c r="V3980"/>
      <x:c r="W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  <x:c r="V3981"/>
      <x:c r="W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  <x:c r="V3982"/>
      <x:c r="W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  <x:c r="V3983"/>
      <x:c r="W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  <x:c r="V3984"/>
      <x:c r="W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  <x:c r="V3985"/>
      <x:c r="W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  <x:c r="V3986"/>
      <x:c r="W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  <x:c r="V3987"/>
      <x:c r="W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  <x:c r="V3988"/>
      <x:c r="W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  <x:c r="V3989"/>
      <x:c r="W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  <x:c r="V3990"/>
      <x:c r="W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  <x:c r="V3991"/>
      <x:c r="W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  <x:c r="V3992"/>
      <x:c r="W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  <x:c r="V3993"/>
      <x:c r="W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  <x:c r="V3994"/>
      <x:c r="W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  <x:c r="V3995"/>
      <x:c r="W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  <x:c r="V3996"/>
      <x:c r="W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  <x:c r="V3997"/>
      <x:c r="W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  <x:c r="V3998"/>
      <x:c r="W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  <x:c r="V3999"/>
      <x:c r="W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  <x:c r="V4000"/>
      <x:c r="W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  <x:c r="V4001"/>
      <x:c r="W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  <x:c r="V4002"/>
      <x:c r="W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  <x:c r="V4003"/>
      <x:c r="W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  <x:c r="V4004"/>
      <x:c r="W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  <x:c r="V4005"/>
      <x:c r="W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  <x:c r="V4006"/>
      <x:c r="W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  <x:c r="V4007"/>
      <x:c r="W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  <x:c r="V4008"/>
      <x:c r="W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  <x:c r="V4009"/>
      <x:c r="W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  <x:c r="V4010"/>
      <x:c r="W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  <x:c r="V4011"/>
      <x:c r="W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  <x:c r="V4012"/>
      <x:c r="W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  <x:c r="V4013"/>
      <x:c r="W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  <x:c r="V4014"/>
      <x:c r="W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  <x:c r="V4015"/>
      <x:c r="W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  <x:c r="V4016"/>
      <x:c r="W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  <x:c r="V4017"/>
      <x:c r="W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  <x:c r="V4018"/>
      <x:c r="W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  <x:c r="V4019"/>
      <x:c r="W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  <x:c r="V4020"/>
      <x:c r="W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  <x:c r="V4021"/>
      <x:c r="W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  <x:c r="V4022"/>
      <x:c r="W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  <x:c r="V4023"/>
      <x:c r="W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  <x:c r="V4024"/>
      <x:c r="W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  <x:c r="V4025"/>
      <x:c r="W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  <x:c r="V4026"/>
      <x:c r="W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  <x:c r="V4027"/>
      <x:c r="W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  <x:c r="V4028"/>
      <x:c r="W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  <x:c r="V4029"/>
      <x:c r="W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  <x:c r="V4030"/>
      <x:c r="W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  <x:c r="V4031"/>
      <x:c r="W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  <x:c r="V4032"/>
      <x:c r="W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  <x:c r="V4033"/>
      <x:c r="W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  <x:c r="V4034"/>
      <x:c r="W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  <x:c r="V4035"/>
      <x:c r="W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  <x:c r="V4036"/>
      <x:c r="W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  <x:c r="V4037"/>
      <x:c r="W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  <x:c r="V4038"/>
      <x:c r="W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  <x:c r="V4039"/>
      <x:c r="W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  <x:c r="V4040"/>
      <x:c r="W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  <x:c r="V4041"/>
      <x:c r="W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  <x:c r="V4042"/>
      <x:c r="W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  <x:c r="V4043"/>
      <x:c r="W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  <x:c r="V4044"/>
      <x:c r="W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  <x:c r="V4045"/>
      <x:c r="W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  <x:c r="V4046"/>
      <x:c r="W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  <x:c r="V4047"/>
      <x:c r="W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  <x:c r="V4048"/>
      <x:c r="W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  <x:c r="V4049"/>
      <x:c r="W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  <x:c r="V4050"/>
      <x:c r="W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  <x:c r="V4051"/>
      <x:c r="W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  <x:c r="V4052"/>
      <x:c r="W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  <x:c r="V4053"/>
      <x:c r="W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  <x:c r="V4054"/>
      <x:c r="W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  <x:c r="V4055"/>
      <x:c r="W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  <x:c r="V4056"/>
      <x:c r="W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  <x:c r="V4057"/>
      <x:c r="W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  <x:c r="V4058"/>
      <x:c r="W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  <x:c r="V4059"/>
      <x:c r="W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  <x:c r="V4060"/>
      <x:c r="W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  <x:c r="V4061"/>
      <x:c r="W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  <x:c r="V4062"/>
      <x:c r="W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  <x:c r="V4063"/>
      <x:c r="W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  <x:c r="V4064"/>
      <x:c r="W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  <x:c r="V4065"/>
      <x:c r="W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  <x:c r="V4066"/>
      <x:c r="W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  <x:c r="V4067"/>
      <x:c r="W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  <x:c r="V4068"/>
      <x:c r="W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  <x:c r="V4069"/>
      <x:c r="W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  <x:c r="V4070"/>
      <x:c r="W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  <x:c r="V4071"/>
      <x:c r="W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  <x:c r="V4072"/>
      <x:c r="W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  <x:c r="V4073"/>
      <x:c r="W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  <x:c r="V4074"/>
      <x:c r="W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  <x:c r="V4075"/>
      <x:c r="W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  <x:c r="V4076"/>
      <x:c r="W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  <x:c r="V4077"/>
      <x:c r="W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  <x:c r="V4078"/>
      <x:c r="W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  <x:c r="V4079"/>
      <x:c r="W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  <x:c r="V4080"/>
      <x:c r="W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  <x:c r="V4081"/>
      <x:c r="W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  <x:c r="V4082"/>
      <x:c r="W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  <x:c r="V4083"/>
      <x:c r="W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  <x:c r="V4084"/>
      <x:c r="W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  <x:c r="V4085"/>
      <x:c r="W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  <x:c r="V4086"/>
      <x:c r="W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  <x:c r="V4087"/>
      <x:c r="W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  <x:c r="V4088"/>
      <x:c r="W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  <x:c r="V4089"/>
      <x:c r="W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  <x:c r="V4090"/>
      <x:c r="W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  <x:c r="V4091"/>
      <x:c r="W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  <x:c r="V4092"/>
      <x:c r="W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  <x:c r="V4093"/>
      <x:c r="W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  <x:c r="V4094"/>
      <x:c r="W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  <x:c r="V4095"/>
      <x:c r="W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  <x:c r="V4096"/>
      <x:c r="W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  <x:c r="V4097"/>
      <x:c r="W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  <x:c r="V4098"/>
      <x:c r="W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  <x:c r="V4099"/>
      <x:c r="W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  <x:c r="V4100"/>
      <x:c r="W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  <x:c r="V4101"/>
      <x:c r="W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  <x:c r="V4102"/>
      <x:c r="W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  <x:c r="V4103"/>
      <x:c r="W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  <x:c r="V4104"/>
      <x:c r="W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  <x:c r="V4105"/>
      <x:c r="W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  <x:c r="V4106"/>
      <x:c r="W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  <x:c r="V4107"/>
      <x:c r="W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  <x:c r="V4108"/>
      <x:c r="W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  <x:c r="V4109"/>
      <x:c r="W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  <x:c r="V4110"/>
      <x:c r="W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  <x:c r="V4111"/>
      <x:c r="W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  <x:c r="V4112"/>
      <x:c r="W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  <x:c r="V4113"/>
      <x:c r="W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  <x:c r="V4114"/>
      <x:c r="W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  <x:c r="V4115"/>
      <x:c r="W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  <x:c r="V4116"/>
      <x:c r="W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  <x:c r="V4117"/>
      <x:c r="W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  <x:c r="V4118"/>
      <x:c r="W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  <x:c r="V4119"/>
      <x:c r="W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  <x:c r="V4120"/>
      <x:c r="W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  <x:c r="V4121"/>
      <x:c r="W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  <x:c r="V4122"/>
      <x:c r="W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  <x:c r="V4123"/>
      <x:c r="W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  <x:c r="V4124"/>
      <x:c r="W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  <x:c r="V4125"/>
      <x:c r="W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  <x:c r="V4126"/>
      <x:c r="W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  <x:c r="V4127"/>
      <x:c r="W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  <x:c r="V4128"/>
      <x:c r="W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  <x:c r="V4129"/>
      <x:c r="W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  <x:c r="V4130"/>
      <x:c r="W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  <x:c r="V4131"/>
      <x:c r="W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  <x:c r="V4132"/>
      <x:c r="W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  <x:c r="V4133"/>
      <x:c r="W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  <x:c r="V4134"/>
      <x:c r="W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  <x:c r="V4135"/>
      <x:c r="W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  <x:c r="V4136"/>
      <x:c r="W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  <x:c r="V4137"/>
      <x:c r="W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  <x:c r="V4138"/>
      <x:c r="W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  <x:c r="V4139"/>
      <x:c r="W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  <x:c r="V4140"/>
      <x:c r="W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  <x:c r="V4141"/>
      <x:c r="W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  <x:c r="V4142"/>
      <x:c r="W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  <x:c r="V4143"/>
      <x:c r="W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  <x:c r="V4144"/>
      <x:c r="W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  <x:c r="V4145"/>
      <x:c r="W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  <x:c r="V4146"/>
      <x:c r="W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  <x:c r="V4147"/>
      <x:c r="W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  <x:c r="V4148"/>
      <x:c r="W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  <x:c r="V4149"/>
      <x:c r="W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  <x:c r="V4150"/>
      <x:c r="W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  <x:c r="V4151"/>
      <x:c r="W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  <x:c r="V4152"/>
      <x:c r="W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  <x:c r="V4153"/>
      <x:c r="W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  <x:c r="V4154"/>
      <x:c r="W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  <x:c r="V4155"/>
      <x:c r="W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  <x:c r="V4156"/>
      <x:c r="W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  <x:c r="V4157"/>
      <x:c r="W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  <x:c r="V4158"/>
      <x:c r="W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  <x:c r="V4159"/>
      <x:c r="W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  <x:c r="V4160"/>
      <x:c r="W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  <x:c r="V4161"/>
      <x:c r="W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  <x:c r="V4162"/>
      <x:c r="W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  <x:c r="V4163"/>
      <x:c r="W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  <x:c r="V4164"/>
      <x:c r="W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  <x:c r="V4165"/>
      <x:c r="W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  <x:c r="V4166"/>
      <x:c r="W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  <x:c r="V4167"/>
      <x:c r="W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  <x:c r="V4168"/>
      <x:c r="W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  <x:c r="V4169"/>
      <x:c r="W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  <x:c r="V4170"/>
      <x:c r="W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  <x:c r="V4171"/>
      <x:c r="W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  <x:c r="V4172"/>
      <x:c r="W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  <x:c r="V4173"/>
      <x:c r="W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  <x:c r="V4174"/>
      <x:c r="W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  <x:c r="V4175"/>
      <x:c r="W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  <x:c r="V4176"/>
      <x:c r="W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  <x:c r="V4177"/>
      <x:c r="W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  <x:c r="V4178"/>
      <x:c r="W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  <x:c r="V4179"/>
      <x:c r="W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  <x:c r="V4180"/>
      <x:c r="W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  <x:c r="V4181"/>
      <x:c r="W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  <x:c r="V4182"/>
      <x:c r="W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  <x:c r="V4183"/>
      <x:c r="W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  <x:c r="V4184"/>
      <x:c r="W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  <x:c r="V4185"/>
      <x:c r="W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  <x:c r="V4186"/>
      <x:c r="W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  <x:c r="V4187"/>
      <x:c r="W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  <x:c r="V4188"/>
      <x:c r="W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  <x:c r="V4189"/>
      <x:c r="W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  <x:c r="V4190"/>
      <x:c r="W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  <x:c r="V4191"/>
      <x:c r="W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  <x:c r="V4192"/>
      <x:c r="W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  <x:c r="V4193"/>
      <x:c r="W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  <x:c r="V4194"/>
      <x:c r="W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  <x:c r="V4195"/>
      <x:c r="W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  <x:c r="V4196"/>
      <x:c r="W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  <x:c r="V4197"/>
      <x:c r="W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  <x:c r="V4198"/>
      <x:c r="W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  <x:c r="V4199"/>
      <x:c r="W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  <x:c r="V4200"/>
      <x:c r="W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  <x:c r="V4201"/>
      <x:c r="W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  <x:c r="V4202"/>
      <x:c r="W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  <x:c r="V4203"/>
      <x:c r="W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  <x:c r="V4204"/>
      <x:c r="W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  <x:c r="V4205"/>
      <x:c r="W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  <x:c r="V4206"/>
      <x:c r="W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  <x:c r="V4207"/>
      <x:c r="W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  <x:c r="V4208"/>
      <x:c r="W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  <x:c r="V4209"/>
      <x:c r="W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  <x:c r="V4210"/>
      <x:c r="W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  <x:c r="V4211"/>
      <x:c r="W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  <x:c r="V4212"/>
      <x:c r="W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  <x:c r="V4213"/>
      <x:c r="W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  <x:c r="V4214"/>
      <x:c r="W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  <x:c r="V4215"/>
      <x:c r="W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  <x:c r="V4216"/>
      <x:c r="W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  <x:c r="V4217"/>
      <x:c r="W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  <x:c r="V4218"/>
      <x:c r="W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  <x:c r="V4219"/>
      <x:c r="W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  <x:c r="V4220"/>
      <x:c r="W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  <x:c r="V4221"/>
      <x:c r="W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  <x:c r="V4222"/>
      <x:c r="W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  <x:c r="V4223"/>
      <x:c r="W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  <x:c r="V4224"/>
      <x:c r="W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  <x:c r="V4225"/>
      <x:c r="W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  <x:c r="V4226"/>
      <x:c r="W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  <x:c r="V4227"/>
      <x:c r="W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  <x:c r="V4228"/>
      <x:c r="W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  <x:c r="V4229"/>
      <x:c r="W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  <x:c r="V4230"/>
      <x:c r="W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  <x:c r="V4231"/>
      <x:c r="W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  <x:c r="V4232"/>
      <x:c r="W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  <x:c r="V4233"/>
      <x:c r="W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  <x:c r="V4234"/>
      <x:c r="W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  <x:c r="V4235"/>
      <x:c r="W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  <x:c r="V4236"/>
      <x:c r="W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  <x:c r="V4237"/>
      <x:c r="W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  <x:c r="V4238"/>
      <x:c r="W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  <x:c r="V4239"/>
      <x:c r="W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  <x:c r="V4240"/>
      <x:c r="W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  <x:c r="V4241"/>
      <x:c r="W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  <x:c r="V4242"/>
      <x:c r="W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  <x:c r="V4243"/>
      <x:c r="W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  <x:c r="V4244"/>
      <x:c r="W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  <x:c r="V4245"/>
      <x:c r="W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  <x:c r="V4246"/>
      <x:c r="W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  <x:c r="V4247"/>
      <x:c r="W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  <x:c r="V4248"/>
      <x:c r="W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  <x:c r="V4249"/>
      <x:c r="W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  <x:c r="V4250"/>
      <x:c r="W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  <x:c r="V4251"/>
      <x:c r="W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  <x:c r="V4252"/>
      <x:c r="W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  <x:c r="V4253"/>
      <x:c r="W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  <x:c r="V4254"/>
      <x:c r="W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  <x:c r="V4255"/>
      <x:c r="W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  <x:c r="V4256"/>
      <x:c r="W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  <x:c r="V4257"/>
      <x:c r="W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  <x:c r="V4258"/>
      <x:c r="W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  <x:c r="V4259"/>
      <x:c r="W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  <x:c r="V4260"/>
      <x:c r="W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  <x:c r="V4261"/>
      <x:c r="W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  <x:c r="V4262"/>
      <x:c r="W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  <x:c r="V4263"/>
      <x:c r="W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  <x:c r="V4264"/>
      <x:c r="W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  <x:c r="V4265"/>
      <x:c r="W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  <x:c r="V4266"/>
      <x:c r="W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  <x:c r="V4267"/>
      <x:c r="W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  <x:c r="V4268"/>
      <x:c r="W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  <x:c r="V4269"/>
      <x:c r="W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  <x:c r="V4270"/>
      <x:c r="W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  <x:c r="V4271"/>
      <x:c r="W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  <x:c r="V4272"/>
      <x:c r="W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  <x:c r="V4273"/>
      <x:c r="W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  <x:c r="V4274"/>
      <x:c r="W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  <x:c r="V4275"/>
      <x:c r="W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  <x:c r="V4276"/>
      <x:c r="W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  <x:c r="V4277"/>
      <x:c r="W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  <x:c r="V4278"/>
      <x:c r="W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  <x:c r="V4279"/>
      <x:c r="W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  <x:c r="V4280"/>
      <x:c r="W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  <x:c r="V4281"/>
      <x:c r="W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  <x:c r="V4282"/>
      <x:c r="W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  <x:c r="V4283"/>
      <x:c r="W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  <x:c r="V4284"/>
      <x:c r="W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  <x:c r="V4285"/>
      <x:c r="W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  <x:c r="V4286"/>
      <x:c r="W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  <x:c r="V4287"/>
      <x:c r="W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  <x:c r="V4288"/>
      <x:c r="W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  <x:c r="V4289"/>
      <x:c r="W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  <x:c r="V4290"/>
      <x:c r="W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  <x:c r="V4291"/>
      <x:c r="W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  <x:c r="V4292"/>
      <x:c r="W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  <x:c r="V4293"/>
      <x:c r="W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  <x:c r="V4294"/>
      <x:c r="W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  <x:c r="V4295"/>
      <x:c r="W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  <x:c r="V4296"/>
      <x:c r="W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  <x:c r="V4297"/>
      <x:c r="W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  <x:c r="V4298"/>
      <x:c r="W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  <x:c r="V4299"/>
      <x:c r="W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  <x:c r="V4300"/>
      <x:c r="W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  <x:c r="V4301"/>
      <x:c r="W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  <x:c r="V4302"/>
      <x:c r="W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  <x:c r="V4303"/>
      <x:c r="W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  <x:c r="V4304"/>
      <x:c r="W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  <x:c r="V4305"/>
      <x:c r="W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  <x:c r="V4306"/>
      <x:c r="W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  <x:c r="V4307"/>
      <x:c r="W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  <x:c r="V4308"/>
      <x:c r="W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  <x:c r="V4309"/>
      <x:c r="W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  <x:c r="V4310"/>
      <x:c r="W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  <x:c r="V4311"/>
      <x:c r="W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  <x:c r="V4312"/>
      <x:c r="W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  <x:c r="V4313"/>
      <x:c r="W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  <x:c r="V4314"/>
      <x:c r="W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  <x:c r="V4315"/>
      <x:c r="W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  <x:c r="V4316"/>
      <x:c r="W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  <x:c r="V4317"/>
      <x:c r="W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  <x:c r="V4318"/>
      <x:c r="W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  <x:c r="V4319"/>
      <x:c r="W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  <x:c r="V4320"/>
      <x:c r="W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  <x:c r="V4321"/>
      <x:c r="W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  <x:c r="V4322"/>
      <x:c r="W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  <x:c r="V4323"/>
      <x:c r="W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  <x:c r="V4324"/>
      <x:c r="W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  <x:c r="V4325"/>
      <x:c r="W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  <x:c r="V4326"/>
      <x:c r="W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  <x:c r="V4327"/>
      <x:c r="W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  <x:c r="V4328"/>
      <x:c r="W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  <x:c r="V4329"/>
      <x:c r="W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  <x:c r="V4330"/>
      <x:c r="W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  <x:c r="V4331"/>
      <x:c r="W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  <x:c r="V4332"/>
      <x:c r="W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  <x:c r="V4333"/>
      <x:c r="W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  <x:c r="V4334"/>
      <x:c r="W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  <x:c r="V4335"/>
      <x:c r="W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  <x:c r="V4336"/>
      <x:c r="W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  <x:c r="V4337"/>
      <x:c r="W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  <x:c r="V4338"/>
      <x:c r="W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  <x:c r="V4339"/>
      <x:c r="W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  <x:c r="V4340"/>
      <x:c r="W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  <x:c r="V4341"/>
      <x:c r="W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  <x:c r="V4342"/>
      <x:c r="W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  <x:c r="V4343"/>
      <x:c r="W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  <x:c r="V4344"/>
      <x:c r="W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  <x:c r="V4345"/>
      <x:c r="W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  <x:c r="V4346"/>
      <x:c r="W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  <x:c r="V4347"/>
      <x:c r="W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  <x:c r="V4348"/>
      <x:c r="W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  <x:c r="V4349"/>
      <x:c r="W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  <x:c r="V4350"/>
      <x:c r="W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  <x:c r="V4351"/>
      <x:c r="W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  <x:c r="V4352"/>
      <x:c r="W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  <x:c r="V4353"/>
      <x:c r="W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  <x:c r="V4354"/>
      <x:c r="W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  <x:c r="V4355"/>
      <x:c r="W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  <x:c r="V4356"/>
      <x:c r="W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  <x:c r="V4357"/>
      <x:c r="W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  <x:c r="V4358"/>
      <x:c r="W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  <x:c r="V4359"/>
      <x:c r="W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  <x:c r="V4360"/>
      <x:c r="W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  <x:c r="V4361"/>
      <x:c r="W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  <x:c r="V4362"/>
      <x:c r="W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  <x:c r="V4363"/>
      <x:c r="W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  <x:c r="V4364"/>
      <x:c r="W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  <x:c r="V4365"/>
      <x:c r="W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  <x:c r="V4366"/>
      <x:c r="W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  <x:c r="V4367"/>
      <x:c r="W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  <x:c r="V4368"/>
      <x:c r="W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  <x:c r="V4369"/>
      <x:c r="W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  <x:c r="V4370"/>
      <x:c r="W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  <x:c r="V4371"/>
      <x:c r="W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  <x:c r="V4372"/>
      <x:c r="W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  <x:c r="V4373"/>
      <x:c r="W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  <x:c r="V4374"/>
      <x:c r="W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  <x:c r="V4375"/>
      <x:c r="W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  <x:c r="V4376"/>
      <x:c r="W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  <x:c r="V4377"/>
      <x:c r="W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  <x:c r="V4378"/>
      <x:c r="W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  <x:c r="V4379"/>
      <x:c r="W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  <x:c r="V4380"/>
      <x:c r="W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  <x:c r="V4381"/>
      <x:c r="W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  <x:c r="V4382"/>
      <x:c r="W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  <x:c r="V4383"/>
      <x:c r="W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  <x:c r="V4384"/>
      <x:c r="W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  <x:c r="V4385"/>
      <x:c r="W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  <x:c r="V4386"/>
      <x:c r="W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  <x:c r="V4387"/>
      <x:c r="W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  <x:c r="V4388"/>
      <x:c r="W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  <x:c r="V4389"/>
      <x:c r="W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  <x:c r="V4390"/>
      <x:c r="W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  <x:c r="V4391"/>
      <x:c r="W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  <x:c r="V4392"/>
      <x:c r="W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  <x:c r="V4393"/>
      <x:c r="W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  <x:c r="V4394"/>
      <x:c r="W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  <x:c r="V4395"/>
      <x:c r="W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  <x:c r="V4396"/>
      <x:c r="W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  <x:c r="V4397"/>
      <x:c r="W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  <x:c r="V4398"/>
      <x:c r="W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  <x:c r="V4399"/>
      <x:c r="W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  <x:c r="V4400"/>
      <x:c r="W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  <x:c r="V4401"/>
      <x:c r="W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  <x:c r="V4402"/>
      <x:c r="W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  <x:c r="V4403"/>
      <x:c r="W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  <x:c r="V4404"/>
      <x:c r="W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  <x:c r="V4405"/>
      <x:c r="W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  <x:c r="V4406"/>
      <x:c r="W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  <x:c r="V4407"/>
      <x:c r="W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  <x:c r="V4408"/>
      <x:c r="W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  <x:c r="V4409"/>
      <x:c r="W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  <x:c r="V4410"/>
      <x:c r="W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  <x:c r="V4411"/>
      <x:c r="W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  <x:c r="V4412"/>
      <x:c r="W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  <x:c r="V4413"/>
      <x:c r="W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  <x:c r="V4414"/>
      <x:c r="W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  <x:c r="V4415"/>
      <x:c r="W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  <x:c r="V4416"/>
      <x:c r="W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  <x:c r="V4417"/>
      <x:c r="W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  <x:c r="V4418"/>
      <x:c r="W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  <x:c r="V4419"/>
      <x:c r="W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  <x:c r="V4420"/>
      <x:c r="W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  <x:c r="V4421"/>
      <x:c r="W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  <x:c r="V4422"/>
      <x:c r="W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  <x:c r="V4423"/>
      <x:c r="W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  <x:c r="V4424"/>
      <x:c r="W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  <x:c r="V4425"/>
      <x:c r="W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  <x:c r="V4426"/>
      <x:c r="W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  <x:c r="V4427"/>
      <x:c r="W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  <x:c r="V4428"/>
      <x:c r="W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  <x:c r="V4429"/>
      <x:c r="W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  <x:c r="V4430"/>
      <x:c r="W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  <x:c r="V4431"/>
      <x:c r="W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  <x:c r="V4432"/>
      <x:c r="W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  <x:c r="V4433"/>
      <x:c r="W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  <x:c r="V4434"/>
      <x:c r="W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  <x:c r="V4435"/>
      <x:c r="W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  <x:c r="V4436"/>
      <x:c r="W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  <x:c r="V4437"/>
      <x:c r="W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  <x:c r="V4438"/>
      <x:c r="W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  <x:c r="V4439"/>
      <x:c r="W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  <x:c r="V4440"/>
      <x:c r="W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  <x:c r="V4441"/>
      <x:c r="W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  <x:c r="V4442"/>
      <x:c r="W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  <x:c r="V4443"/>
      <x:c r="W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  <x:c r="V4444"/>
      <x:c r="W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  <x:c r="V4445"/>
      <x:c r="W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  <x:c r="V4446"/>
      <x:c r="W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  <x:c r="V4447"/>
      <x:c r="W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  <x:c r="V4448"/>
      <x:c r="W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  <x:c r="V4449"/>
      <x:c r="W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  <x:c r="V4450"/>
      <x:c r="W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  <x:c r="V4451"/>
      <x:c r="W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  <x:c r="V4452"/>
      <x:c r="W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  <x:c r="V4453"/>
      <x:c r="W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  <x:c r="V4454"/>
      <x:c r="W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  <x:c r="V4455"/>
      <x:c r="W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  <x:c r="V4456"/>
      <x:c r="W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  <x:c r="V4457"/>
      <x:c r="W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  <x:c r="V4458"/>
      <x:c r="W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  <x:c r="V4459"/>
      <x:c r="W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  <x:c r="V4460"/>
      <x:c r="W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  <x:c r="V4461"/>
      <x:c r="W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  <x:c r="V4462"/>
      <x:c r="W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  <x:c r="V4463"/>
      <x:c r="W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  <x:c r="V4464"/>
      <x:c r="W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  <x:c r="V4465"/>
      <x:c r="W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  <x:c r="V4466"/>
      <x:c r="W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  <x:c r="V4467"/>
      <x:c r="W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  <x:c r="V4468"/>
      <x:c r="W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  <x:c r="V4469"/>
      <x:c r="W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  <x:c r="V4470"/>
      <x:c r="W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  <x:c r="V4471"/>
      <x:c r="W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  <x:c r="V4472"/>
      <x:c r="W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  <x:c r="V4473"/>
      <x:c r="W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  <x:c r="V4474"/>
      <x:c r="W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  <x:c r="V4475"/>
      <x:c r="W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  <x:c r="V4476"/>
      <x:c r="W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  <x:c r="V4477"/>
      <x:c r="W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  <x:c r="V4478"/>
      <x:c r="W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  <x:c r="V4479"/>
      <x:c r="W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  <x:c r="V4480"/>
      <x:c r="W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  <x:c r="V4481"/>
      <x:c r="W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  <x:c r="V4482"/>
      <x:c r="W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  <x:c r="V4483"/>
      <x:c r="W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  <x:c r="V4484"/>
      <x:c r="W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  <x:c r="V4485"/>
      <x:c r="W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  <x:c r="V4486"/>
      <x:c r="W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  <x:c r="V4487"/>
      <x:c r="W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  <x:c r="V4488"/>
      <x:c r="W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  <x:c r="V4489"/>
      <x:c r="W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  <x:c r="V4490"/>
      <x:c r="W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  <x:c r="V4491"/>
      <x:c r="W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  <x:c r="V4492"/>
      <x:c r="W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  <x:c r="V4493"/>
      <x:c r="W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  <x:c r="V4494"/>
      <x:c r="W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  <x:c r="V4495"/>
      <x:c r="W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  <x:c r="V4496"/>
      <x:c r="W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  <x:c r="V4497"/>
      <x:c r="W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  <x:c r="V4498"/>
      <x:c r="W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  <x:c r="V4499"/>
      <x:c r="W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  <x:c r="V4500"/>
      <x:c r="W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  <x:c r="V4501"/>
      <x:c r="W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  <x:c r="V4502"/>
      <x:c r="W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  <x:c r="V4503"/>
      <x:c r="W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  <x:c r="V4504"/>
      <x:c r="W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  <x:c r="V4505"/>
      <x:c r="W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  <x:c r="V4506"/>
      <x:c r="W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  <x:c r="V4507"/>
      <x:c r="W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  <x:c r="V4508"/>
      <x:c r="W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  <x:c r="V4509"/>
      <x:c r="W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  <x:c r="V4510"/>
      <x:c r="W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  <x:c r="V4511"/>
      <x:c r="W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  <x:c r="V4512"/>
      <x:c r="W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  <x:c r="V4513"/>
      <x:c r="W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  <x:c r="V4514"/>
      <x:c r="W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  <x:c r="V4515"/>
      <x:c r="W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  <x:c r="V4516"/>
      <x:c r="W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  <x:c r="V4517"/>
      <x:c r="W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  <x:c r="V4518"/>
      <x:c r="W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  <x:c r="V4519"/>
      <x:c r="W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  <x:c r="V4520"/>
      <x:c r="W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  <x:c r="V4521"/>
      <x:c r="W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  <x:c r="V4522"/>
      <x:c r="W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  <x:c r="V4523"/>
      <x:c r="W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  <x:c r="V4524"/>
      <x:c r="W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  <x:c r="V4525"/>
      <x:c r="W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  <x:c r="V4526"/>
      <x:c r="W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  <x:c r="V4527"/>
      <x:c r="W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  <x:c r="V4528"/>
      <x:c r="W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  <x:c r="V4529"/>
      <x:c r="W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  <x:c r="V4530"/>
      <x:c r="W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  <x:c r="V4531"/>
      <x:c r="W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  <x:c r="V4532"/>
      <x:c r="W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  <x:c r="V4533"/>
      <x:c r="W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  <x:c r="V4534"/>
      <x:c r="W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  <x:c r="V4535"/>
      <x:c r="W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  <x:c r="V4536"/>
      <x:c r="W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  <x:c r="V4537"/>
      <x:c r="W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  <x:c r="V4538"/>
      <x:c r="W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  <x:c r="V4539"/>
      <x:c r="W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  <x:c r="V4540"/>
      <x:c r="W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  <x:c r="V4541"/>
      <x:c r="W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  <x:c r="V4542"/>
      <x:c r="W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  <x:c r="V4543"/>
      <x:c r="W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  <x:c r="V4544"/>
      <x:c r="W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  <x:c r="V4545"/>
      <x:c r="W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  <x:c r="V4546"/>
      <x:c r="W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  <x:c r="V4547"/>
      <x:c r="W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  <x:c r="V4548"/>
      <x:c r="W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  <x:c r="V4549"/>
      <x:c r="W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  <x:c r="V4550"/>
      <x:c r="W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  <x:c r="V4551"/>
      <x:c r="W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  <x:c r="V4552"/>
      <x:c r="W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  <x:c r="V4553"/>
      <x:c r="W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  <x:c r="V4554"/>
      <x:c r="W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  <x:c r="V4555"/>
      <x:c r="W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  <x:c r="V4556"/>
      <x:c r="W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  <x:c r="V4557"/>
      <x:c r="W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  <x:c r="V4558"/>
      <x:c r="W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  <x:c r="V4559"/>
      <x:c r="W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  <x:c r="V4560"/>
      <x:c r="W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  <x:c r="V4561"/>
      <x:c r="W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  <x:c r="V4562"/>
      <x:c r="W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  <x:c r="V4563"/>
      <x:c r="W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  <x:c r="V4564"/>
      <x:c r="W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  <x:c r="V4565"/>
      <x:c r="W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  <x:c r="V4566"/>
      <x:c r="W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  <x:c r="V4567"/>
      <x:c r="W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  <x:c r="V4568"/>
      <x:c r="W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  <x:c r="V4569"/>
      <x:c r="W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  <x:c r="V4570"/>
      <x:c r="W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  <x:c r="V4571"/>
      <x:c r="W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  <x:c r="V4572"/>
      <x:c r="W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  <x:c r="V4573"/>
      <x:c r="W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  <x:c r="V4574"/>
      <x:c r="W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  <x:c r="V4575"/>
      <x:c r="W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  <x:c r="V4576"/>
      <x:c r="W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  <x:c r="V4577"/>
      <x:c r="W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  <x:c r="V4578"/>
      <x:c r="W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  <x:c r="V4579"/>
      <x:c r="W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  <x:c r="V4580"/>
      <x:c r="W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  <x:c r="V4581"/>
      <x:c r="W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  <x:c r="V4582"/>
      <x:c r="W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  <x:c r="V4583"/>
      <x:c r="W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  <x:c r="V4584"/>
      <x:c r="W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  <x:c r="V4585"/>
      <x:c r="W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  <x:c r="V4586"/>
      <x:c r="W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  <x:c r="V4587"/>
      <x:c r="W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  <x:c r="V4588"/>
      <x:c r="W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  <x:c r="V4589"/>
      <x:c r="W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  <x:c r="V4590"/>
      <x:c r="W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  <x:c r="V4591"/>
      <x:c r="W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  <x:c r="V4592"/>
      <x:c r="W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  <x:c r="V4593"/>
      <x:c r="W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  <x:c r="V4594"/>
      <x:c r="W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  <x:c r="V4595"/>
      <x:c r="W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  <x:c r="V4596"/>
      <x:c r="W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  <x:c r="V4597"/>
      <x:c r="W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  <x:c r="V4598"/>
      <x:c r="W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  <x:c r="V4599"/>
      <x:c r="W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  <x:c r="V4600"/>
      <x:c r="W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  <x:c r="V4601"/>
      <x:c r="W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  <x:c r="V4602"/>
      <x:c r="W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  <x:c r="V4603"/>
      <x:c r="W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  <x:c r="V4604"/>
      <x:c r="W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  <x:c r="V4605"/>
      <x:c r="W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  <x:c r="V4606"/>
      <x:c r="W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  <x:c r="V4607"/>
      <x:c r="W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  <x:c r="V4608"/>
      <x:c r="W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  <x:c r="V4609"/>
      <x:c r="W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  <x:c r="V4610"/>
      <x:c r="W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  <x:c r="V4611"/>
      <x:c r="W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  <x:c r="V4612"/>
      <x:c r="W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  <x:c r="V4613"/>
      <x:c r="W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  <x:c r="V4614"/>
      <x:c r="W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  <x:c r="V4615"/>
      <x:c r="W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  <x:c r="V4616"/>
      <x:c r="W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  <x:c r="V4617"/>
      <x:c r="W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  <x:c r="V4618"/>
      <x:c r="W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  <x:c r="V4619"/>
      <x:c r="W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  <x:c r="V4620"/>
      <x:c r="W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  <x:c r="V4621"/>
      <x:c r="W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  <x:c r="V4622"/>
      <x:c r="W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  <x:c r="V4623"/>
      <x:c r="W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  <x:c r="V4624"/>
      <x:c r="W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  <x:c r="V4625"/>
      <x:c r="W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  <x:c r="V4626"/>
      <x:c r="W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  <x:c r="V4627"/>
      <x:c r="W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  <x:c r="V4628"/>
      <x:c r="W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  <x:c r="V4629"/>
      <x:c r="W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  <x:c r="V4630"/>
      <x:c r="W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  <x:c r="V4631"/>
      <x:c r="W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  <x:c r="V4632"/>
      <x:c r="W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  <x:c r="V4633"/>
      <x:c r="W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  <x:c r="V4634"/>
      <x:c r="W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  <x:c r="V4635"/>
      <x:c r="W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  <x:c r="V4636"/>
      <x:c r="W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  <x:c r="V4637"/>
      <x:c r="W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  <x:c r="V4638"/>
      <x:c r="W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  <x:c r="V4639"/>
      <x:c r="W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  <x:c r="V4640"/>
      <x:c r="W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  <x:c r="V4641"/>
      <x:c r="W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  <x:c r="V4642"/>
      <x:c r="W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  <x:c r="V4643"/>
      <x:c r="W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  <x:c r="V4644"/>
      <x:c r="W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  <x:c r="V4645"/>
      <x:c r="W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  <x:c r="V4646"/>
      <x:c r="W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  <x:c r="V4647"/>
      <x:c r="W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  <x:c r="V4648"/>
      <x:c r="W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  <x:c r="V4649"/>
      <x:c r="W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  <x:c r="V4650"/>
      <x:c r="W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  <x:c r="V4651"/>
      <x:c r="W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  <x:c r="V4652"/>
      <x:c r="W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  <x:c r="V4653"/>
      <x:c r="W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  <x:c r="V4654"/>
      <x:c r="W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  <x:c r="V4655"/>
      <x:c r="W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  <x:c r="V4656"/>
      <x:c r="W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  <x:c r="V4657"/>
      <x:c r="W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  <x:c r="V4658"/>
      <x:c r="W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  <x:c r="V4659"/>
      <x:c r="W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  <x:c r="V4660"/>
      <x:c r="W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  <x:c r="V4661"/>
      <x:c r="W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  <x:c r="V4662"/>
      <x:c r="W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  <x:c r="V4663"/>
      <x:c r="W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  <x:c r="V4664"/>
      <x:c r="W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  <x:c r="V4665"/>
      <x:c r="W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  <x:c r="V4666"/>
      <x:c r="W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  <x:c r="V4667"/>
      <x:c r="W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  <x:c r="V4668"/>
      <x:c r="W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  <x:c r="V4669"/>
      <x:c r="W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  <x:c r="V4670"/>
      <x:c r="W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  <x:c r="V4671"/>
      <x:c r="W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  <x:c r="V4672"/>
      <x:c r="W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  <x:c r="V4673"/>
      <x:c r="W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  <x:c r="V4674"/>
      <x:c r="W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  <x:c r="V4675"/>
      <x:c r="W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  <x:c r="V4676"/>
      <x:c r="W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  <x:c r="V4677"/>
      <x:c r="W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  <x:c r="V4678"/>
      <x:c r="W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  <x:c r="V4679"/>
      <x:c r="W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  <x:c r="V4680"/>
      <x:c r="W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  <x:c r="V4681"/>
      <x:c r="W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  <x:c r="V4682"/>
      <x:c r="W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  <x:c r="V4683"/>
      <x:c r="W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  <x:c r="V4684"/>
      <x:c r="W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  <x:c r="V4685"/>
      <x:c r="W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  <x:c r="V4686"/>
      <x:c r="W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  <x:c r="V4687"/>
      <x:c r="W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  <x:c r="V4688"/>
      <x:c r="W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  <x:c r="V4689"/>
      <x:c r="W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  <x:c r="V4690"/>
      <x:c r="W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  <x:c r="V4691"/>
      <x:c r="W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  <x:c r="V4692"/>
      <x:c r="W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  <x:c r="V4693"/>
      <x:c r="W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  <x:c r="V4694"/>
      <x:c r="W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  <x:c r="V4695"/>
      <x:c r="W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  <x:c r="V4696"/>
      <x:c r="W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  <x:c r="V4697"/>
      <x:c r="W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  <x:c r="V4698"/>
      <x:c r="W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  <x:c r="V4699"/>
      <x:c r="W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  <x:c r="V4700"/>
      <x:c r="W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  <x:c r="V4701"/>
      <x:c r="W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  <x:c r="V4702"/>
      <x:c r="W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  <x:c r="V4703"/>
      <x:c r="W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  <x:c r="V4704"/>
      <x:c r="W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  <x:c r="V4705"/>
      <x:c r="W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  <x:c r="V4706"/>
      <x:c r="W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  <x:c r="V4707"/>
      <x:c r="W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  <x:c r="V4708"/>
      <x:c r="W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  <x:c r="V4709"/>
      <x:c r="W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  <x:c r="V4710"/>
      <x:c r="W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  <x:c r="V4711"/>
      <x:c r="W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  <x:c r="V4712"/>
      <x:c r="W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  <x:c r="V4713"/>
      <x:c r="W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  <x:c r="V4714"/>
      <x:c r="W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  <x:c r="V4715"/>
      <x:c r="W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  <x:c r="V4716"/>
      <x:c r="W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  <x:c r="V4717"/>
      <x:c r="W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  <x:c r="V4718"/>
      <x:c r="W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  <x:c r="V4719"/>
      <x:c r="W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  <x:c r="V4720"/>
      <x:c r="W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  <x:c r="V4721"/>
      <x:c r="W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  <x:c r="V4722"/>
      <x:c r="W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  <x:c r="V4723"/>
      <x:c r="W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  <x:c r="V4724"/>
      <x:c r="W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  <x:c r="V4725"/>
      <x:c r="W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  <x:c r="V4726"/>
      <x:c r="W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  <x:c r="V4727"/>
      <x:c r="W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  <x:c r="V4728"/>
      <x:c r="W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  <x:c r="V4729"/>
      <x:c r="W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  <x:c r="V4730"/>
      <x:c r="W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  <x:c r="V4731"/>
      <x:c r="W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  <x:c r="V4732"/>
      <x:c r="W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  <x:c r="V4733"/>
      <x:c r="W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  <x:c r="V4734"/>
      <x:c r="W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  <x:c r="V4735"/>
      <x:c r="W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  <x:c r="V4736"/>
      <x:c r="W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  <x:c r="V4737"/>
      <x:c r="W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  <x:c r="V4738"/>
      <x:c r="W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  <x:c r="V4739"/>
      <x:c r="W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  <x:c r="V4740"/>
      <x:c r="W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  <x:c r="V4741"/>
      <x:c r="W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  <x:c r="V4742"/>
      <x:c r="W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  <x:c r="V4743"/>
      <x:c r="W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  <x:c r="V4744"/>
      <x:c r="W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  <x:c r="V4745"/>
      <x:c r="W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  <x:c r="V4746"/>
      <x:c r="W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  <x:c r="V4747"/>
      <x:c r="W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  <x:c r="V4748"/>
      <x:c r="W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  <x:c r="V4749"/>
      <x:c r="W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  <x:c r="V4750"/>
      <x:c r="W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  <x:c r="V4751"/>
      <x:c r="W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  <x:c r="V4752"/>
      <x:c r="W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  <x:c r="V4753"/>
      <x:c r="W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  <x:c r="V4754"/>
      <x:c r="W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  <x:c r="V4755"/>
      <x:c r="W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  <x:c r="V4756"/>
      <x:c r="W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  <x:c r="V4757"/>
      <x:c r="W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  <x:c r="V4758"/>
      <x:c r="W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  <x:c r="V4759"/>
      <x:c r="W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  <x:c r="V4760"/>
      <x:c r="W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  <x:c r="V4761"/>
      <x:c r="W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  <x:c r="V4762"/>
      <x:c r="W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  <x:c r="V4763"/>
      <x:c r="W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  <x:c r="V4764"/>
      <x:c r="W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  <x:c r="V4765"/>
      <x:c r="W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  <x:c r="V4766"/>
      <x:c r="W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  <x:c r="V4767"/>
      <x:c r="W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  <x:c r="V4768"/>
      <x:c r="W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  <x:c r="V4769"/>
      <x:c r="W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  <x:c r="V4770"/>
      <x:c r="W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  <x:c r="V4771"/>
      <x:c r="W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  <x:c r="V4772"/>
      <x:c r="W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  <x:c r="V4773"/>
      <x:c r="W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  <x:c r="V4774"/>
      <x:c r="W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  <x:c r="V4775"/>
      <x:c r="W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  <x:c r="V4776"/>
      <x:c r="W4776"/>
    </x:row>
  </x:sheetData>
  <x:conditionalFormatting sqref="B2:B547">
    <x:cfRule type="containsText" dxfId="0" priority="1" operator="containsText" text="Interview"/>
    <x:cfRule type="containsText" dxfId="1" priority="2" operator="containsText" text="Course"/>
    <x:cfRule type="containsText" dxfId="2" priority="3" operator="containsText" text="Talk"/>
  </x:conditionalFormatting>
  <x:conditionalFormatting sqref="C2:C547">
    <x:cfRule type="containsText" dxfId="3" priority="4" operator="containsText" text="World Model"/>
    <x:cfRule type="containsText" dxfId="4" priority="5" operator="containsText" text="Agent"/>
    <x:cfRule type="containsText" dxfId="5" priority="6" operator="containsText" text="Vision"/>
    <x:cfRule type="containsText" dxfId="6" priority="7" operator="containsText" text="Robotics"/>
  </x:conditionalFormatting>
  <x:conditionalFormatting sqref="P2:P547">
    <x:cfRule type="containsText" dxfId="7" priority="8" operator="containsText" text="Core"/>
  </x:conditionalFormatting>
  <x:conditionalFormatting sqref="Q2:Q547">
    <x:cfRule type="containsText" dxfId="8" priority="9" operator="containsText" text="Verified"/>
  </x:conditionalFormatting>
  <x:dataValidations count="40">
    <x:dataValidation type="list" sqref="B2:B547">
      <x:formula1>"Interview,Course,Talk"</x:formula1>
    </x:dataValidation>
    <x:dataValidation type="list" sqref="C2:C547">
      <x:formula1>"World Model,Agent,Vision,Robotics,Other"</x:formula1>
    </x:dataValidation>
    <x:dataValidation type="list" sqref="F2:F547">
      <x:formula1>"Chinese,English,Bilingual"</x:formula1>
    </x:dataValidation>
    <x:dataValidation type="list" sqref="M2:M547">
      <x:formula1>"YouTube,Bilibili,Xiaohongshu"</x:formula1>
    </x:dataValidation>
    <x:dataValidation type="list" sqref="P2:P547">
      <x:formula1>"Core,Recommended,Reserve"</x:formula1>
    </x:dataValidation>
    <x:dataValidation type="list" sqref="Q2:Q547">
      <x:formula1>"Verified,Pending Verification,Periodic Review,Inactive"</x:formula1>
    </x:dataValidation>
    <x:dataValidation type="list" sqref="B2:B657">
      <x:formula1>"Interview,Course,Talk"</x:formula1>
    </x:dataValidation>
    <x:dataValidation type="list" sqref="C2:C657">
      <x:formula1>"World Model,Agent,Vision,Robotics,Other"</x:formula1>
    </x:dataValidation>
    <x:dataValidation type="list" sqref="F2:F657">
      <x:formula1>"English,Chinese"</x:formula1>
    </x:dataValidation>
    <x:dataValidation type="list" sqref="M2:M657">
      <x:formula1>"YouTube,Bilibili"</x:formula1>
    </x:dataValidation>
    <x:dataValidation type="list" sqref="P2:P657">
      <x:formula1>"Core,Recommended,Reserve"</x:formula1>
    </x:dataValidation>
    <x:dataValidation type="list" sqref="Q2:Q657">
      <x:formula1>"Verified,Pending Verification,Periodic Review,Inactive"</x:formula1>
    </x:dataValidation>
    <x:dataValidation type="list" sqref="B2:B890">
      <x:formula1>"Interview,Course,Talk"</x:formula1>
    </x:dataValidation>
    <x:dataValidation type="list" sqref="C2:C890">
      <x:formula1>"World Model,Agent,Vision,Robotics,Other,How to Research"</x:formula1>
    </x:dataValidation>
    <x:dataValidation type="list" sqref="F2:F890">
      <x:formula1>"English,Chinese"</x:formula1>
    </x:dataValidation>
    <x:dataValidation type="list" sqref="M2:M890">
      <x:formula1>"YouTube,Bilibili,Conference Site,Official Site"</x:formula1>
    </x:dataValidation>
    <x:dataValidation type="list" sqref="O2:O890">
      <x:formula1>"A | Official / Original Creator / Organizer,B | University / Conference / Institution,C | Community Selection"</x:formula1>
    </x:dataValidation>
    <x:dataValidation type="list" sqref="P2:P890">
      <x:formula1>"Core,Recommended,Reserve"</x:formula1>
    </x:dataValidation>
    <x:dataValidation type="list" sqref="Q2:Q890">
      <x:formula1>"Verified,Pending Verification,Periodic Review,Inactive"</x:formula1>
    </x:dataValidation>
    <x:dataValidation type="list" sqref="B2:B942">
      <x:formula1>"Interview,Course,Talk"</x:formula1>
    </x:dataValidation>
    <x:dataValidation type="list" sqref="C2:C942">
      <x:formula1>"World Model,Agent,Vision,Robotics,Other,How to Research"</x:formula1>
    </x:dataValidation>
    <x:dataValidation type="list" sqref="F2:F942">
      <x:formula1>"English,Chinese"</x:formula1>
    </x:dataValidation>
    <x:dataValidation type="list" sqref="M2:M942">
      <x:formula1>"YouTube,Bilibili,Conference Site,Official Site"</x:formula1>
    </x:dataValidation>
    <x:dataValidation type="list" sqref="O2:O942">
      <x:formula1>"A | Official / Original Creator / Organizer,B | University / Conference / Institution,C | Community Selection"</x:formula1>
    </x:dataValidation>
    <x:dataValidation type="list" sqref="P2:P942">
      <x:formula1>"Core,Recommended,Reserve"</x:formula1>
    </x:dataValidation>
    <x:dataValidation type="list" sqref="Q2:Q942">
      <x:formula1>"Verified,Pending Verification,Periodic Review,Inactive"</x:formula1>
    </x:dataValidation>
    <x:dataValidation type="list" sqref="B2:B943">
      <x:formula1>"Interview,Course,Talk"</x:formula1>
    </x:dataValidation>
    <x:dataValidation type="list" sqref="C2:C943">
      <x:formula1>"World Model,Agent,Vision,Robotics,Other,How to Research"</x:formula1>
    </x:dataValidation>
    <x:dataValidation type="list" sqref="F2:F943">
      <x:formula1>"English,Chinese"</x:formula1>
    </x:dataValidation>
    <x:dataValidation type="list" sqref="M2:M943">
      <x:formula1>"YouTube,Bilibili,Conference Site,Official Site"</x:formula1>
    </x:dataValidation>
    <x:dataValidation type="list" sqref="O2:O943">
      <x:formula1>"A | Official / Original Creator / Organizer,B | University / Conference / Institution,C | Community Selection"</x:formula1>
    </x:dataValidation>
    <x:dataValidation type="list" sqref="P2:P943">
      <x:formula1>"Core,Recommended,Reserve"</x:formula1>
    </x:dataValidation>
    <x:dataValidation type="list" sqref="Q2:Q943">
      <x:formula1>"Verified,Pending Verification,Periodic Review,Inactive"</x:formula1>
    </x:dataValidation>
    <x:dataValidation type="list" sqref="B2:B1026">
      <x:formula1>"Interview,Course,Talk"</x:formula1>
    </x:dataValidation>
    <x:dataValidation type="list" sqref="C2:C1026">
      <x:formula1>"World Model,Agent,Vision,Robotics,Other,How to Research"</x:formula1>
    </x:dataValidation>
    <x:dataValidation type="list" sqref="F2:F1026">
      <x:formula1>"English,Chinese"</x:formula1>
    </x:dataValidation>
    <x:dataValidation type="list" sqref="M2:M1026">
      <x:formula1>"YouTube,Bilibili,Conference Site,Official Site"</x:formula1>
    </x:dataValidation>
    <x:dataValidation type="list" sqref="O2:O1026">
      <x:formula1>"A | Official / Original Creator / Organizer,B | University / Conference / Institution,C | Community Selection"</x:formula1>
    </x:dataValidation>
    <x:dataValidation type="list" sqref="P2:P1026">
      <x:formula1>"Core,Recommended,Reserve"</x:formula1>
    </x:dataValidation>
    <x:dataValidation type="list" sqref="Q2:Q1026">
      <x:formula1>"Verified,Pending Verification,Periodic Review,Inactive"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f804ce98e642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22" hidden="0" customWidth="1"/>
    <x:col min="9" max="9" width="22" hidden="0" customWidth="1"/>
  </x:cols>
  <x:sheetData>
    <x:row r="1" ht="50" customHeight="1">
      <x:c r="A1" s="30" t="str">
        <x:v>Six Research Directions</x:v>
      </x:c>
      <x:c r="B1" s="30"/>
      <x:c r="C1" s="30"/>
      <x:c r="D1" s="30"/>
      <x:c r="E1" s="30"/>
      <x:c r="F1" s="30"/>
      <x:c r="G1" s="30"/>
      <x:c r="H1" s="30"/>
      <x:c r="I1" s="424"/>
    </x:row>
    <x:row r="2" ht="28" customHeight="1">
      <x:c r="A2" s="32" t="str">
        <x:v>Each resource uses one primary direction. Broader AI holds cross-cutting field knowledge; How to Research holds research method and practice.</x:v>
      </x:c>
      <x:c r="B2" s="32"/>
      <x:c r="C2" s="32"/>
      <x:c r="D2" s="32"/>
      <x:c r="E2" s="32"/>
      <x:c r="F2" s="32"/>
      <x:c r="G2" s="32"/>
      <x:c r="H2" s="32"/>
      <x:c r="I2" s="425"/>
    </x:row>
    <x:row r="4" ht="30" customHeight="1">
      <x:c r="A4" s="35" t="str">
        <x:v>Direction</x:v>
      </x:c>
      <x:c r="B4" s="35" t="str">
        <x:v>Total</x:v>
      </x:c>
      <x:c r="C4" s="35" t="str">
        <x:v>Interview</x:v>
      </x:c>
      <x:c r="D4" s="35" t="str">
        <x:v>Course</x:v>
      </x:c>
      <x:c r="E4" s="35" t="str">
        <x:v>Talk</x:v>
      </x:c>
      <x:c r="F4" s="35" t="str">
        <x:v>YouTube</x:v>
      </x:c>
      <x:c r="G4" s="35" t="str">
        <x:v>Bilibili</x:v>
      </x:c>
      <x:c r="H4" s="35" t="str">
        <x:v>Conference Site</x:v>
      </x:c>
      <x:c r="I4" s="426" t="str">
        <x:v>Official Site</x:v>
      </x:c>
    </x:row>
    <x:row r="5" ht="34" customHeight="1">
      <x:c r="A5" s="66" t="str">
        <x:v>World Model</x:v>
      </x:c>
      <x:c r="B5" s="60" t="n">
        <x:f>COUNTIF('Resources'!$C$2:$C$1026,$A5)</x:f>
        <x:v>91</x:v>
      </x:c>
      <x:c r="C5" s="60" t="n">
        <x:f>COUNTIFS('Resources'!$C$2:$C$1026,$A5,'Resources'!$B$2:$B$1026,C$4)</x:f>
        <x:v>31</x:v>
      </x:c>
      <x:c r="D5" s="60" t="n">
        <x:f>COUNTIFS('Resources'!$C$2:$C$1026,$A5,'Resources'!$B$2:$B$1026,D$4)</x:f>
        <x:v>18</x:v>
      </x:c>
      <x:c r="E5" s="60" t="n">
        <x:f>COUNTIFS('Resources'!$C$2:$C$1026,$A5,'Resources'!$B$2:$B$1026,E$4)</x:f>
        <x:v>42</x:v>
      </x:c>
      <x:c r="F5" s="60" t="n">
        <x:f>COUNTIFS('Resources'!$C$2:$C$1026,$A5,'Resources'!$M$2:$M$1026,F$4)</x:f>
        <x:v>58</x:v>
      </x:c>
      <x:c r="G5" s="60" t="n">
        <x:f>COUNTIFS('Resources'!$C$2:$C$1026,$A5,'Resources'!$M$2:$M$1026,G$4)</x:f>
        <x:v>29</x:v>
      </x:c>
      <x:c r="H5" s="61" t="n">
        <x:f>COUNTIFS('Resources'!$C$2:$C$1026,$A5,'Resources'!$M$2:$M$1026,H$4)</x:f>
        <x:v>4</x:v>
      </x:c>
      <x:c r="I5" s="427" t="n">
        <x:f>COUNTIFS('Resources'!$C$2:$C$1026,$A5,'Resources'!$M$2:$M$1026,I$4)</x:f>
        <x:v>0</x:v>
      </x:c>
    </x:row>
    <x:row r="6" ht="34" customHeight="1">
      <x:c r="A6" s="67" t="str">
        <x:v>Agent</x:v>
      </x:c>
      <x:c r="B6" s="62" t="n">
        <x:f>COUNTIF('Resources'!$C$2:$C$1026,$A6)</x:f>
        <x:v>201</x:v>
      </x:c>
      <x:c r="C6" s="62" t="n">
        <x:f>COUNTIFS('Resources'!$C$2:$C$1026,$A6,'Resources'!$B$2:$B$1026,C$4)</x:f>
        <x:v>46</x:v>
      </x:c>
      <x:c r="D6" s="62" t="n">
        <x:f>COUNTIFS('Resources'!$C$2:$C$1026,$A6,'Resources'!$B$2:$B$1026,D$4)</x:f>
        <x:v>97</x:v>
      </x:c>
      <x:c r="E6" s="62" t="n">
        <x:f>COUNTIFS('Resources'!$C$2:$C$1026,$A6,'Resources'!$B$2:$B$1026,E$4)</x:f>
        <x:v>58</x:v>
      </x:c>
      <x:c r="F6" s="62" t="n">
        <x:f>COUNTIFS('Resources'!$C$2:$C$1026,$A6,'Resources'!$M$2:$M$1026,F$4)</x:f>
        <x:v>116</x:v>
      </x:c>
      <x:c r="G6" s="62" t="n">
        <x:f>COUNTIFS('Resources'!$C$2:$C$1026,$A6,'Resources'!$M$2:$M$1026,G$4)</x:f>
        <x:v>77</x:v>
      </x:c>
      <x:c r="H6" s="63" t="n">
        <x:f>COUNTIFS('Resources'!$C$2:$C$1026,$A6,'Resources'!$M$2:$M$1026,H$4)</x:f>
        <x:v>8</x:v>
      </x:c>
      <x:c r="I6" s="428" t="n">
        <x:f>COUNTIFS('Resources'!$C$2:$C$1026,$A6,'Resources'!$M$2:$M$1026,I$4)</x:f>
        <x:v>0</x:v>
      </x:c>
    </x:row>
    <x:row r="7" ht="34" customHeight="1">
      <x:c r="A7" s="68" t="str">
        <x:v>Vision</x:v>
      </x:c>
      <x:c r="B7" s="62" t="n">
        <x:f>COUNTIF('Resources'!$C$2:$C$1026,$A7)</x:f>
        <x:v>127</x:v>
      </x:c>
      <x:c r="C7" s="62" t="n">
        <x:f>COUNTIFS('Resources'!$C$2:$C$1026,$A7,'Resources'!$B$2:$B$1026,C$4)</x:f>
        <x:v>14</x:v>
      </x:c>
      <x:c r="D7" s="62" t="n">
        <x:f>COUNTIFS('Resources'!$C$2:$C$1026,$A7,'Resources'!$B$2:$B$1026,D$4)</x:f>
        <x:v>65</x:v>
      </x:c>
      <x:c r="E7" s="62" t="n">
        <x:f>COUNTIFS('Resources'!$C$2:$C$1026,$A7,'Resources'!$B$2:$B$1026,E$4)</x:f>
        <x:v>48</x:v>
      </x:c>
      <x:c r="F7" s="62" t="n">
        <x:f>COUNTIFS('Resources'!$C$2:$C$1026,$A7,'Resources'!$M$2:$M$1026,F$4)</x:f>
        <x:v>86</x:v>
      </x:c>
      <x:c r="G7" s="62" t="n">
        <x:f>COUNTIFS('Resources'!$C$2:$C$1026,$A7,'Resources'!$M$2:$M$1026,G$4)</x:f>
        <x:v>32</x:v>
      </x:c>
      <x:c r="H7" s="63" t="n">
        <x:f>COUNTIFS('Resources'!$C$2:$C$1026,$A7,'Resources'!$M$2:$M$1026,H$4)</x:f>
        <x:v>9</x:v>
      </x:c>
      <x:c r="I7" s="427" t="n">
        <x:f>COUNTIFS('Resources'!$C$2:$C$1026,$A7,'Resources'!$M$2:$M$1026,I$4)</x:f>
        <x:v>0</x:v>
      </x:c>
    </x:row>
    <x:row r="8" ht="34" customHeight="1">
      <x:c r="A8" s="69" t="str">
        <x:v>Robotics</x:v>
      </x:c>
      <x:c r="B8" s="62" t="n">
        <x:f>COUNTIF('Resources'!$C$2:$C$1026,$A8)</x:f>
        <x:v>198</x:v>
      </x:c>
      <x:c r="C8" s="62" t="n">
        <x:f>COUNTIFS('Resources'!$C$2:$C$1026,$A8,'Resources'!$B$2:$B$1026,C$4)</x:f>
        <x:v>41</x:v>
      </x:c>
      <x:c r="D8" s="62" t="n">
        <x:f>COUNTIFS('Resources'!$C$2:$C$1026,$A8,'Resources'!$B$2:$B$1026,D$4)</x:f>
        <x:v>86</x:v>
      </x:c>
      <x:c r="E8" s="62" t="n">
        <x:f>COUNTIFS('Resources'!$C$2:$C$1026,$A8,'Resources'!$B$2:$B$1026,E$4)</x:f>
        <x:v>71</x:v>
      </x:c>
      <x:c r="F8" s="62" t="n">
        <x:f>COUNTIFS('Resources'!$C$2:$C$1026,$A8,'Resources'!$M$2:$M$1026,F$4)</x:f>
        <x:v>151</x:v>
      </x:c>
      <x:c r="G8" s="62" t="n">
        <x:f>COUNTIFS('Resources'!$C$2:$C$1026,$A8,'Resources'!$M$2:$M$1026,G$4)</x:f>
        <x:v>41</x:v>
      </x:c>
      <x:c r="H8" s="63" t="n">
        <x:f>COUNTIFS('Resources'!$C$2:$C$1026,$A8,'Resources'!$M$2:$M$1026,H$4)</x:f>
        <x:v>6</x:v>
      </x:c>
      <x:c r="I8" s="428" t="n">
        <x:f>COUNTIFS('Resources'!$C$2:$C$1026,$A8,'Resources'!$M$2:$M$1026,I$4)</x:f>
        <x:v>0</x:v>
      </x:c>
    </x:row>
    <x:row r="9" ht="34" customHeight="1">
      <x:c r="A9" s="70" t="str">
        <x:v>Other</x:v>
      </x:c>
      <x:c r="B9" s="64" t="n">
        <x:f>COUNTIF('Resources'!$C$2:$C$1026,$A9)</x:f>
        <x:v>378</x:v>
      </x:c>
      <x:c r="C9" s="64" t="n">
        <x:f>COUNTIFS('Resources'!$C$2:$C$1026,$A9,'Resources'!$B$2:$B$1026,C$4)</x:f>
        <x:v>57</x:v>
      </x:c>
      <x:c r="D9" s="64" t="n">
        <x:f>COUNTIFS('Resources'!$C$2:$C$1026,$A9,'Resources'!$B$2:$B$1026,D$4)</x:f>
        <x:v>197</x:v>
      </x:c>
      <x:c r="E9" s="64" t="n">
        <x:f>COUNTIFS('Resources'!$C$2:$C$1026,$A9,'Resources'!$B$2:$B$1026,E$4)</x:f>
        <x:v>124</x:v>
      </x:c>
      <x:c r="F9" s="64" t="n">
        <x:f>COUNTIFS('Resources'!$C$2:$C$1026,$A9,'Resources'!$M$2:$M$1026,F$4)</x:f>
        <x:v>309</x:v>
      </x:c>
      <x:c r="G9" s="64" t="n">
        <x:f>COUNTIFS('Resources'!$C$2:$C$1026,$A9,'Resources'!$M$2:$M$1026,G$4)</x:f>
        <x:v>9</x:v>
      </x:c>
      <x:c r="H9" s="65" t="n">
        <x:f>COUNTIFS('Resources'!$C$2:$C$1026,$A9,'Resources'!$M$2:$M$1026,H$4)</x:f>
        <x:v>54</x:v>
      </x:c>
      <x:c r="I9" s="427" t="n">
        <x:f>COUNTIFS('Resources'!$C$2:$C$1026,$A9,'Resources'!$M$2:$M$1026,I$4)</x:f>
        <x:v>6</x:v>
      </x:c>
    </x:row>
    <x:row r="10">
      <x:c r="A10" s="421" t="str">
        <x:v>How to Research</x:v>
      </x:c>
      <x:c r="B10" s="422" t="n">
        <x:f>COUNTIF('Resources'!$C$2:$C$1026,$A10)</x:f>
        <x:v>30</x:v>
      </x:c>
      <x:c r="C10" s="422" t="n">
        <x:f>COUNTIFS('Resources'!$C$2:$C$1026,$A10,'Resources'!$B$2:$B$1026,C$4)</x:f>
        <x:v>0</x:v>
      </x:c>
      <x:c r="D10" s="422" t="n">
        <x:f>COUNTIFS('Resources'!$C$2:$C$1026,$A10,'Resources'!$B$2:$B$1026,D$4)</x:f>
        <x:v>20</x:v>
      </x:c>
      <x:c r="E10" s="422" t="n">
        <x:f>COUNTIFS('Resources'!$C$2:$C$1026,$A10,'Resources'!$B$2:$B$1026,E$4)</x:f>
        <x:v>10</x:v>
      </x:c>
      <x:c r="F10" s="422" t="n">
        <x:f>COUNTIFS('Resources'!$C$2:$C$1026,$A10,'Resources'!$M$2:$M$1026,F$4)</x:f>
        <x:v>13</x:v>
      </x:c>
      <x:c r="G10" s="422" t="n">
        <x:f>COUNTIFS('Resources'!$C$2:$C$1026,$A10,'Resources'!$M$2:$M$1026,G$4)</x:f>
        <x:v>7</x:v>
      </x:c>
      <x:c r="H10" s="422" t="n">
        <x:f>COUNTIFS('Resources'!$C$2:$C$1026,$A10,'Resources'!$M$2:$M$1026,H$4)</x:f>
        <x:v>3</x:v>
      </x:c>
      <x:c r="I10" s="423" t="n">
        <x:f>COUNTIFS('Resources'!$C$2:$C$1026,$A10,'Resources'!$M$2:$M$1026,I$4)</x:f>
        <x:v>7</x:v>
      </x:c>
    </x:row>
    <x:row r="11" ht="44" customHeight="1">
      <x:c r="A11" s="429" t="str">
        <x:v>Editorial recommendation: expose all six directions in the interface. How to Research should remain method-focused and source-audited; use Broader AI for field material that does not fit a specialist direction.</x:v>
      </x:c>
      <x:c r="B11" s="429"/>
      <x:c r="C11" s="429"/>
      <x:c r="D11" s="429"/>
      <x:c r="E11" s="429"/>
      <x:c r="F11" s="429"/>
      <x:c r="G11" s="429"/>
      <x:c r="H11" s="429"/>
      <x:c r="I11" s="430"/>
    </x:row>
    <x:row r="12" ht="44" customHeight="1">
      <x:c r="A12" s="429"/>
      <x:c r="B12" s="429"/>
      <x:c r="C12" s="429"/>
      <x:c r="D12" s="429"/>
      <x:c r="E12" s="429"/>
      <x:c r="F12" s="429"/>
      <x:c r="G12" s="429"/>
      <x:c r="H12" s="429"/>
      <x:c r="I12" s="430"/>
    </x:row>
  </x:sheetData>
  <x:mergeCells>
    <x:mergeCell ref="A1:I1"/>
    <x:mergeCell ref="A2:I2"/>
    <x:mergeCell ref="A11:I12"/>
  </x:mergeCells>
  <x:pageMargins left="0.7" right="0.7" top="0.75" bottom="0.75" header="0.3" footer="0.3"/>
  <x:tableParts count="1">
    <x:tablePart xmlns:r="http://schemas.openxmlformats.org/officeDocument/2006/relationships" r:id="R18171df451a248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</x:cols>
  <x:sheetData>
    <x:row r="1" ht="30" customHeight="1">
      <x:c r="A1" s="76" t="str">
        <x:v>AI Domain</x:v>
      </x:c>
      <x:c r="B1" s="76" t="str">
        <x:v>Total</x:v>
      </x:c>
      <x:c r="C1" s="76" t="str">
        <x:v>Interview</x:v>
      </x:c>
      <x:c r="D1" s="76" t="str">
        <x:v>Course</x:v>
      </x:c>
      <x:c r="E1" s="76" t="str">
        <x:v>Talk</x:v>
      </x:c>
    </x:row>
    <x:row r="2" ht="22" customHeight="1">
      <x:c r="A2" s="465" t="str">
        <x:v>3D Vision / World Models</x:v>
      </x:c>
      <x:c r="B2" s="466" t="n">
        <x:f>COUNTIF('Resources'!$D$2:$D$1026,$A2)</x:f>
        <x:v>1</x:v>
      </x:c>
      <x:c r="C2" s="466" t="n">
        <x:f>COUNTIFS('Resources'!$D$2:$D$1026,$A2,'Resources'!$B$2:$B$1026,C$1)</x:f>
        <x:v>0</x:v>
      </x:c>
      <x:c r="D2" s="466" t="n">
        <x:f>COUNTIFS('Resources'!$D$2:$D$1026,$A2,'Resources'!$B$2:$B$1026,D$1)</x:f>
        <x:v>0</x:v>
      </x:c>
      <x:c r="E2" s="467" t="n">
        <x:f>COUNTIFS('Resources'!$D$2:$D$1026,$A2,'Resources'!$B$2:$B$1026,E$1)</x:f>
        <x:v>1</x:v>
      </x:c>
    </x:row>
    <x:row r="3" ht="22" customHeight="1">
      <x:c r="A3" s="468" t="str">
        <x:v>Agents</x:v>
      </x:c>
      <x:c r="B3" s="469" t="n">
        <x:f>COUNTIF('Resources'!$D$2:$D$1026,$A3)</x:f>
        <x:v>38</x:v>
      </x:c>
      <x:c r="C3" s="469" t="n">
        <x:f>COUNTIFS('Resources'!$D$2:$D$1026,$A3,'Resources'!$B$2:$B$1026,C$1)</x:f>
        <x:v>12</x:v>
      </x:c>
      <x:c r="D3" s="469" t="n">
        <x:f>COUNTIFS('Resources'!$D$2:$D$1026,$A3,'Resources'!$B$2:$B$1026,D$1)</x:f>
        <x:v>13</x:v>
      </x:c>
      <x:c r="E3" s="470" t="n">
        <x:f>COUNTIFS('Resources'!$D$2:$D$1026,$A3,'Resources'!$B$2:$B$1026,E$1)</x:f>
        <x:v>13</x:v>
      </x:c>
    </x:row>
    <x:row r="4" ht="22" customHeight="1">
      <x:c r="A4" s="471" t="str">
        <x:v>Agents / Multi-Turn Reinforcement Learning</x:v>
      </x:c>
      <x:c r="B4" s="472" t="n">
        <x:f>COUNTIF('Resources'!$D$2:$D$1026,$A4)</x:f>
        <x:v>1</x:v>
      </x:c>
      <x:c r="C4" s="472" t="n">
        <x:f>COUNTIFS('Resources'!$D$2:$D$1026,$A4,'Resources'!$B$2:$B$1026,C$1)</x:f>
        <x:v>0</x:v>
      </x:c>
      <x:c r="D4" s="472" t="n">
        <x:f>COUNTIFS('Resources'!$D$2:$D$1026,$A4,'Resources'!$B$2:$B$1026,D$1)</x:f>
        <x:v>0</x:v>
      </x:c>
      <x:c r="E4" s="473" t="n">
        <x:f>COUNTIFS('Resources'!$D$2:$D$1026,$A4,'Resources'!$B$2:$B$1026,E$1)</x:f>
        <x:v>1</x:v>
      </x:c>
    </x:row>
    <x:row r="5" ht="22" customHeight="1">
      <x:c r="A5" s="468" t="str">
        <x:v>Agents / Planning / Reasoning</x:v>
      </x:c>
      <x:c r="B5" s="469" t="n">
        <x:f>COUNTIF('Resources'!$D$2:$D$1026,$A5)</x:f>
        <x:v>1</x:v>
      </x:c>
      <x:c r="C5" s="469" t="n">
        <x:f>COUNTIFS('Resources'!$D$2:$D$1026,$A5,'Resources'!$B$2:$B$1026,C$1)</x:f>
        <x:v>0</x:v>
      </x:c>
      <x:c r="D5" s="469" t="n">
        <x:f>COUNTIFS('Resources'!$D$2:$D$1026,$A5,'Resources'!$B$2:$B$1026,D$1)</x:f>
        <x:v>0</x:v>
      </x:c>
      <x:c r="E5" s="470" t="n">
        <x:f>COUNTIFS('Resources'!$D$2:$D$1026,$A5,'Resources'!$B$2:$B$1026,E$1)</x:f>
        <x:v>1</x:v>
      </x:c>
    </x:row>
    <x:row r="6" ht="22" customHeight="1">
      <x:c r="A6" s="471" t="str">
        <x:v>Agents / Reinforcement Learning</x:v>
      </x:c>
      <x:c r="B6" s="472" t="n">
        <x:f>COUNTIF('Resources'!$D$2:$D$1026,$A6)</x:f>
        <x:v>3</x:v>
      </x:c>
      <x:c r="C6" s="472" t="n">
        <x:f>COUNTIFS('Resources'!$D$2:$D$1026,$A6,'Resources'!$B$2:$B$1026,C$1)</x:f>
        <x:v>0</x:v>
      </x:c>
      <x:c r="D6" s="472" t="n">
        <x:f>COUNTIFS('Resources'!$D$2:$D$1026,$A6,'Resources'!$B$2:$B$1026,D$1)</x:f>
        <x:v>0</x:v>
      </x:c>
      <x:c r="E6" s="473" t="n">
        <x:f>COUNTIFS('Resources'!$D$2:$D$1026,$A6,'Resources'!$B$2:$B$1026,E$1)</x:f>
        <x:v>3</x:v>
      </x:c>
    </x:row>
    <x:row r="7" ht="22" customHeight="1">
      <x:c r="A7" s="468" t="str">
        <x:v>Agents / Tool Use / Reasoning</x:v>
      </x:c>
      <x:c r="B7" s="469" t="n">
        <x:f>COUNTIF('Resources'!$D$2:$D$1026,$A7)</x:f>
        <x:v>144</x:v>
      </x:c>
      <x:c r="C7" s="469" t="n">
        <x:f>COUNTIFS('Resources'!$D$2:$D$1026,$A7,'Resources'!$B$2:$B$1026,C$1)</x:f>
        <x:v>26</x:v>
      </x:c>
      <x:c r="D7" s="469" t="n">
        <x:f>COUNTIFS('Resources'!$D$2:$D$1026,$A7,'Resources'!$B$2:$B$1026,D$1)</x:f>
        <x:v>82</x:v>
      </x:c>
      <x:c r="E7" s="470" t="n">
        <x:f>COUNTIFS('Resources'!$D$2:$D$1026,$A7,'Resources'!$B$2:$B$1026,E$1)</x:f>
        <x:v>36</x:v>
      </x:c>
    </x:row>
    <x:row r="8" ht="22" customHeight="1">
      <x:c r="A8" s="471" t="str">
        <x:v>AI and Society</x:v>
      </x:c>
      <x:c r="B8" s="472" t="n">
        <x:f>COUNTIF('Resources'!$D$2:$D$1026,$A8)</x:f>
        <x:v>12</x:v>
      </x:c>
      <x:c r="C8" s="472" t="n">
        <x:f>COUNTIFS('Resources'!$D$2:$D$1026,$A8,'Resources'!$B$2:$B$1026,C$1)</x:f>
        <x:v>0</x:v>
      </x:c>
      <x:c r="D8" s="472" t="n">
        <x:f>COUNTIFS('Resources'!$D$2:$D$1026,$A8,'Resources'!$B$2:$B$1026,D$1)</x:f>
        <x:v>0</x:v>
      </x:c>
      <x:c r="E8" s="473" t="n">
        <x:f>COUNTIFS('Resources'!$D$2:$D$1026,$A8,'Resources'!$B$2:$B$1026,E$1)</x:f>
        <x:v>12</x:v>
      </x:c>
    </x:row>
    <x:row r="9" ht="22" customHeight="1">
      <x:c r="A9" s="468" t="str">
        <x:v>AI Evaluation / Benchmarking</x:v>
      </x:c>
      <x:c r="B9" s="469" t="n">
        <x:f>COUNTIF('Resources'!$D$2:$D$1026,$A9)</x:f>
        <x:v>2</x:v>
      </x:c>
      <x:c r="C9" s="469" t="n">
        <x:f>COUNTIFS('Resources'!$D$2:$D$1026,$A9,'Resources'!$B$2:$B$1026,C$1)</x:f>
        <x:v>0</x:v>
      </x:c>
      <x:c r="D9" s="469" t="n">
        <x:f>COUNTIFS('Resources'!$D$2:$D$1026,$A9,'Resources'!$B$2:$B$1026,D$1)</x:f>
        <x:v>0</x:v>
      </x:c>
      <x:c r="E9" s="470" t="n">
        <x:f>COUNTIFS('Resources'!$D$2:$D$1026,$A9,'Resources'!$B$2:$B$1026,E$1)</x:f>
        <x:v>2</x:v>
      </x:c>
    </x:row>
    <x:row r="10" ht="22" customHeight="1">
      <x:c r="A10" s="471" t="str">
        <x:v>AI Evaluation / Cognitive Science</x:v>
      </x:c>
      <x:c r="B10" s="472" t="n">
        <x:f>COUNTIF('Resources'!$D$2:$D$1026,$A10)</x:f>
        <x:v>4</x:v>
      </x:c>
      <x:c r="C10" s="472" t="n">
        <x:f>COUNTIFS('Resources'!$D$2:$D$1026,$A10,'Resources'!$B$2:$B$1026,C$1)</x:f>
        <x:v>0</x:v>
      </x:c>
      <x:c r="D10" s="472" t="n">
        <x:f>COUNTIFS('Resources'!$D$2:$D$1026,$A10,'Resources'!$B$2:$B$1026,D$1)</x:f>
        <x:v>0</x:v>
      </x:c>
      <x:c r="E10" s="473" t="n">
        <x:f>COUNTIFS('Resources'!$D$2:$D$1026,$A10,'Resources'!$B$2:$B$1026,E$1)</x:f>
        <x:v>4</x:v>
      </x:c>
    </x:row>
    <x:row r="11" ht="22" customHeight="1">
      <x:c r="A11" s="468" t="str">
        <x:v>AI for Science</x:v>
      </x:c>
      <x:c r="B11" s="469" t="n">
        <x:f>COUNTIF('Resources'!$D$2:$D$1026,$A11)</x:f>
        <x:v>14</x:v>
      </x:c>
      <x:c r="C11" s="469" t="n">
        <x:f>COUNTIFS('Resources'!$D$2:$D$1026,$A11,'Resources'!$B$2:$B$1026,C$1)</x:f>
        <x:v>2</x:v>
      </x:c>
      <x:c r="D11" s="469" t="n">
        <x:f>COUNTIFS('Resources'!$D$2:$D$1026,$A11,'Resources'!$B$2:$B$1026,D$1)</x:f>
        <x:v>0</x:v>
      </x:c>
      <x:c r="E11" s="470" t="n">
        <x:f>COUNTIFS('Resources'!$D$2:$D$1026,$A11,'Resources'!$B$2:$B$1026,E$1)</x:f>
        <x:v>12</x:v>
      </x:c>
    </x:row>
    <x:row r="12" ht="22" customHeight="1">
      <x:c r="A12" s="471" t="str">
        <x:v>AI for Science / Protein Design</x:v>
      </x:c>
      <x:c r="B12" s="472" t="n">
        <x:f>COUNTIF('Resources'!$D$2:$D$1026,$A12)</x:f>
        <x:v>1</x:v>
      </x:c>
      <x:c r="C12" s="472" t="n">
        <x:f>COUNTIFS('Resources'!$D$2:$D$1026,$A12,'Resources'!$B$2:$B$1026,C$1)</x:f>
        <x:v>0</x:v>
      </x:c>
      <x:c r="D12" s="472" t="n">
        <x:f>COUNTIFS('Resources'!$D$2:$D$1026,$A12,'Resources'!$B$2:$B$1026,D$1)</x:f>
        <x:v>0</x:v>
      </x:c>
      <x:c r="E12" s="473" t="n">
        <x:f>COUNTIFS('Resources'!$D$2:$D$1026,$A12,'Resources'!$B$2:$B$1026,E$1)</x:f>
        <x:v>1</x:v>
      </x:c>
    </x:row>
    <x:row r="13" ht="22" customHeight="1">
      <x:c r="A13" s="468" t="str">
        <x:v>AI for Science / Protein Structure Prediction</x:v>
      </x:c>
      <x:c r="B13" s="469" t="n">
        <x:f>COUNTIF('Resources'!$D$2:$D$1026,$A13)</x:f>
        <x:v>2</x:v>
      </x:c>
      <x:c r="C13" s="469" t="n">
        <x:f>COUNTIFS('Resources'!$D$2:$D$1026,$A13,'Resources'!$B$2:$B$1026,C$1)</x:f>
        <x:v>0</x:v>
      </x:c>
      <x:c r="D13" s="469" t="n">
        <x:f>COUNTIFS('Resources'!$D$2:$D$1026,$A13,'Resources'!$B$2:$B$1026,D$1)</x:f>
        <x:v>0</x:v>
      </x:c>
      <x:c r="E13" s="470" t="n">
        <x:f>COUNTIFS('Resources'!$D$2:$D$1026,$A13,'Resources'!$B$2:$B$1026,E$1)</x:f>
        <x:v>2</x:v>
      </x:c>
    </x:row>
    <x:row r="14" ht="22" customHeight="1">
      <x:c r="A14" s="471" t="str">
        <x:v>AI Foundations</x:v>
      </x:c>
      <x:c r="B14" s="472" t="n">
        <x:f>COUNTIF('Resources'!$D$2:$D$1026,$A14)</x:f>
        <x:v>5</x:v>
      </x:c>
      <x:c r="C14" s="472" t="n">
        <x:f>COUNTIFS('Resources'!$D$2:$D$1026,$A14,'Resources'!$B$2:$B$1026,C$1)</x:f>
        <x:v>0</x:v>
      </x:c>
      <x:c r="D14" s="472" t="n">
        <x:f>COUNTIFS('Resources'!$D$2:$D$1026,$A14,'Resources'!$B$2:$B$1026,D$1)</x:f>
        <x:v>5</x:v>
      </x:c>
      <x:c r="E14" s="473" t="n">
        <x:f>COUNTIFS('Resources'!$D$2:$D$1026,$A14,'Resources'!$B$2:$B$1026,E$1)</x:f>
        <x:v>0</x:v>
      </x:c>
    </x:row>
    <x:row r="15" ht="22" customHeight="1">
      <x:c r="A15" s="468" t="str">
        <x:v>AI Foundations / Associative Memory</x:v>
      </x:c>
      <x:c r="B15" s="469" t="n">
        <x:f>COUNTIF('Resources'!$D$2:$D$1026,$A15)</x:f>
        <x:v>1</x:v>
      </x:c>
      <x:c r="C15" s="469" t="n">
        <x:f>COUNTIFS('Resources'!$D$2:$D$1026,$A15,'Resources'!$B$2:$B$1026,C$1)</x:f>
        <x:v>0</x:v>
      </x:c>
      <x:c r="D15" s="469" t="n">
        <x:f>COUNTIFS('Resources'!$D$2:$D$1026,$A15,'Resources'!$B$2:$B$1026,D$1)</x:f>
        <x:v>0</x:v>
      </x:c>
      <x:c r="E15" s="470" t="n">
        <x:f>COUNTIFS('Resources'!$D$2:$D$1026,$A15,'Resources'!$B$2:$B$1026,E$1)</x:f>
        <x:v>1</x:v>
      </x:c>
    </x:row>
    <x:row r="16" ht="22" customHeight="1">
      <x:c r="A16" s="471" t="str">
        <x:v>AI Foundations / Deep Learning</x:v>
      </x:c>
      <x:c r="B16" s="472" t="n">
        <x:f>COUNTIF('Resources'!$D$2:$D$1026,$A16)</x:f>
        <x:v>2</x:v>
      </x:c>
      <x:c r="C16" s="472" t="n">
        <x:f>COUNTIFS('Resources'!$D$2:$D$1026,$A16,'Resources'!$B$2:$B$1026,C$1)</x:f>
        <x:v>0</x:v>
      </x:c>
      <x:c r="D16" s="472" t="n">
        <x:f>COUNTIFS('Resources'!$D$2:$D$1026,$A16,'Resources'!$B$2:$B$1026,D$1)</x:f>
        <x:v>0</x:v>
      </x:c>
      <x:c r="E16" s="473" t="n">
        <x:f>COUNTIFS('Resources'!$D$2:$D$1026,$A16,'Resources'!$B$2:$B$1026,E$1)</x:f>
        <x:v>2</x:v>
      </x:c>
    </x:row>
    <x:row r="17" ht="22" customHeight="1">
      <x:c r="A17" s="468" t="str">
        <x:v>AI Foundations / Intrinsic Motivation</x:v>
      </x:c>
      <x:c r="B17" s="469" t="n">
        <x:f>COUNTIF('Resources'!$D$2:$D$1026,$A17)</x:f>
        <x:v>1</x:v>
      </x:c>
      <x:c r="C17" s="469" t="n">
        <x:f>COUNTIFS('Resources'!$D$2:$D$1026,$A17,'Resources'!$B$2:$B$1026,C$1)</x:f>
        <x:v>0</x:v>
      </x:c>
      <x:c r="D17" s="469" t="n">
        <x:f>COUNTIFS('Resources'!$D$2:$D$1026,$A17,'Resources'!$B$2:$B$1026,D$1)</x:f>
        <x:v>0</x:v>
      </x:c>
      <x:c r="E17" s="470" t="n">
        <x:f>COUNTIFS('Resources'!$D$2:$D$1026,$A17,'Resources'!$B$2:$B$1026,E$1)</x:f>
        <x:v>1</x:v>
      </x:c>
    </x:row>
    <x:row r="18" ht="22" customHeight="1">
      <x:c r="A18" s="471" t="str">
        <x:v>AI Frontiers / Industry</x:v>
      </x:c>
      <x:c r="B18" s="472" t="n">
        <x:f>COUNTIF('Resources'!$D$2:$D$1026,$A18)</x:f>
        <x:v>11</x:v>
      </x:c>
      <x:c r="C18" s="472" t="n">
        <x:f>COUNTIFS('Resources'!$D$2:$D$1026,$A18,'Resources'!$B$2:$B$1026,C$1)</x:f>
        <x:v>11</x:v>
      </x:c>
      <x:c r="D18" s="472" t="n">
        <x:f>COUNTIFS('Resources'!$D$2:$D$1026,$A18,'Resources'!$B$2:$B$1026,D$1)</x:f>
        <x:v>0</x:v>
      </x:c>
      <x:c r="E18" s="473" t="n">
        <x:f>COUNTIFS('Resources'!$D$2:$D$1026,$A18,'Resources'!$B$2:$B$1026,E$1)</x:f>
        <x:v>0</x:v>
      </x:c>
    </x:row>
    <x:row r="19" ht="22" customHeight="1">
      <x:c r="A19" s="468" t="str">
        <x:v>AI Industry / Startups</x:v>
      </x:c>
      <x:c r="B19" s="469" t="n">
        <x:f>COUNTIF('Resources'!$D$2:$D$1026,$A19)</x:f>
        <x:v>4</x:v>
      </x:c>
      <x:c r="C19" s="469" t="n">
        <x:f>COUNTIFS('Resources'!$D$2:$D$1026,$A19,'Resources'!$B$2:$B$1026,C$1)</x:f>
        <x:v>4</x:v>
      </x:c>
      <x:c r="D19" s="469" t="n">
        <x:f>COUNTIFS('Resources'!$D$2:$D$1026,$A19,'Resources'!$B$2:$B$1026,D$1)</x:f>
        <x:v>0</x:v>
      </x:c>
      <x:c r="E19" s="470" t="n">
        <x:f>COUNTIFS('Resources'!$D$2:$D$1026,$A19,'Resources'!$B$2:$B$1026,E$1)</x:f>
        <x:v>0</x:v>
      </x:c>
    </x:row>
    <x:row r="20" ht="22" customHeight="1">
      <x:c r="A20" s="471" t="str">
        <x:v>AI Privacy / Security / Law</x:v>
      </x:c>
      <x:c r="B20" s="472" t="n">
        <x:f>COUNTIF('Resources'!$D$2:$D$1026,$A20)</x:f>
        <x:v>5</x:v>
      </x:c>
      <x:c r="C20" s="472" t="n">
        <x:f>COUNTIFS('Resources'!$D$2:$D$1026,$A20,'Resources'!$B$2:$B$1026,C$1)</x:f>
        <x:v>0</x:v>
      </x:c>
      <x:c r="D20" s="472" t="n">
        <x:f>COUNTIFS('Resources'!$D$2:$D$1026,$A20,'Resources'!$B$2:$B$1026,D$1)</x:f>
        <x:v>0</x:v>
      </x:c>
      <x:c r="E20" s="473" t="n">
        <x:f>COUNTIFS('Resources'!$D$2:$D$1026,$A20,'Resources'!$B$2:$B$1026,E$1)</x:f>
        <x:v>5</x:v>
      </x:c>
    </x:row>
    <x:row r="21" ht="22" customHeight="1">
      <x:c r="A21" s="468" t="str">
        <x:v>AI Research / Evaluation</x:v>
      </x:c>
      <x:c r="B21" s="469" t="n">
        <x:f>COUNTIF('Resources'!$D$2:$D$1026,$A21)</x:f>
        <x:v>1</x:v>
      </x:c>
      <x:c r="C21" s="469" t="n">
        <x:f>COUNTIFS('Resources'!$D$2:$D$1026,$A21,'Resources'!$B$2:$B$1026,C$1)</x:f>
        <x:v>0</x:v>
      </x:c>
      <x:c r="D21" s="469" t="n">
        <x:f>COUNTIFS('Resources'!$D$2:$D$1026,$A21,'Resources'!$B$2:$B$1026,D$1)</x:f>
        <x:v>0</x:v>
      </x:c>
      <x:c r="E21" s="470" t="n">
        <x:f>COUNTIFS('Resources'!$D$2:$D$1026,$A21,'Resources'!$B$2:$B$1026,E$1)</x:f>
        <x:v>1</x:v>
      </x:c>
    </x:row>
    <x:row r="22" ht="22" customHeight="1">
      <x:c r="A22" s="471" t="str">
        <x:v>AI Research / Research Practice</x:v>
      </x:c>
      <x:c r="B22" s="472" t="n">
        <x:f>COUNTIF('Resources'!$D$2:$D$1026,$A22)</x:f>
        <x:v>1</x:v>
      </x:c>
      <x:c r="C22" s="472" t="n">
        <x:f>COUNTIFS('Resources'!$D$2:$D$1026,$A22,'Resources'!$B$2:$B$1026,C$1)</x:f>
        <x:v>0</x:v>
      </x:c>
      <x:c r="D22" s="472" t="n">
        <x:f>COUNTIFS('Resources'!$D$2:$D$1026,$A22,'Resources'!$B$2:$B$1026,D$1)</x:f>
        <x:v>1</x:v>
      </x:c>
      <x:c r="E22" s="473" t="n">
        <x:f>COUNTIFS('Resources'!$D$2:$D$1026,$A22,'Resources'!$B$2:$B$1026,E$1)</x:f>
        <x:v>0</x:v>
      </x:c>
    </x:row>
    <x:row r="23" ht="22" customHeight="1">
      <x:c r="A23" s="468" t="str">
        <x:v>AI Research / Research Process</x:v>
      </x:c>
      <x:c r="B23" s="469" t="n">
        <x:f>COUNTIF('Resources'!$D$2:$D$1026,$A23)</x:f>
        <x:v>1</x:v>
      </x:c>
      <x:c r="C23" s="469" t="n">
        <x:f>COUNTIFS('Resources'!$D$2:$D$1026,$A23,'Resources'!$B$2:$B$1026,C$1)</x:f>
        <x:v>0</x:v>
      </x:c>
      <x:c r="D23" s="469" t="n">
        <x:f>COUNTIFS('Resources'!$D$2:$D$1026,$A23,'Resources'!$B$2:$B$1026,D$1)</x:f>
        <x:v>1</x:v>
      </x:c>
      <x:c r="E23" s="470" t="n">
        <x:f>COUNTIFS('Resources'!$D$2:$D$1026,$A23,'Resources'!$B$2:$B$1026,E$1)</x:f>
        <x:v>0</x:v>
      </x:c>
    </x:row>
    <x:row r="24" ht="22" customHeight="1">
      <x:c r="A24" s="471" t="str">
        <x:v>AI Research / Social Impact</x:v>
      </x:c>
      <x:c r="B24" s="472" t="n">
        <x:f>COUNTIF('Resources'!$D$2:$D$1026,$A24)</x:f>
        <x:v>6</x:v>
      </x:c>
      <x:c r="C24" s="472" t="n">
        <x:f>COUNTIFS('Resources'!$D$2:$D$1026,$A24,'Resources'!$B$2:$B$1026,C$1)</x:f>
        <x:v>6</x:v>
      </x:c>
      <x:c r="D24" s="472" t="n">
        <x:f>COUNTIFS('Resources'!$D$2:$D$1026,$A24,'Resources'!$B$2:$B$1026,D$1)</x:f>
        <x:v>0</x:v>
      </x:c>
      <x:c r="E24" s="473" t="n">
        <x:f>COUNTIFS('Resources'!$D$2:$D$1026,$A24,'Resources'!$B$2:$B$1026,E$1)</x:f>
        <x:v>0</x:v>
      </x:c>
    </x:row>
    <x:row r="25" ht="22" customHeight="1">
      <x:c r="A25" s="468" t="str">
        <x:v>AI Research Frontiers</x:v>
      </x:c>
      <x:c r="B25" s="469" t="n">
        <x:f>COUNTIF('Resources'!$D$2:$D$1026,$A25)</x:f>
        <x:v>12</x:v>
      </x:c>
      <x:c r="C25" s="469" t="n">
        <x:f>COUNTIFS('Resources'!$D$2:$D$1026,$A25,'Resources'!$B$2:$B$1026,C$1)</x:f>
        <x:v>0</x:v>
      </x:c>
      <x:c r="D25" s="469" t="n">
        <x:f>COUNTIFS('Resources'!$D$2:$D$1026,$A25,'Resources'!$B$2:$B$1026,D$1)</x:f>
        <x:v>1</x:v>
      </x:c>
      <x:c r="E25" s="470" t="n">
        <x:f>COUNTIFS('Resources'!$D$2:$D$1026,$A25,'Resources'!$B$2:$B$1026,E$1)</x:f>
        <x:v>11</x:v>
      </x:c>
    </x:row>
    <x:row r="26" ht="22" customHeight="1">
      <x:c r="A26" s="471" t="str">
        <x:v>AI Safety / Alignment / Oversight</x:v>
      </x:c>
      <x:c r="B26" s="472" t="n">
        <x:f>COUNTIF('Resources'!$D$2:$D$1026,$A26)</x:f>
        <x:v>4</x:v>
      </x:c>
      <x:c r="C26" s="472" t="n">
        <x:f>COUNTIFS('Resources'!$D$2:$D$1026,$A26,'Resources'!$B$2:$B$1026,C$1)</x:f>
        <x:v>0</x:v>
      </x:c>
      <x:c r="D26" s="472" t="n">
        <x:f>COUNTIFS('Resources'!$D$2:$D$1026,$A26,'Resources'!$B$2:$B$1026,D$1)</x:f>
        <x:v>0</x:v>
      </x:c>
      <x:c r="E26" s="473" t="n">
        <x:f>COUNTIFS('Resources'!$D$2:$D$1026,$A26,'Resources'!$B$2:$B$1026,E$1)</x:f>
        <x:v>4</x:v>
      </x:c>
    </x:row>
    <x:row r="27" ht="22" customHeight="1">
      <x:c r="A27" s="468" t="str">
        <x:v>AI Safety / Governance / Society</x:v>
      </x:c>
      <x:c r="B27" s="469" t="n">
        <x:f>COUNTIF('Resources'!$D$2:$D$1026,$A27)</x:f>
        <x:v>1</x:v>
      </x:c>
      <x:c r="C27" s="469" t="n">
        <x:f>COUNTIFS('Resources'!$D$2:$D$1026,$A27,'Resources'!$B$2:$B$1026,C$1)</x:f>
        <x:v>0</x:v>
      </x:c>
      <x:c r="D27" s="469" t="n">
        <x:f>COUNTIFS('Resources'!$D$2:$D$1026,$A27,'Resources'!$B$2:$B$1026,D$1)</x:f>
        <x:v>0</x:v>
      </x:c>
      <x:c r="E27" s="470" t="n">
        <x:f>COUNTIFS('Resources'!$D$2:$D$1026,$A27,'Resources'!$B$2:$B$1026,E$1)</x:f>
        <x:v>1</x:v>
      </x:c>
    </x:row>
    <x:row r="28" ht="22" customHeight="1">
      <x:c r="A28" s="471" t="str">
        <x:v>AI Safety / Security / Finetuning</x:v>
      </x:c>
      <x:c r="B28" s="472" t="n">
        <x:f>COUNTIF('Resources'!$D$2:$D$1026,$A28)</x:f>
        <x:v>1</x:v>
      </x:c>
      <x:c r="C28" s="472" t="n">
        <x:f>COUNTIFS('Resources'!$D$2:$D$1026,$A28,'Resources'!$B$2:$B$1026,C$1)</x:f>
        <x:v>0</x:v>
      </x:c>
      <x:c r="D28" s="472" t="n">
        <x:f>COUNTIFS('Resources'!$D$2:$D$1026,$A28,'Resources'!$B$2:$B$1026,D$1)</x:f>
        <x:v>0</x:v>
      </x:c>
      <x:c r="E28" s="473" t="n">
        <x:f>COUNTIFS('Resources'!$D$2:$D$1026,$A28,'Resources'!$B$2:$B$1026,E$1)</x:f>
        <x:v>1</x:v>
      </x:c>
    </x:row>
    <x:row r="29" ht="22" customHeight="1">
      <x:c r="A29" s="468" t="str">
        <x:v>AI Startups / Foundation Models</x:v>
      </x:c>
      <x:c r="B29" s="469" t="n">
        <x:f>COUNTIF('Resources'!$D$2:$D$1026,$A29)</x:f>
        <x:v>9</x:v>
      </x:c>
      <x:c r="C29" s="469" t="n">
        <x:f>COUNTIFS('Resources'!$D$2:$D$1026,$A29,'Resources'!$B$2:$B$1026,C$1)</x:f>
        <x:v>9</x:v>
      </x:c>
      <x:c r="D29" s="469" t="n">
        <x:f>COUNTIFS('Resources'!$D$2:$D$1026,$A29,'Resources'!$B$2:$B$1026,D$1)</x:f>
        <x:v>0</x:v>
      </x:c>
      <x:c r="E29" s="470" t="n">
        <x:f>COUNTIFS('Resources'!$D$2:$D$1026,$A29,'Resources'!$B$2:$B$1026,E$1)</x:f>
        <x:v>0</x:v>
      </x:c>
    </x:row>
    <x:row r="30" ht="22" customHeight="1">
      <x:c r="A30" s="471" t="str">
        <x:v>AI Systems / Accelerated Computing</x:v>
      </x:c>
      <x:c r="B30" s="472" t="n">
        <x:f>COUNTIF('Resources'!$D$2:$D$1026,$A30)</x:f>
        <x:v>13</x:v>
      </x:c>
      <x:c r="C30" s="472" t="n">
        <x:f>COUNTIFS('Resources'!$D$2:$D$1026,$A30,'Resources'!$B$2:$B$1026,C$1)</x:f>
        <x:v>7</x:v>
      </x:c>
      <x:c r="D30" s="472" t="n">
        <x:f>COUNTIFS('Resources'!$D$2:$D$1026,$A30,'Resources'!$B$2:$B$1026,D$1)</x:f>
        <x:v>0</x:v>
      </x:c>
      <x:c r="E30" s="473" t="n">
        <x:f>COUNTIFS('Resources'!$D$2:$D$1026,$A30,'Resources'!$B$2:$B$1026,E$1)</x:f>
        <x:v>6</x:v>
      </x:c>
    </x:row>
    <x:row r="31" ht="22" customHeight="1">
      <x:c r="A31" s="468" t="str">
        <x:v>AI Systems / Energy Efficiency</x:v>
      </x:c>
      <x:c r="B31" s="469" t="n">
        <x:f>COUNTIF('Resources'!$D$2:$D$1026,$A31)</x:f>
        <x:v>2</x:v>
      </x:c>
      <x:c r="C31" s="469" t="n">
        <x:f>COUNTIFS('Resources'!$D$2:$D$1026,$A31,'Resources'!$B$2:$B$1026,C$1)</x:f>
        <x:v>0</x:v>
      </x:c>
      <x:c r="D31" s="469" t="n">
        <x:f>COUNTIFS('Resources'!$D$2:$D$1026,$A31,'Resources'!$B$2:$B$1026,D$1)</x:f>
        <x:v>0</x:v>
      </x:c>
      <x:c r="E31" s="470" t="n">
        <x:f>COUNTIFS('Resources'!$D$2:$D$1026,$A31,'Resources'!$B$2:$B$1026,E$1)</x:f>
        <x:v>2</x:v>
      </x:c>
    </x:row>
    <x:row r="32" ht="22" customHeight="1">
      <x:c r="A32" s="471" t="str">
        <x:v>AI Systems / Frameworks</x:v>
      </x:c>
      <x:c r="B32" s="472" t="n">
        <x:f>COUNTIF('Resources'!$D$2:$D$1026,$A32)</x:f>
        <x:v>1</x:v>
      </x:c>
      <x:c r="C32" s="472" t="n">
        <x:f>COUNTIFS('Resources'!$D$2:$D$1026,$A32,'Resources'!$B$2:$B$1026,C$1)</x:f>
        <x:v>0</x:v>
      </x:c>
      <x:c r="D32" s="472" t="n">
        <x:f>COUNTIFS('Resources'!$D$2:$D$1026,$A32,'Resources'!$B$2:$B$1026,D$1)</x:f>
        <x:v>0</x:v>
      </x:c>
      <x:c r="E32" s="473" t="n">
        <x:f>COUNTIFS('Resources'!$D$2:$D$1026,$A32,'Resources'!$B$2:$B$1026,E$1)</x:f>
        <x:v>1</x:v>
      </x:c>
    </x:row>
    <x:row r="33" ht="22" customHeight="1">
      <x:c r="A33" s="468" t="str">
        <x:v>AI Systems / Hardware Efficiency</x:v>
      </x:c>
      <x:c r="B33" s="469" t="n">
        <x:f>COUNTIF('Resources'!$D$2:$D$1026,$A33)</x:f>
        <x:v>1</x:v>
      </x:c>
      <x:c r="C33" s="469" t="n">
        <x:f>COUNTIFS('Resources'!$D$2:$D$1026,$A33,'Resources'!$B$2:$B$1026,C$1)</x:f>
        <x:v>0</x:v>
      </x:c>
      <x:c r="D33" s="469" t="n">
        <x:f>COUNTIFS('Resources'!$D$2:$D$1026,$A33,'Resources'!$B$2:$B$1026,D$1)</x:f>
        <x:v>0</x:v>
      </x:c>
      <x:c r="E33" s="470" t="n">
        <x:f>COUNTIFS('Resources'!$D$2:$D$1026,$A33,'Resources'!$B$2:$B$1026,E$1)</x:f>
        <x:v>1</x:v>
      </x:c>
    </x:row>
    <x:row r="34" ht="22" customHeight="1">
      <x:c r="A34" s="471" t="str">
        <x:v>AI Systems / Infrastructure</x:v>
      </x:c>
      <x:c r="B34" s="472" t="n">
        <x:f>COUNTIF('Resources'!$D$2:$D$1026,$A34)</x:f>
        <x:v>9</x:v>
      </x:c>
      <x:c r="C34" s="472" t="n">
        <x:f>COUNTIFS('Resources'!$D$2:$D$1026,$A34,'Resources'!$B$2:$B$1026,C$1)</x:f>
        <x:v>2</x:v>
      </x:c>
      <x:c r="D34" s="472" t="n">
        <x:f>COUNTIFS('Resources'!$D$2:$D$1026,$A34,'Resources'!$B$2:$B$1026,D$1)</x:f>
        <x:v>0</x:v>
      </x:c>
      <x:c r="E34" s="473" t="n">
        <x:f>COUNTIFS('Resources'!$D$2:$D$1026,$A34,'Resources'!$B$2:$B$1026,E$1)</x:f>
        <x:v>7</x:v>
      </x:c>
    </x:row>
    <x:row r="35" ht="22" customHeight="1">
      <x:c r="A35" s="468" t="str">
        <x:v>AI Systems / Serving / Evaluation</x:v>
      </x:c>
      <x:c r="B35" s="469" t="n">
        <x:f>COUNTIF('Resources'!$D$2:$D$1026,$A35)</x:f>
        <x:v>1</x:v>
      </x:c>
      <x:c r="C35" s="469" t="n">
        <x:f>COUNTIFS('Resources'!$D$2:$D$1026,$A35,'Resources'!$B$2:$B$1026,C$1)</x:f>
        <x:v>0</x:v>
      </x:c>
      <x:c r="D35" s="469" t="n">
        <x:f>COUNTIFS('Resources'!$D$2:$D$1026,$A35,'Resources'!$B$2:$B$1026,D$1)</x:f>
        <x:v>0</x:v>
      </x:c>
      <x:c r="E35" s="470" t="n">
        <x:f>COUNTIFS('Resources'!$D$2:$D$1026,$A35,'Resources'!$B$2:$B$1026,E$1)</x:f>
        <x:v>1</x:v>
      </x:c>
    </x:row>
    <x:row r="36" ht="22" customHeight="1">
      <x:c r="A36" s="471" t="str">
        <x:v>Artificial Intelligence Foundations</x:v>
      </x:c>
      <x:c r="B36" s="472" t="n">
        <x:f>COUNTIF('Resources'!$D$2:$D$1026,$A36)</x:f>
        <x:v>20</x:v>
      </x:c>
      <x:c r="C36" s="472" t="n">
        <x:f>COUNTIFS('Resources'!$D$2:$D$1026,$A36,'Resources'!$B$2:$B$1026,C$1)</x:f>
        <x:v>0</x:v>
      </x:c>
      <x:c r="D36" s="472" t="n">
        <x:f>COUNTIFS('Resources'!$D$2:$D$1026,$A36,'Resources'!$B$2:$B$1026,D$1)</x:f>
        <x:v>20</x:v>
      </x:c>
      <x:c r="E36" s="473" t="n">
        <x:f>COUNTIFS('Resources'!$D$2:$D$1026,$A36,'Resources'!$B$2:$B$1026,E$1)</x:f>
        <x:v>0</x:v>
      </x:c>
    </x:row>
    <x:row r="37" ht="22" customHeight="1">
      <x:c r="A37" s="468" t="str">
        <x:v>Causal Inference / AI Foundations</x:v>
      </x:c>
      <x:c r="B37" s="469" t="n">
        <x:f>COUNTIF('Resources'!$D$2:$D$1026,$A37)</x:f>
        <x:v>1</x:v>
      </x:c>
      <x:c r="C37" s="469" t="n">
        <x:f>COUNTIFS('Resources'!$D$2:$D$1026,$A37,'Resources'!$B$2:$B$1026,C$1)</x:f>
        <x:v>0</x:v>
      </x:c>
      <x:c r="D37" s="469" t="n">
        <x:f>COUNTIFS('Resources'!$D$2:$D$1026,$A37,'Resources'!$B$2:$B$1026,D$1)</x:f>
        <x:v>0</x:v>
      </x:c>
      <x:c r="E37" s="470" t="n">
        <x:f>COUNTIFS('Resources'!$D$2:$D$1026,$A37,'Resources'!$B$2:$B$1026,E$1)</x:f>
        <x:v>1</x:v>
      </x:c>
    </x:row>
    <x:row r="38" ht="22" customHeight="1">
      <x:c r="A38" s="471" t="str">
        <x:v>Chinese AI Researchers / AI Futures</x:v>
      </x:c>
      <x:c r="B38" s="472" t="n">
        <x:f>COUNTIF('Resources'!$D$2:$D$1026,$A38)</x:f>
        <x:v>1</x:v>
      </x:c>
      <x:c r="C38" s="472" t="n">
        <x:f>COUNTIFS('Resources'!$D$2:$D$1026,$A38,'Resources'!$B$2:$B$1026,C$1)</x:f>
        <x:v>0</x:v>
      </x:c>
      <x:c r="D38" s="472" t="n">
        <x:f>COUNTIFS('Resources'!$D$2:$D$1026,$A38,'Resources'!$B$2:$B$1026,D$1)</x:f>
        <x:v>0</x:v>
      </x:c>
      <x:c r="E38" s="473" t="n">
        <x:f>COUNTIFS('Resources'!$D$2:$D$1026,$A38,'Resources'!$B$2:$B$1026,E$1)</x:f>
        <x:v>1</x:v>
      </x:c>
    </x:row>
    <x:row r="39" ht="22" customHeight="1">
      <x:c r="A39" s="468" t="str">
        <x:v>Chinese AI Researchers / AI Strategy</x:v>
      </x:c>
      <x:c r="B39" s="469" t="n">
        <x:f>COUNTIF('Resources'!$D$2:$D$1026,$A39)</x:f>
        <x:v>1</x:v>
      </x:c>
      <x:c r="C39" s="469" t="n">
        <x:f>COUNTIFS('Resources'!$D$2:$D$1026,$A39,'Resources'!$B$2:$B$1026,C$1)</x:f>
        <x:v>0</x:v>
      </x:c>
      <x:c r="D39" s="469" t="n">
        <x:f>COUNTIFS('Resources'!$D$2:$D$1026,$A39,'Resources'!$B$2:$B$1026,D$1)</x:f>
        <x:v>1</x:v>
      </x:c>
      <x:c r="E39" s="470" t="n">
        <x:f>COUNTIFS('Resources'!$D$2:$D$1026,$A39,'Resources'!$B$2:$B$1026,E$1)</x:f>
        <x:v>0</x:v>
      </x:c>
    </x:row>
    <x:row r="40" ht="22" customHeight="1">
      <x:c r="A40" s="471" t="str">
        <x:v>Chinese AI Researchers / Industry</x:v>
      </x:c>
      <x:c r="B40" s="472" t="n">
        <x:f>COUNTIF('Resources'!$D$2:$D$1026,$A40)</x:f>
        <x:v>3</x:v>
      </x:c>
      <x:c r="C40" s="472" t="n">
        <x:f>COUNTIFS('Resources'!$D$2:$D$1026,$A40,'Resources'!$B$2:$B$1026,C$1)</x:f>
        <x:v>3</x:v>
      </x:c>
      <x:c r="D40" s="472" t="n">
        <x:f>COUNTIFS('Resources'!$D$2:$D$1026,$A40,'Resources'!$B$2:$B$1026,D$1)</x:f>
        <x:v>0</x:v>
      </x:c>
      <x:c r="E40" s="473" t="n">
        <x:f>COUNTIFS('Resources'!$D$2:$D$1026,$A40,'Resources'!$B$2:$B$1026,E$1)</x:f>
        <x:v>0</x:v>
      </x:c>
    </x:row>
    <x:row r="41" ht="22" customHeight="1">
      <x:c r="A41" s="468" t="str">
        <x:v>Computer Vision</x:v>
      </x:c>
      <x:c r="B41" s="469" t="n">
        <x:f>COUNTIF('Resources'!$D$2:$D$1026,$A41)</x:f>
        <x:v>22</x:v>
      </x:c>
      <x:c r="C41" s="469" t="n">
        <x:f>COUNTIFS('Resources'!$D$2:$D$1026,$A41,'Resources'!$B$2:$B$1026,C$1)</x:f>
        <x:v>0</x:v>
      </x:c>
      <x:c r="D41" s="469" t="n">
        <x:f>COUNTIFS('Resources'!$D$2:$D$1026,$A41,'Resources'!$B$2:$B$1026,D$1)</x:f>
        <x:v>17</x:v>
      </x:c>
      <x:c r="E41" s="470" t="n">
        <x:f>COUNTIFS('Resources'!$D$2:$D$1026,$A41,'Resources'!$B$2:$B$1026,E$1)</x:f>
        <x:v>5</x:v>
      </x:c>
    </x:row>
    <x:row r="42" ht="22" customHeight="1">
      <x:c r="A42" s="471" t="str">
        <x:v>Computer Vision / 3D Vision</x:v>
      </x:c>
      <x:c r="B42" s="472" t="n">
        <x:f>COUNTIF('Resources'!$D$2:$D$1026,$A42)</x:f>
        <x:v>51</x:v>
      </x:c>
      <x:c r="C42" s="472" t="n">
        <x:f>COUNTIFS('Resources'!$D$2:$D$1026,$A42,'Resources'!$B$2:$B$1026,C$1)</x:f>
        <x:v>1</x:v>
      </x:c>
      <x:c r="D42" s="472" t="n">
        <x:f>COUNTIFS('Resources'!$D$2:$D$1026,$A42,'Resources'!$B$2:$B$1026,D$1)</x:f>
        <x:v>32</x:v>
      </x:c>
      <x:c r="E42" s="473" t="n">
        <x:f>COUNTIFS('Resources'!$D$2:$D$1026,$A42,'Resources'!$B$2:$B$1026,E$1)</x:f>
        <x:v>18</x:v>
      </x:c>
    </x:row>
    <x:row r="43" ht="22" customHeight="1">
      <x:c r="A43" s="468" t="str">
        <x:v>Computer Vision / Object Detection</x:v>
      </x:c>
      <x:c r="B43" s="469" t="n">
        <x:f>COUNTIF('Resources'!$D$2:$D$1026,$A43)</x:f>
        <x:v>1</x:v>
      </x:c>
      <x:c r="C43" s="469" t="n">
        <x:f>COUNTIFS('Resources'!$D$2:$D$1026,$A43,'Resources'!$B$2:$B$1026,C$1)</x:f>
        <x:v>0</x:v>
      </x:c>
      <x:c r="D43" s="469" t="n">
        <x:f>COUNTIFS('Resources'!$D$2:$D$1026,$A43,'Resources'!$B$2:$B$1026,D$1)</x:f>
        <x:v>0</x:v>
      </x:c>
      <x:c r="E43" s="470" t="n">
        <x:f>COUNTIFS('Resources'!$D$2:$D$1026,$A43,'Resources'!$B$2:$B$1026,E$1)</x:f>
        <x:v>1</x:v>
      </x:c>
    </x:row>
    <x:row r="44" ht="22" customHeight="1">
      <x:c r="A44" s="471" t="str">
        <x:v>Deep Learning / Representation Learning</x:v>
      </x:c>
      <x:c r="B44" s="472" t="n">
        <x:f>COUNTIF('Resources'!$D$2:$D$1026,$A44)</x:f>
        <x:v>5</x:v>
      </x:c>
      <x:c r="C44" s="472" t="n">
        <x:f>COUNTIFS('Resources'!$D$2:$D$1026,$A44,'Resources'!$B$2:$B$1026,C$1)</x:f>
        <x:v>0</x:v>
      </x:c>
      <x:c r="D44" s="472" t="n">
        <x:f>COUNTIFS('Resources'!$D$2:$D$1026,$A44,'Resources'!$B$2:$B$1026,D$1)</x:f>
        <x:v>5</x:v>
      </x:c>
      <x:c r="E44" s="473" t="n">
        <x:f>COUNTIFS('Resources'!$D$2:$D$1026,$A44,'Resources'!$B$2:$B$1026,E$1)</x:f>
        <x:v>0</x:v>
      </x:c>
    </x:row>
    <x:row r="45" ht="22" customHeight="1">
      <x:c r="A45" s="468" t="str">
        <x:v>Deep Learning / Research Trends</x:v>
      </x:c>
      <x:c r="B45" s="469" t="n">
        <x:f>COUNTIF('Resources'!$D$2:$D$1026,$A45)</x:f>
        <x:v>8</x:v>
      </x:c>
      <x:c r="C45" s="469" t="n">
        <x:f>COUNTIFS('Resources'!$D$2:$D$1026,$A45,'Resources'!$B$2:$B$1026,C$1)</x:f>
        <x:v>8</x:v>
      </x:c>
      <x:c r="D45" s="469" t="n">
        <x:f>COUNTIFS('Resources'!$D$2:$D$1026,$A45,'Resources'!$B$2:$B$1026,D$1)</x:f>
        <x:v>0</x:v>
      </x:c>
      <x:c r="E45" s="470" t="n">
        <x:f>COUNTIFS('Resources'!$D$2:$D$1026,$A45,'Resources'!$B$2:$B$1026,E$1)</x:f>
        <x:v>0</x:v>
      </x:c>
    </x:row>
    <x:row r="46" ht="22" customHeight="1">
      <x:c r="A46" s="471" t="str">
        <x:v>Deep Learning / Speech</x:v>
      </x:c>
      <x:c r="B46" s="472" t="n">
        <x:f>COUNTIF('Resources'!$D$2:$D$1026,$A46)</x:f>
        <x:v>4</x:v>
      </x:c>
      <x:c r="C46" s="472" t="n">
        <x:f>COUNTIFS('Resources'!$D$2:$D$1026,$A46,'Resources'!$B$2:$B$1026,C$1)</x:f>
        <x:v>0</x:v>
      </x:c>
      <x:c r="D46" s="472" t="n">
        <x:f>COUNTIFS('Resources'!$D$2:$D$1026,$A46,'Resources'!$B$2:$B$1026,D$1)</x:f>
        <x:v>4</x:v>
      </x:c>
      <x:c r="E46" s="473" t="n">
        <x:f>COUNTIFS('Resources'!$D$2:$D$1026,$A46,'Resources'!$B$2:$B$1026,E$1)</x:f>
        <x:v>0</x:v>
      </x:c>
    </x:row>
    <x:row r="47" ht="22" customHeight="1">
      <x:c r="A47" s="474" t="str">
        <x:v>Deep Learning Foundations</x:v>
      </x:c>
      <x:c r="B47" s="475" t="n">
        <x:f>COUNTIF('Resources'!$D$2:$D$1026,$A47)</x:f>
        <x:v>43</x:v>
      </x:c>
      <x:c r="C47" s="475" t="n">
        <x:f>COUNTIFS('Resources'!$D$2:$D$1026,$A47,'Resources'!$B$2:$B$1026,C$1)</x:f>
        <x:v>0</x:v>
      </x:c>
      <x:c r="D47" s="475" t="n">
        <x:f>COUNTIFS('Resources'!$D$2:$D$1026,$A47,'Resources'!$B$2:$B$1026,D$1)</x:f>
        <x:v>42</x:v>
      </x:c>
      <x:c r="E47" s="476" t="n">
        <x:f>COUNTIFS('Resources'!$D$2:$D$1026,$A47,'Resources'!$B$2:$B$1026,E$1)</x:f>
        <x:v>1</x:v>
      </x:c>
    </x:row>
    <x:row r="48" ht="22" customHeight="1">
      <x:c r="A48" s="477" t="str">
        <x:v>Deep Learning Optimization</x:v>
      </x:c>
      <x:c r="B48" s="478" t="n">
        <x:f>COUNTIF('Resources'!$D$2:$D$1026,$A48)</x:f>
        <x:v>1</x:v>
      </x:c>
      <x:c r="C48" s="478" t="n">
        <x:f>COUNTIFS('Resources'!$D$2:$D$1026,$A48,'Resources'!$B$2:$B$1026,C$1)</x:f>
        <x:v>0</x:v>
      </x:c>
      <x:c r="D48" s="478" t="n">
        <x:f>COUNTIFS('Resources'!$D$2:$D$1026,$A48,'Resources'!$B$2:$B$1026,D$1)</x:f>
        <x:v>0</x:v>
      </x:c>
      <x:c r="E48" s="478" t="n">
        <x:f>COUNTIFS('Resources'!$D$2:$D$1026,$A48,'Resources'!$B$2:$B$1026,E$1)</x:f>
        <x:v>1</x:v>
      </x:c>
    </x:row>
    <x:row r="49" ht="22" customHeight="1">
      <x:c r="A49" s="479" t="str">
        <x:v>Deep Reinforcement Learning</x:v>
      </x:c>
      <x:c r="B49" s="480" t="n">
        <x:f>COUNTIF('Resources'!$D$2:$D$1026,$A49)</x:f>
        <x:v>18</x:v>
      </x:c>
      <x:c r="C49" s="480" t="n">
        <x:f>COUNTIFS('Resources'!$D$2:$D$1026,$A49,'Resources'!$B$2:$B$1026,C$1)</x:f>
        <x:v>1</x:v>
      </x:c>
      <x:c r="D49" s="480" t="n">
        <x:f>COUNTIFS('Resources'!$D$2:$D$1026,$A49,'Resources'!$B$2:$B$1026,D$1)</x:f>
        <x:v>17</x:v>
      </x:c>
      <x:c r="E49" s="480" t="n">
        <x:f>COUNTIFS('Resources'!$D$2:$D$1026,$A49,'Resources'!$B$2:$B$1026,E$1)</x:f>
        <x:v>0</x:v>
      </x:c>
    </x:row>
    <x:row r="50" ht="22" customHeight="1">
      <x:c r="A50" s="477" t="str">
        <x:v>Diffusion Models / Generative AI</x:v>
      </x:c>
      <x:c r="B50" s="478" t="n">
        <x:f>COUNTIF('Resources'!$D$2:$D$1026,$A50)</x:f>
        <x:v>4</x:v>
      </x:c>
      <x:c r="C50" s="478" t="n">
        <x:f>COUNTIFS('Resources'!$D$2:$D$1026,$A50,'Resources'!$B$2:$B$1026,C$1)</x:f>
        <x:v>0</x:v>
      </x:c>
      <x:c r="D50" s="478" t="n">
        <x:f>COUNTIFS('Resources'!$D$2:$D$1026,$A50,'Resources'!$B$2:$B$1026,D$1)</x:f>
        <x:v>0</x:v>
      </x:c>
      <x:c r="E50" s="478" t="n">
        <x:f>COUNTIFS('Resources'!$D$2:$D$1026,$A50,'Resources'!$B$2:$B$1026,E$1)</x:f>
        <x:v>4</x:v>
      </x:c>
    </x:row>
    <x:row r="51" ht="22" customHeight="1">
      <x:c r="A51" s="479" t="str">
        <x:v>Edge AI / TinyML</x:v>
      </x:c>
      <x:c r="B51" s="480" t="n">
        <x:f>COUNTIF('Resources'!$D$2:$D$1026,$A51)</x:f>
        <x:v>5</x:v>
      </x:c>
      <x:c r="C51" s="480" t="n">
        <x:f>COUNTIFS('Resources'!$D$2:$D$1026,$A51,'Resources'!$B$2:$B$1026,C$1)</x:f>
        <x:v>1</x:v>
      </x:c>
      <x:c r="D51" s="480" t="n">
        <x:f>COUNTIFS('Resources'!$D$2:$D$1026,$A51,'Resources'!$B$2:$B$1026,D$1)</x:f>
        <x:v>4</x:v>
      </x:c>
      <x:c r="E51" s="480" t="n">
        <x:f>COUNTIFS('Resources'!$D$2:$D$1026,$A51,'Resources'!$B$2:$B$1026,E$1)</x:f>
        <x:v>0</x:v>
      </x:c>
    </x:row>
    <x:row r="52" ht="22" customHeight="1">
      <x:c r="A52" s="477" t="str">
        <x:v>Foundation Models / AI Frontiers</x:v>
      </x:c>
      <x:c r="B52" s="478" t="n">
        <x:f>COUNTIF('Resources'!$D$2:$D$1026,$A52)</x:f>
        <x:v>6</x:v>
      </x:c>
      <x:c r="C52" s="478" t="n">
        <x:f>COUNTIFS('Resources'!$D$2:$D$1026,$A52,'Resources'!$B$2:$B$1026,C$1)</x:f>
        <x:v>0</x:v>
      </x:c>
      <x:c r="D52" s="478" t="n">
        <x:f>COUNTIFS('Resources'!$D$2:$D$1026,$A52,'Resources'!$B$2:$B$1026,D$1)</x:f>
        <x:v>0</x:v>
      </x:c>
      <x:c r="E52" s="478" t="n">
        <x:f>COUNTIFS('Resources'!$D$2:$D$1026,$A52,'Resources'!$B$2:$B$1026,E$1)</x:f>
        <x:v>6</x:v>
      </x:c>
    </x:row>
    <x:row r="53" ht="22" customHeight="1">
      <x:c r="A53" s="479" t="str">
        <x:v>General AI / People</x:v>
      </x:c>
      <x:c r="B53" s="480" t="n">
        <x:f>COUNTIF('Resources'!$D$2:$D$1026,$A53)</x:f>
        <x:v>7</x:v>
      </x:c>
      <x:c r="C53" s="480" t="n">
        <x:f>COUNTIFS('Resources'!$D$2:$D$1026,$A53,'Resources'!$B$2:$B$1026,C$1)</x:f>
        <x:v>7</x:v>
      </x:c>
      <x:c r="D53" s="480" t="n">
        <x:f>COUNTIFS('Resources'!$D$2:$D$1026,$A53,'Resources'!$B$2:$B$1026,D$1)</x:f>
        <x:v>0</x:v>
      </x:c>
      <x:c r="E53" s="480" t="n">
        <x:f>COUNTIFS('Resources'!$D$2:$D$1026,$A53,'Resources'!$B$2:$B$1026,E$1)</x:f>
        <x:v>0</x:v>
      </x:c>
    </x:row>
    <x:row r="54" ht="22" customHeight="1">
      <x:c r="A54" s="477" t="str">
        <x:v>Generative AI / Developers</x:v>
      </x:c>
      <x:c r="B54" s="478" t="n">
        <x:f>COUNTIF('Resources'!$D$2:$D$1026,$A54)</x:f>
        <x:v>7</x:v>
      </x:c>
      <x:c r="C54" s="478" t="n">
        <x:f>COUNTIFS('Resources'!$D$2:$D$1026,$A54,'Resources'!$B$2:$B$1026,C$1)</x:f>
        <x:v>7</x:v>
      </x:c>
      <x:c r="D54" s="478" t="n">
        <x:f>COUNTIFS('Resources'!$D$2:$D$1026,$A54,'Resources'!$B$2:$B$1026,D$1)</x:f>
        <x:v>0</x:v>
      </x:c>
      <x:c r="E54" s="478" t="n">
        <x:f>COUNTIFS('Resources'!$D$2:$D$1026,$A54,'Resources'!$B$2:$B$1026,E$1)</x:f>
        <x:v>0</x:v>
      </x:c>
    </x:row>
    <x:row r="55" ht="22" customHeight="1">
      <x:c r="A55" s="479" t="str">
        <x:v>Graph Machine Learning</x:v>
      </x:c>
      <x:c r="B55" s="480" t="n">
        <x:f>COUNTIF('Resources'!$D$2:$D$1026,$A55)</x:f>
        <x:v>3</x:v>
      </x:c>
      <x:c r="C55" s="480" t="n">
        <x:f>COUNTIFS('Resources'!$D$2:$D$1026,$A55,'Resources'!$B$2:$B$1026,C$1)</x:f>
        <x:v>0</x:v>
      </x:c>
      <x:c r="D55" s="480" t="n">
        <x:f>COUNTIFS('Resources'!$D$2:$D$1026,$A55,'Resources'!$B$2:$B$1026,D$1)</x:f>
        <x:v>0</x:v>
      </x:c>
      <x:c r="E55" s="480" t="n">
        <x:f>COUNTIFS('Resources'!$D$2:$D$1026,$A55,'Resources'!$B$2:$B$1026,E$1)</x:f>
        <x:v>3</x:v>
      </x:c>
    </x:row>
    <x:row r="56" ht="22" customHeight="1">
      <x:c r="A56" s="477" t="str">
        <x:v>Interpretability / Explainable AI</x:v>
      </x:c>
      <x:c r="B56" s="478" t="n">
        <x:f>COUNTIF('Resources'!$D$2:$D$1026,$A56)</x:f>
        <x:v>1</x:v>
      </x:c>
      <x:c r="C56" s="478" t="n">
        <x:f>COUNTIFS('Resources'!$D$2:$D$1026,$A56,'Resources'!$B$2:$B$1026,C$1)</x:f>
        <x:v>0</x:v>
      </x:c>
      <x:c r="D56" s="478" t="n">
        <x:f>COUNTIFS('Resources'!$D$2:$D$1026,$A56,'Resources'!$B$2:$B$1026,D$1)</x:f>
        <x:v>0</x:v>
      </x:c>
      <x:c r="E56" s="478" t="n">
        <x:f>COUNTIFS('Resources'!$D$2:$D$1026,$A56,'Resources'!$B$2:$B$1026,E$1)</x:f>
        <x:v>1</x:v>
      </x:c>
    </x:row>
    <x:row r="57" ht="22" customHeight="1">
      <x:c r="A57" s="479" t="str">
        <x:v>Interpretability / Robustness / Representation Geometry</x:v>
      </x:c>
      <x:c r="B57" s="480" t="n">
        <x:f>COUNTIF('Resources'!$D$2:$D$1026,$A57)</x:f>
        <x:v>1</x:v>
      </x:c>
      <x:c r="C57" s="480" t="n">
        <x:f>COUNTIFS('Resources'!$D$2:$D$1026,$A57,'Resources'!$B$2:$B$1026,C$1)</x:f>
        <x:v>0</x:v>
      </x:c>
      <x:c r="D57" s="480" t="n">
        <x:f>COUNTIFS('Resources'!$D$2:$D$1026,$A57,'Resources'!$B$2:$B$1026,D$1)</x:f>
        <x:v>0</x:v>
      </x:c>
      <x:c r="E57" s="480" t="n">
        <x:f>COUNTIFS('Resources'!$D$2:$D$1026,$A57,'Resources'!$B$2:$B$1026,E$1)</x:f>
        <x:v>1</x:v>
      </x:c>
    </x:row>
    <x:row r="58" ht="22" customHeight="1">
      <x:c r="A58" s="477" t="str">
        <x:v>Large-Model Systems</x:v>
      </x:c>
      <x:c r="B58" s="478" t="n">
        <x:f>COUNTIF('Resources'!$D$2:$D$1026,$A58)</x:f>
        <x:v>4</x:v>
      </x:c>
      <x:c r="C58" s="478" t="n">
        <x:f>COUNTIFS('Resources'!$D$2:$D$1026,$A58,'Resources'!$B$2:$B$1026,C$1)</x:f>
        <x:v>0</x:v>
      </x:c>
      <x:c r="D58" s="478" t="n">
        <x:f>COUNTIFS('Resources'!$D$2:$D$1026,$A58,'Resources'!$B$2:$B$1026,D$1)</x:f>
        <x:v>0</x:v>
      </x:c>
      <x:c r="E58" s="478" t="n">
        <x:f>COUNTIFS('Resources'!$D$2:$D$1026,$A58,'Resources'!$B$2:$B$1026,E$1)</x:f>
        <x:v>4</x:v>
      </x:c>
    </x:row>
    <x:row r="59" ht="22" customHeight="1">
      <x:c r="A59" s="479" t="str">
        <x:v>Machine Learning / Engineering Practice</x:v>
      </x:c>
      <x:c r="B59" s="480" t="n">
        <x:f>COUNTIF('Resources'!$D$2:$D$1026,$A59)</x:f>
        <x:v>8</x:v>
      </x:c>
      <x:c r="C59" s="480" t="n">
        <x:f>COUNTIFS('Resources'!$D$2:$D$1026,$A59,'Resources'!$B$2:$B$1026,C$1)</x:f>
        <x:v>7</x:v>
      </x:c>
      <x:c r="D59" s="480" t="n">
        <x:f>COUNTIFS('Resources'!$D$2:$D$1026,$A59,'Resources'!$B$2:$B$1026,D$1)</x:f>
        <x:v>0</x:v>
      </x:c>
      <x:c r="E59" s="480" t="n">
        <x:f>COUNTIFS('Resources'!$D$2:$D$1026,$A59,'Resources'!$B$2:$B$1026,E$1)</x:f>
        <x:v>1</x:v>
      </x:c>
    </x:row>
    <x:row r="60" ht="22" customHeight="1">
      <x:c r="A60" s="477" t="str">
        <x:v>Machine Learning Foundations</x:v>
      </x:c>
      <x:c r="B60" s="478" t="n">
        <x:f>COUNTIF('Resources'!$D$2:$D$1026,$A60)</x:f>
        <x:v>25</x:v>
      </x:c>
      <x:c r="C60" s="478" t="n">
        <x:f>COUNTIFS('Resources'!$D$2:$D$1026,$A60,'Resources'!$B$2:$B$1026,C$1)</x:f>
        <x:v>0</x:v>
      </x:c>
      <x:c r="D60" s="478" t="n">
        <x:f>COUNTIFS('Resources'!$D$2:$D$1026,$A60,'Resources'!$B$2:$B$1026,D$1)</x:f>
        <x:v>22</x:v>
      </x:c>
      <x:c r="E60" s="478" t="n">
        <x:f>COUNTIFS('Resources'!$D$2:$D$1026,$A60,'Resources'!$B$2:$B$1026,E$1)</x:f>
        <x:v>3</x:v>
      </x:c>
    </x:row>
    <x:row r="61" ht="22" customHeight="1">
      <x:c r="A61" s="479" t="str">
        <x:v>Machine Learning Foundations / Chinese AI Researchers</x:v>
      </x:c>
      <x:c r="B61" s="480" t="n">
        <x:f>COUNTIF('Resources'!$D$2:$D$1026,$A61)</x:f>
        <x:v>1</x:v>
      </x:c>
      <x:c r="C61" s="480" t="n">
        <x:f>COUNTIFS('Resources'!$D$2:$D$1026,$A61,'Resources'!$B$2:$B$1026,C$1)</x:f>
        <x:v>0</x:v>
      </x:c>
      <x:c r="D61" s="480" t="n">
        <x:f>COUNTIFS('Resources'!$D$2:$D$1026,$A61,'Resources'!$B$2:$B$1026,D$1)</x:f>
        <x:v>1</x:v>
      </x:c>
      <x:c r="E61" s="480" t="n">
        <x:f>COUNTIFS('Resources'!$D$2:$D$1026,$A61,'Resources'!$B$2:$B$1026,E$1)</x:f>
        <x:v>0</x:v>
      </x:c>
    </x:row>
    <x:row r="62" ht="22" customHeight="1">
      <x:c r="A62" s="477" t="str">
        <x:v>Machine Learning Frontiers</x:v>
      </x:c>
      <x:c r="B62" s="478" t="n">
        <x:f>COUNTIF('Resources'!$D$2:$D$1026,$A62)</x:f>
        <x:v>10</x:v>
      </x:c>
      <x:c r="C62" s="478" t="n">
        <x:f>COUNTIFS('Resources'!$D$2:$D$1026,$A62,'Resources'!$B$2:$B$1026,C$1)</x:f>
        <x:v>0</x:v>
      </x:c>
      <x:c r="D62" s="478" t="n">
        <x:f>COUNTIFS('Resources'!$D$2:$D$1026,$A62,'Resources'!$B$2:$B$1026,D$1)</x:f>
        <x:v>0</x:v>
      </x:c>
      <x:c r="E62" s="478" t="n">
        <x:f>COUNTIFS('Resources'!$D$2:$D$1026,$A62,'Resources'!$B$2:$B$1026,E$1)</x:f>
        <x:v>10</x:v>
      </x:c>
    </x:row>
    <x:row r="63" ht="22" customHeight="1">
      <x:c r="A63" s="479" t="str">
        <x:v>Machine Learning Research</x:v>
      </x:c>
      <x:c r="B63" s="480" t="n">
        <x:f>COUNTIF('Resources'!$D$2:$D$1026,$A63)</x:f>
        <x:v>4</x:v>
      </x:c>
      <x:c r="C63" s="480" t="n">
        <x:f>COUNTIFS('Resources'!$D$2:$D$1026,$A63,'Resources'!$B$2:$B$1026,C$1)</x:f>
        <x:v>0</x:v>
      </x:c>
      <x:c r="D63" s="480" t="n">
        <x:f>COUNTIFS('Resources'!$D$2:$D$1026,$A63,'Resources'!$B$2:$B$1026,D$1)</x:f>
        <x:v>0</x:v>
      </x:c>
      <x:c r="E63" s="480" t="n">
        <x:f>COUNTIFS('Resources'!$D$2:$D$1026,$A63,'Resources'!$B$2:$B$1026,E$1)</x:f>
        <x:v>4</x:v>
      </x:c>
    </x:row>
    <x:row r="64" ht="22" customHeight="1">
      <x:c r="A64" s="477" t="str">
        <x:v>Mathematical Foundations for AI / Convex Optimization</x:v>
      </x:c>
      <x:c r="B64" s="478" t="n">
        <x:f>COUNTIF('Resources'!$D$2:$D$1026,$A64)</x:f>
        <x:v>5</x:v>
      </x:c>
      <x:c r="C64" s="478" t="n">
        <x:f>COUNTIFS('Resources'!$D$2:$D$1026,$A64,'Resources'!$B$2:$B$1026,C$1)</x:f>
        <x:v>0</x:v>
      </x:c>
      <x:c r="D64" s="478" t="n">
        <x:f>COUNTIFS('Resources'!$D$2:$D$1026,$A64,'Resources'!$B$2:$B$1026,D$1)</x:f>
        <x:v>5</x:v>
      </x:c>
      <x:c r="E64" s="478" t="n">
        <x:f>COUNTIFS('Resources'!$D$2:$D$1026,$A64,'Resources'!$B$2:$B$1026,E$1)</x:f>
        <x:v>0</x:v>
      </x:c>
    </x:row>
    <x:row r="65" ht="22" customHeight="1">
      <x:c r="A65" s="479" t="str">
        <x:v>Mathematical Foundations for AI / Matrix Methods</x:v>
      </x:c>
      <x:c r="B65" s="480" t="n">
        <x:f>COUNTIF('Resources'!$D$2:$D$1026,$A65)</x:f>
        <x:v>34</x:v>
      </x:c>
      <x:c r="C65" s="480" t="n">
        <x:f>COUNTIFS('Resources'!$D$2:$D$1026,$A65,'Resources'!$B$2:$B$1026,C$1)</x:f>
        <x:v>0</x:v>
      </x:c>
      <x:c r="D65" s="480" t="n">
        <x:f>COUNTIFS('Resources'!$D$2:$D$1026,$A65,'Resources'!$B$2:$B$1026,D$1)</x:f>
        <x:v>34</x:v>
      </x:c>
      <x:c r="E65" s="480" t="n">
        <x:f>COUNTIFS('Resources'!$D$2:$D$1026,$A65,'Resources'!$B$2:$B$1026,E$1)</x:f>
        <x:v>0</x:v>
      </x:c>
    </x:row>
    <x:row r="66" ht="22" customHeight="1">
      <x:c r="A66" s="477" t="str">
        <x:v>MLOps / AI Product Engineering</x:v>
      </x:c>
      <x:c r="B66" s="478" t="n">
        <x:f>COUNTIF('Resources'!$D$2:$D$1026,$A66)</x:f>
        <x:v>5</x:v>
      </x:c>
      <x:c r="C66" s="478" t="n">
        <x:f>COUNTIFS('Resources'!$D$2:$D$1026,$A66,'Resources'!$B$2:$B$1026,C$1)</x:f>
        <x:v>0</x:v>
      </x:c>
      <x:c r="D66" s="478" t="n">
        <x:f>COUNTIFS('Resources'!$D$2:$D$1026,$A66,'Resources'!$B$2:$B$1026,D$1)</x:f>
        <x:v>5</x:v>
      </x:c>
      <x:c r="E66" s="478" t="n">
        <x:f>COUNTIFS('Resources'!$D$2:$D$1026,$A66,'Resources'!$B$2:$B$1026,E$1)</x:f>
        <x:v>0</x:v>
      </x:c>
    </x:row>
    <x:row r="67" ht="22" customHeight="1">
      <x:c r="A67" s="479" t="str">
        <x:v>MLOps / Applied AI</x:v>
      </x:c>
      <x:c r="B67" s="480" t="n">
        <x:f>COUNTIF('Resources'!$D$2:$D$1026,$A67)</x:f>
        <x:v>6</x:v>
      </x:c>
      <x:c r="C67" s="480" t="n">
        <x:f>COUNTIFS('Resources'!$D$2:$D$1026,$A67,'Resources'!$B$2:$B$1026,C$1)</x:f>
        <x:v>6</x:v>
      </x:c>
      <x:c r="D67" s="480" t="n">
        <x:f>COUNTIFS('Resources'!$D$2:$D$1026,$A67,'Resources'!$B$2:$B$1026,D$1)</x:f>
        <x:v>0</x:v>
      </x:c>
      <x:c r="E67" s="480" t="n">
        <x:f>COUNTIFS('Resources'!$D$2:$D$1026,$A67,'Resources'!$B$2:$B$1026,E$1)</x:f>
        <x:v>0</x:v>
      </x:c>
    </x:row>
    <x:row r="68" ht="22" customHeight="1">
      <x:c r="A68" s="477" t="str">
        <x:v>Multimodal Generation / World Models</x:v>
      </x:c>
      <x:c r="B68" s="478" t="n">
        <x:f>COUNTIF('Resources'!$D$2:$D$1026,$A68)</x:f>
        <x:v>1</x:v>
      </x:c>
      <x:c r="C68" s="478" t="n">
        <x:f>COUNTIFS('Resources'!$D$2:$D$1026,$A68,'Resources'!$B$2:$B$1026,C$1)</x:f>
        <x:v>0</x:v>
      </x:c>
      <x:c r="D68" s="478" t="n">
        <x:f>COUNTIFS('Resources'!$D$2:$D$1026,$A68,'Resources'!$B$2:$B$1026,D$1)</x:f>
        <x:v>0</x:v>
      </x:c>
      <x:c r="E68" s="478" t="n">
        <x:f>COUNTIFS('Resources'!$D$2:$D$1026,$A68,'Resources'!$B$2:$B$1026,E$1)</x:f>
        <x:v>1</x:v>
      </x:c>
    </x:row>
    <x:row r="69" ht="22" customHeight="1">
      <x:c r="A69" s="479" t="str">
        <x:v>Multimodal Learning</x:v>
      </x:c>
      <x:c r="B69" s="480" t="n">
        <x:f>COUNTIF('Resources'!$D$2:$D$1026,$A69)</x:f>
        <x:v>3</x:v>
      </x:c>
      <x:c r="C69" s="480" t="n">
        <x:f>COUNTIFS('Resources'!$D$2:$D$1026,$A69,'Resources'!$B$2:$B$1026,C$1)</x:f>
        <x:v>0</x:v>
      </x:c>
      <x:c r="D69" s="480" t="n">
        <x:f>COUNTIFS('Resources'!$D$2:$D$1026,$A69,'Resources'!$B$2:$B$1026,D$1)</x:f>
        <x:v>0</x:v>
      </x:c>
      <x:c r="E69" s="480" t="n">
        <x:f>COUNTIFS('Resources'!$D$2:$D$1026,$A69,'Resources'!$B$2:$B$1026,E$1)</x:f>
        <x:v>3</x:v>
      </x:c>
    </x:row>
    <x:row r="70" ht="22" customHeight="1">
      <x:c r="A70" s="477" t="str">
        <x:v>Natural Language Processing</x:v>
      </x:c>
      <x:c r="B70" s="478" t="n">
        <x:f>COUNTIF('Resources'!$D$2:$D$1026,$A70)</x:f>
        <x:v>17</x:v>
      </x:c>
      <x:c r="C70" s="478" t="n">
        <x:f>COUNTIFS('Resources'!$D$2:$D$1026,$A70,'Resources'!$B$2:$B$1026,C$1)</x:f>
        <x:v>0</x:v>
      </x:c>
      <x:c r="D70" s="478" t="n">
        <x:f>COUNTIFS('Resources'!$D$2:$D$1026,$A70,'Resources'!$B$2:$B$1026,D$1)</x:f>
        <x:v>8</x:v>
      </x:c>
      <x:c r="E70" s="478" t="n">
        <x:f>COUNTIFS('Resources'!$D$2:$D$1026,$A70,'Resources'!$B$2:$B$1026,E$1)</x:f>
        <x:v>9</x:v>
      </x:c>
    </x:row>
    <x:row r="71" ht="22" customHeight="1">
      <x:c r="A71" s="479" t="str">
        <x:v>Natural Language Processing / Transformers</x:v>
      </x:c>
      <x:c r="B71" s="480" t="n">
        <x:f>COUNTIF('Resources'!$D$2:$D$1026,$A71)</x:f>
        <x:v>7</x:v>
      </x:c>
      <x:c r="C71" s="480" t="n">
        <x:f>COUNTIFS('Resources'!$D$2:$D$1026,$A71,'Resources'!$B$2:$B$1026,C$1)</x:f>
        <x:v>0</x:v>
      </x:c>
      <x:c r="D71" s="480" t="n">
        <x:f>COUNTIFS('Resources'!$D$2:$D$1026,$A71,'Resources'!$B$2:$B$1026,D$1)</x:f>
        <x:v>5</x:v>
      </x:c>
      <x:c r="E71" s="480" t="n">
        <x:f>COUNTIFS('Resources'!$D$2:$D$1026,$A71,'Resources'!$B$2:$B$1026,E$1)</x:f>
        <x:v>2</x:v>
      </x:c>
    </x:row>
    <x:row r="72" ht="22" customHeight="1">
      <x:c r="A72" s="477" t="str">
        <x:v>Neural Network Foundations</x:v>
      </x:c>
      <x:c r="B72" s="478" t="n">
        <x:f>COUNTIF('Resources'!$D$2:$D$1026,$A72)</x:f>
        <x:v>5</x:v>
      </x:c>
      <x:c r="C72" s="478" t="n">
        <x:f>COUNTIFS('Resources'!$D$2:$D$1026,$A72,'Resources'!$B$2:$B$1026,C$1)</x:f>
        <x:v>0</x:v>
      </x:c>
      <x:c r="D72" s="478" t="n">
        <x:f>COUNTIFS('Resources'!$D$2:$D$1026,$A72,'Resources'!$B$2:$B$1026,D$1)</x:f>
        <x:v>5</x:v>
      </x:c>
      <x:c r="E72" s="478" t="n">
        <x:f>COUNTIFS('Resources'!$D$2:$D$1026,$A72,'Resources'!$B$2:$B$1026,E$1)</x:f>
        <x:v>0</x:v>
      </x:c>
    </x:row>
    <x:row r="73" ht="22" customHeight="1">
      <x:c r="A73" s="479" t="str">
        <x:v>Reinforcement Learning</x:v>
      </x:c>
      <x:c r="B73" s="480" t="n">
        <x:f>COUNTIF('Resources'!$D$2:$D$1026,$A73)</x:f>
        <x:v>5</x:v>
      </x:c>
      <x:c r="C73" s="480" t="n">
        <x:f>COUNTIFS('Resources'!$D$2:$D$1026,$A73,'Resources'!$B$2:$B$1026,C$1)</x:f>
        <x:v>0</x:v>
      </x:c>
      <x:c r="D73" s="480" t="n">
        <x:f>COUNTIFS('Resources'!$D$2:$D$1026,$A73,'Resources'!$B$2:$B$1026,D$1)</x:f>
        <x:v>5</x:v>
      </x:c>
      <x:c r="E73" s="480" t="n">
        <x:f>COUNTIFS('Resources'!$D$2:$D$1026,$A73,'Resources'!$B$2:$B$1026,E$1)</x:f>
        <x:v>0</x:v>
      </x:c>
    </x:row>
    <x:row r="74" ht="22" customHeight="1">
      <x:c r="A74" s="477" t="str">
        <x:v>Representation Learning / Generative Models</x:v>
      </x:c>
      <x:c r="B74" s="478" t="n">
        <x:f>COUNTIF('Resources'!$D$2:$D$1026,$A74)</x:f>
        <x:v>6</x:v>
      </x:c>
      <x:c r="C74" s="478" t="n">
        <x:f>COUNTIFS('Resources'!$D$2:$D$1026,$A74,'Resources'!$B$2:$B$1026,C$1)</x:f>
        <x:v>0</x:v>
      </x:c>
      <x:c r="D74" s="478" t="n">
        <x:f>COUNTIFS('Resources'!$D$2:$D$1026,$A74,'Resources'!$B$2:$B$1026,D$1)</x:f>
        <x:v>0</x:v>
      </x:c>
      <x:c r="E74" s="478" t="n">
        <x:f>COUNTIFS('Resources'!$D$2:$D$1026,$A74,'Resources'!$B$2:$B$1026,E$1)</x:f>
        <x:v>6</x:v>
      </x:c>
    </x:row>
    <x:row r="75" ht="22" customHeight="1">
      <x:c r="A75" s="479" t="str">
        <x:v>Research Methods / Experimental Design</x:v>
      </x:c>
      <x:c r="B75" s="480" t="n">
        <x:f>COUNTIF('Resources'!$D$2:$D$1026,$A75)</x:f>
        <x:v>1</x:v>
      </x:c>
      <x:c r="C75" s="480" t="n">
        <x:f>COUNTIFS('Resources'!$D$2:$D$1026,$A75,'Resources'!$B$2:$B$1026,C$1)</x:f>
        <x:v>0</x:v>
      </x:c>
      <x:c r="D75" s="480" t="n">
        <x:f>COUNTIFS('Resources'!$D$2:$D$1026,$A75,'Resources'!$B$2:$B$1026,D$1)</x:f>
        <x:v>1</x:v>
      </x:c>
      <x:c r="E75" s="480" t="n">
        <x:f>COUNTIFS('Resources'!$D$2:$D$1026,$A75,'Resources'!$B$2:$B$1026,E$1)</x:f>
        <x:v>0</x:v>
      </x:c>
    </x:row>
    <x:row r="76" ht="22" customHeight="1">
      <x:c r="A76" s="477" t="str">
        <x:v>Research Practice / Career</x:v>
      </x:c>
      <x:c r="B76" s="478" t="n">
        <x:f>COUNTIF('Resources'!$D$2:$D$1026,$A76)</x:f>
        <x:v>2</x:v>
      </x:c>
      <x:c r="C76" s="478" t="n">
        <x:f>COUNTIFS('Resources'!$D$2:$D$1026,$A76,'Resources'!$B$2:$B$1026,C$1)</x:f>
        <x:v>0</x:v>
      </x:c>
      <x:c r="D76" s="478" t="n">
        <x:f>COUNTIFS('Resources'!$D$2:$D$1026,$A76,'Resources'!$B$2:$B$1026,D$1)</x:f>
        <x:v>0</x:v>
      </x:c>
      <x:c r="E76" s="478" t="n">
        <x:f>COUNTIFS('Resources'!$D$2:$D$1026,$A76,'Resources'!$B$2:$B$1026,E$1)</x:f>
        <x:v>2</x:v>
      </x:c>
    </x:row>
    <x:row r="77" ht="22" customHeight="1">
      <x:c r="A77" s="479" t="str">
        <x:v>Research Practice / Evaluation</x:v>
      </x:c>
      <x:c r="B77" s="480" t="n">
        <x:f>COUNTIF('Resources'!$D$2:$D$1026,$A77)</x:f>
        <x:v>1</x:v>
      </x:c>
      <x:c r="C77" s="480" t="n">
        <x:f>COUNTIFS('Resources'!$D$2:$D$1026,$A77,'Resources'!$B$2:$B$1026,C$1)</x:f>
        <x:v>0</x:v>
      </x:c>
      <x:c r="D77" s="480" t="n">
        <x:f>COUNTIFS('Resources'!$D$2:$D$1026,$A77,'Resources'!$B$2:$B$1026,D$1)</x:f>
        <x:v>1</x:v>
      </x:c>
      <x:c r="E77" s="480" t="n">
        <x:f>COUNTIFS('Resources'!$D$2:$D$1026,$A77,'Resources'!$B$2:$B$1026,E$1)</x:f>
        <x:v>0</x:v>
      </x:c>
    </x:row>
    <x:row r="78" ht="22" customHeight="1">
      <x:c r="A78" s="477" t="str">
        <x:v>Research Practice / Funding</x:v>
      </x:c>
      <x:c r="B78" s="478" t="n">
        <x:f>COUNTIF('Resources'!$D$2:$D$1026,$A78)</x:f>
        <x:v>1</x:v>
      </x:c>
      <x:c r="C78" s="478" t="n">
        <x:f>COUNTIFS('Resources'!$D$2:$D$1026,$A78,'Resources'!$B$2:$B$1026,C$1)</x:f>
        <x:v>0</x:v>
      </x:c>
      <x:c r="D78" s="478" t="n">
        <x:f>COUNTIFS('Resources'!$D$2:$D$1026,$A78,'Resources'!$B$2:$B$1026,D$1)</x:f>
        <x:v>0</x:v>
      </x:c>
      <x:c r="E78" s="478" t="n">
        <x:f>COUNTIFS('Resources'!$D$2:$D$1026,$A78,'Resources'!$B$2:$B$1026,E$1)</x:f>
        <x:v>1</x:v>
      </x:c>
    </x:row>
    <x:row r="79" ht="22" customHeight="1">
      <x:c r="A79" s="479" t="str">
        <x:v>Research Practice / Literature Management</x:v>
      </x:c>
      <x:c r="B79" s="480" t="n">
        <x:f>COUNTIF('Resources'!$D$2:$D$1026,$A79)</x:f>
        <x:v>1</x:v>
      </x:c>
      <x:c r="C79" s="480" t="n">
        <x:f>COUNTIFS('Resources'!$D$2:$D$1026,$A79,'Resources'!$B$2:$B$1026,C$1)</x:f>
        <x:v>0</x:v>
      </x:c>
      <x:c r="D79" s="480" t="n">
        <x:f>COUNTIFS('Resources'!$D$2:$D$1026,$A79,'Resources'!$B$2:$B$1026,D$1)</x:f>
        <x:v>1</x:v>
      </x:c>
      <x:c r="E79" s="480" t="n">
        <x:f>COUNTIFS('Resources'!$D$2:$D$1026,$A79,'Resources'!$B$2:$B$1026,E$1)</x:f>
        <x:v>0</x:v>
      </x:c>
    </x:row>
    <x:row r="80" ht="22" customHeight="1">
      <x:c r="A80" s="477" t="str">
        <x:v>Research Practice / Literature Review</x:v>
      </x:c>
      <x:c r="B80" s="478" t="n">
        <x:f>COUNTIF('Resources'!$D$2:$D$1026,$A80)</x:f>
        <x:v>2</x:v>
      </x:c>
      <x:c r="C80" s="478" t="n">
        <x:f>COUNTIFS('Resources'!$D$2:$D$1026,$A80,'Resources'!$B$2:$B$1026,C$1)</x:f>
        <x:v>0</x:v>
      </x:c>
      <x:c r="D80" s="478" t="n">
        <x:f>COUNTIFS('Resources'!$D$2:$D$1026,$A80,'Resources'!$B$2:$B$1026,D$1)</x:f>
        <x:v>2</x:v>
      </x:c>
      <x:c r="E80" s="478" t="n">
        <x:f>COUNTIFS('Resources'!$D$2:$D$1026,$A80,'Resources'!$B$2:$B$1026,E$1)</x:f>
        <x:v>0</x:v>
      </x:c>
    </x:row>
    <x:row r="81" ht="22" customHeight="1">
      <x:c r="A81" s="479" t="str">
        <x:v>Research Practice / Literature Search</x:v>
      </x:c>
      <x:c r="B81" s="480" t="n">
        <x:f>COUNTIF('Resources'!$D$2:$D$1026,$A81)</x:f>
        <x:v>1</x:v>
      </x:c>
      <x:c r="C81" s="480" t="n">
        <x:f>COUNTIFS('Resources'!$D$2:$D$1026,$A81,'Resources'!$B$2:$B$1026,C$1)</x:f>
        <x:v>0</x:v>
      </x:c>
      <x:c r="D81" s="480" t="n">
        <x:f>COUNTIFS('Resources'!$D$2:$D$1026,$A81,'Resources'!$B$2:$B$1026,D$1)</x:f>
        <x:v>1</x:v>
      </x:c>
      <x:c r="E81" s="480" t="n">
        <x:f>COUNTIFS('Resources'!$D$2:$D$1026,$A81,'Resources'!$B$2:$B$1026,E$1)</x:f>
        <x:v>0</x:v>
      </x:c>
    </x:row>
    <x:row r="82" ht="22" customHeight="1">
      <x:c r="A82" s="477" t="str">
        <x:v>Research Practice / Novelty</x:v>
      </x:c>
      <x:c r="B82" s="478" t="n">
        <x:f>COUNTIF('Resources'!$D$2:$D$1026,$A82)</x:f>
        <x:v>1</x:v>
      </x:c>
      <x:c r="C82" s="478" t="n">
        <x:f>COUNTIFS('Resources'!$D$2:$D$1026,$A82,'Resources'!$B$2:$B$1026,C$1)</x:f>
        <x:v>0</x:v>
      </x:c>
      <x:c r="D82" s="478" t="n">
        <x:f>COUNTIFS('Resources'!$D$2:$D$1026,$A82,'Resources'!$B$2:$B$1026,D$1)</x:f>
        <x:v>1</x:v>
      </x:c>
      <x:c r="E82" s="478" t="n">
        <x:f>COUNTIFS('Resources'!$D$2:$D$1026,$A82,'Resources'!$B$2:$B$1026,E$1)</x:f>
        <x:v>0</x:v>
      </x:c>
    </x:row>
    <x:row r="83" ht="22" customHeight="1">
      <x:c r="A83" s="479" t="str">
        <x:v>Research Practice / Peer Review</x:v>
      </x:c>
      <x:c r="B83" s="480" t="n">
        <x:f>COUNTIF('Resources'!$D$2:$D$1026,$A83)</x:f>
        <x:v>2</x:v>
      </x:c>
      <x:c r="C83" s="480" t="n">
        <x:f>COUNTIFS('Resources'!$D$2:$D$1026,$A83,'Resources'!$B$2:$B$1026,C$1)</x:f>
        <x:v>0</x:v>
      </x:c>
      <x:c r="D83" s="480" t="n">
        <x:f>COUNTIFS('Resources'!$D$2:$D$1026,$A83,'Resources'!$B$2:$B$1026,D$1)</x:f>
        <x:v>2</x:v>
      </x:c>
      <x:c r="E83" s="480" t="n">
        <x:f>COUNTIFS('Resources'!$D$2:$D$1026,$A83,'Resources'!$B$2:$B$1026,E$1)</x:f>
        <x:v>0</x:v>
      </x:c>
    </x:row>
    <x:row r="84" ht="22" customHeight="1">
      <x:c r="A84" s="477" t="str">
        <x:v>Research Practice / Presentation</x:v>
      </x:c>
      <x:c r="B84" s="478" t="n">
        <x:f>COUNTIF('Resources'!$D$2:$D$1026,$A84)</x:f>
        <x:v>3</x:v>
      </x:c>
      <x:c r="C84" s="478" t="n">
        <x:f>COUNTIFS('Resources'!$D$2:$D$1026,$A84,'Resources'!$B$2:$B$1026,C$1)</x:f>
        <x:v>0</x:v>
      </x:c>
      <x:c r="D84" s="478" t="n">
        <x:f>COUNTIFS('Resources'!$D$2:$D$1026,$A84,'Resources'!$B$2:$B$1026,D$1)</x:f>
        <x:v>1</x:v>
      </x:c>
      <x:c r="E84" s="478" t="n">
        <x:f>COUNTIFS('Resources'!$D$2:$D$1026,$A84,'Resources'!$B$2:$B$1026,E$1)</x:f>
        <x:v>2</x:v>
      </x:c>
    </x:row>
    <x:row r="85" ht="22" customHeight="1">
      <x:c r="A85" s="479" t="str">
        <x:v>Research Practice / Problem Selection</x:v>
      </x:c>
      <x:c r="B85" s="480" t="n">
        <x:f>COUNTIF('Resources'!$D$2:$D$1026,$A85)</x:f>
        <x:v>2</x:v>
      </x:c>
      <x:c r="C85" s="480" t="n">
        <x:f>COUNTIFS('Resources'!$D$2:$D$1026,$A85,'Resources'!$B$2:$B$1026,C$1)</x:f>
        <x:v>0</x:v>
      </x:c>
      <x:c r="D85" s="480" t="n">
        <x:f>COUNTIFS('Resources'!$D$2:$D$1026,$A85,'Resources'!$B$2:$B$1026,D$1)</x:f>
        <x:v>2</x:v>
      </x:c>
      <x:c r="E85" s="480" t="n">
        <x:f>COUNTIFS('Resources'!$D$2:$D$1026,$A85,'Resources'!$B$2:$B$1026,E$1)</x:f>
        <x:v>0</x:v>
      </x:c>
    </x:row>
    <x:row r="86" ht="22" customHeight="1">
      <x:c r="A86" s="477" t="str">
        <x:v>Research Practice / Reading Papers</x:v>
      </x:c>
      <x:c r="B86" s="478" t="n">
        <x:f>COUNTIF('Resources'!$D$2:$D$1026,$A86)</x:f>
        <x:v>2</x:v>
      </x:c>
      <x:c r="C86" s="478" t="n">
        <x:f>COUNTIFS('Resources'!$D$2:$D$1026,$A86,'Resources'!$B$2:$B$1026,C$1)</x:f>
        <x:v>0</x:v>
      </x:c>
      <x:c r="D86" s="478" t="n">
        <x:f>COUNTIFS('Resources'!$D$2:$D$1026,$A86,'Resources'!$B$2:$B$1026,D$1)</x:f>
        <x:v>2</x:v>
      </x:c>
      <x:c r="E86" s="478" t="n">
        <x:f>COUNTIFS('Resources'!$D$2:$D$1026,$A86,'Resources'!$B$2:$B$1026,E$1)</x:f>
        <x:v>0</x:v>
      </x:c>
    </x:row>
    <x:row r="87" ht="22" customHeight="1">
      <x:c r="A87" s="479" t="str">
        <x:v>Research Practice / Research Community</x:v>
      </x:c>
      <x:c r="B87" s="480" t="n">
        <x:f>COUNTIF('Resources'!$D$2:$D$1026,$A87)</x:f>
        <x:v>3</x:v>
      </x:c>
      <x:c r="C87" s="480" t="n">
        <x:f>COUNTIFS('Resources'!$D$2:$D$1026,$A87,'Resources'!$B$2:$B$1026,C$1)</x:f>
        <x:v>0</x:v>
      </x:c>
      <x:c r="D87" s="480" t="n">
        <x:f>COUNTIFS('Resources'!$D$2:$D$1026,$A87,'Resources'!$B$2:$B$1026,D$1)</x:f>
        <x:v>3</x:v>
      </x:c>
      <x:c r="E87" s="480" t="n">
        <x:f>COUNTIFS('Resources'!$D$2:$D$1026,$A87,'Resources'!$B$2:$B$1026,E$1)</x:f>
        <x:v>0</x:v>
      </x:c>
    </x:row>
    <x:row r="88" ht="22" customHeight="1">
      <x:c r="A88" s="477" t="str">
        <x:v>Research Practice / Scientific Writing</x:v>
      </x:c>
      <x:c r="B88" s="478" t="n">
        <x:f>COUNTIF('Resources'!$D$2:$D$1026,$A88)</x:f>
        <x:v>3</x:v>
      </x:c>
      <x:c r="C88" s="478" t="n">
        <x:f>COUNTIFS('Resources'!$D$2:$D$1026,$A88,'Resources'!$B$2:$B$1026,C$1)</x:f>
        <x:v>0</x:v>
      </x:c>
      <x:c r="D88" s="478" t="n">
        <x:f>COUNTIFS('Resources'!$D$2:$D$1026,$A88,'Resources'!$B$2:$B$1026,D$1)</x:f>
        <x:v>2</x:v>
      </x:c>
      <x:c r="E88" s="478" t="n">
        <x:f>COUNTIFS('Resources'!$D$2:$D$1026,$A88,'Resources'!$B$2:$B$1026,E$1)</x:f>
        <x:v>1</x:v>
      </x:c>
    </x:row>
    <x:row r="89" ht="22" customHeight="1">
      <x:c r="A89" s="479" t="str">
        <x:v>Research Practice / Wellbeing</x:v>
      </x:c>
      <x:c r="B89" s="480" t="n">
        <x:f>COUNTIF('Resources'!$D$2:$D$1026,$A89)</x:f>
        <x:v>1</x:v>
      </x:c>
      <x:c r="C89" s="480" t="n">
        <x:f>COUNTIFS('Resources'!$D$2:$D$1026,$A89,'Resources'!$B$2:$B$1026,C$1)</x:f>
        <x:v>0</x:v>
      </x:c>
      <x:c r="D89" s="480" t="n">
        <x:f>COUNTIFS('Resources'!$D$2:$D$1026,$A89,'Resources'!$B$2:$B$1026,D$1)</x:f>
        <x:v>1</x:v>
      </x:c>
      <x:c r="E89" s="480" t="n">
        <x:f>COUNTIFS('Resources'!$D$2:$D$1026,$A89,'Resources'!$B$2:$B$1026,E$1)</x:f>
        <x:v>0</x:v>
      </x:c>
    </x:row>
    <x:row r="90" ht="22" customHeight="1">
      <x:c r="A90" s="477" t="str">
        <x:v>Research Practice / Writing</x:v>
      </x:c>
      <x:c r="B90" s="478" t="n">
        <x:f>COUNTIF('Resources'!$D$2:$D$1026,$A90)</x:f>
        <x:v>1</x:v>
      </x:c>
      <x:c r="C90" s="478" t="n">
        <x:f>COUNTIFS('Resources'!$D$2:$D$1026,$A90,'Resources'!$B$2:$B$1026,C$1)</x:f>
        <x:v>0</x:v>
      </x:c>
      <x:c r="D90" s="478" t="n">
        <x:f>COUNTIFS('Resources'!$D$2:$D$1026,$A90,'Resources'!$B$2:$B$1026,D$1)</x:f>
        <x:v>0</x:v>
      </x:c>
      <x:c r="E90" s="478" t="n">
        <x:f>COUNTIFS('Resources'!$D$2:$D$1026,$A90,'Resources'!$B$2:$B$1026,E$1)</x:f>
        <x:v>1</x:v>
      </x:c>
    </x:row>
    <x:row r="91" ht="22" customHeight="1">
      <x:c r="A91" s="479" t="str">
        <x:v>Robotics</x:v>
      </x:c>
      <x:c r="B91" s="480" t="n">
        <x:f>COUNTIF('Resources'!$D$2:$D$1026,$A91)</x:f>
        <x:v>91</x:v>
      </x:c>
      <x:c r="C91" s="480" t="n">
        <x:f>COUNTIFS('Resources'!$D$2:$D$1026,$A91,'Resources'!$B$2:$B$1026,C$1)</x:f>
        <x:v>14</x:v>
      </x:c>
      <x:c r="D91" s="480" t="n">
        <x:f>COUNTIFS('Resources'!$D$2:$D$1026,$A91,'Resources'!$B$2:$B$1026,D$1)</x:f>
        <x:v>64</x:v>
      </x:c>
      <x:c r="E91" s="480" t="n">
        <x:f>COUNTIFS('Resources'!$D$2:$D$1026,$A91,'Resources'!$B$2:$B$1026,E$1)</x:f>
        <x:v>13</x:v>
      </x:c>
    </x:row>
    <x:row r="92" ht="22" customHeight="1">
      <x:c r="A92" s="477" t="str">
        <x:v>Robotics / Embodied AI</x:v>
      </x:c>
      <x:c r="B92" s="478" t="n">
        <x:f>COUNTIF('Resources'!$D$2:$D$1026,$A92)</x:f>
        <x:v>106</x:v>
      </x:c>
      <x:c r="C92" s="478" t="n">
        <x:f>COUNTIFS('Resources'!$D$2:$D$1026,$A92,'Resources'!$B$2:$B$1026,C$1)</x:f>
        <x:v>24</x:v>
      </x:c>
      <x:c r="D92" s="478" t="n">
        <x:f>COUNTIFS('Resources'!$D$2:$D$1026,$A92,'Resources'!$B$2:$B$1026,D$1)</x:f>
        <x:v>22</x:v>
      </x:c>
      <x:c r="E92" s="478" t="n">
        <x:f>COUNTIFS('Resources'!$D$2:$D$1026,$A92,'Resources'!$B$2:$B$1026,E$1)</x:f>
        <x:v>60</x:v>
      </x:c>
    </x:row>
    <x:row r="93" ht="22" customHeight="1">
      <x:c r="A93" s="479" t="str">
        <x:v>Transformers / Foundation Models</x:v>
      </x:c>
      <x:c r="B93" s="480" t="n">
        <x:f>COUNTIF('Resources'!$D$2:$D$1026,$A93)</x:f>
        <x:v>1</x:v>
      </x:c>
      <x:c r="C93" s="480" t="n">
        <x:f>COUNTIFS('Resources'!$D$2:$D$1026,$A93,'Resources'!$B$2:$B$1026,C$1)</x:f>
        <x:v>0</x:v>
      </x:c>
      <x:c r="D93" s="480" t="n">
        <x:f>COUNTIFS('Resources'!$D$2:$D$1026,$A93,'Resources'!$B$2:$B$1026,D$1)</x:f>
        <x:v>0</x:v>
      </x:c>
      <x:c r="E93" s="480" t="n">
        <x:f>COUNTIFS('Resources'!$D$2:$D$1026,$A93,'Resources'!$B$2:$B$1026,E$1)</x:f>
        <x:v>1</x:v>
      </x:c>
    </x:row>
    <x:row r="94" ht="22" customHeight="1">
      <x:c r="A94" s="477" t="str">
        <x:v>Transformers / Large Models</x:v>
      </x:c>
      <x:c r="B94" s="478" t="n">
        <x:f>COUNTIF('Resources'!$D$2:$D$1026,$A94)</x:f>
        <x:v>11</x:v>
      </x:c>
      <x:c r="C94" s="478" t="n">
        <x:f>COUNTIFS('Resources'!$D$2:$D$1026,$A94,'Resources'!$B$2:$B$1026,C$1)</x:f>
        <x:v>0</x:v>
      </x:c>
      <x:c r="D94" s="478" t="n">
        <x:f>COUNTIFS('Resources'!$D$2:$D$1026,$A94,'Resources'!$B$2:$B$1026,D$1)</x:f>
        <x:v>11</x:v>
      </x:c>
      <x:c r="E94" s="478" t="n">
        <x:f>COUNTIFS('Resources'!$D$2:$D$1026,$A94,'Resources'!$B$2:$B$1026,E$1)</x:f>
        <x:v>0</x:v>
      </x:c>
    </x:row>
    <x:row r="95" ht="22" customHeight="1">
      <x:c r="A95" s="479" t="str">
        <x:v>Trustworthy AI / Safety</x:v>
      </x:c>
      <x:c r="B95" s="480" t="n">
        <x:f>COUNTIF('Resources'!$D$2:$D$1026,$A95)</x:f>
        <x:v>3</x:v>
      </x:c>
      <x:c r="C95" s="480" t="n">
        <x:f>COUNTIFS('Resources'!$D$2:$D$1026,$A95,'Resources'!$B$2:$B$1026,C$1)</x:f>
        <x:v>0</x:v>
      </x:c>
      <x:c r="D95" s="480" t="n">
        <x:f>COUNTIFS('Resources'!$D$2:$D$1026,$A95,'Resources'!$B$2:$B$1026,D$1)</x:f>
        <x:v>0</x:v>
      </x:c>
      <x:c r="E95" s="480" t="n">
        <x:f>COUNTIFS('Resources'!$D$2:$D$1026,$A95,'Resources'!$B$2:$B$1026,E$1)</x:f>
        <x:v>3</x:v>
      </x:c>
    </x:row>
    <x:row r="96" ht="22" customHeight="1">
      <x:c r="A96" s="477" t="str">
        <x:v>Video Generation / World Models</x:v>
      </x:c>
      <x:c r="B96" s="478" t="n">
        <x:f>COUNTIF('Resources'!$D$2:$D$1026,$A96)</x:f>
        <x:v>1</x:v>
      </x:c>
      <x:c r="C96" s="478" t="n">
        <x:f>COUNTIFS('Resources'!$D$2:$D$1026,$A96,'Resources'!$B$2:$B$1026,C$1)</x:f>
        <x:v>0</x:v>
      </x:c>
      <x:c r="D96" s="478" t="n">
        <x:f>COUNTIFS('Resources'!$D$2:$D$1026,$A96,'Resources'!$B$2:$B$1026,D$1)</x:f>
        <x:v>0</x:v>
      </x:c>
      <x:c r="E96" s="478" t="n">
        <x:f>COUNTIFS('Resources'!$D$2:$D$1026,$A96,'Resources'!$B$2:$B$1026,E$1)</x:f>
        <x:v>1</x:v>
      </x:c>
    </x:row>
    <x:row r="97" ht="22" customHeight="1">
      <x:c r="A97" s="479" t="str">
        <x:v>Video Understanding / Multimodal Models</x:v>
      </x:c>
      <x:c r="B97" s="480" t="n">
        <x:f>COUNTIF('Resources'!$D$2:$D$1026,$A97)</x:f>
        <x:v>1</x:v>
      </x:c>
      <x:c r="C97" s="480" t="n">
        <x:f>COUNTIFS('Resources'!$D$2:$D$1026,$A97,'Resources'!$B$2:$B$1026,C$1)</x:f>
        <x:v>0</x:v>
      </x:c>
      <x:c r="D97" s="480" t="n">
        <x:f>COUNTIFS('Resources'!$D$2:$D$1026,$A97,'Resources'!$B$2:$B$1026,D$1)</x:f>
        <x:v>0</x:v>
      </x:c>
      <x:c r="E97" s="480" t="n">
        <x:f>COUNTIFS('Resources'!$D$2:$D$1026,$A97,'Resources'!$B$2:$B$1026,E$1)</x:f>
        <x:v>1</x:v>
      </x:c>
    </x:row>
    <x:row r="98" ht="22" customHeight="1">
      <x:c r="A98" s="477" t="str">
        <x:v>Vision</x:v>
      </x:c>
      <x:c r="B98" s="478" t="n">
        <x:f>COUNTIF('Resources'!$D$2:$D$1026,$A98)</x:f>
        <x:v>39</x:v>
      </x:c>
      <x:c r="C98" s="478" t="n">
        <x:f>COUNTIFS('Resources'!$D$2:$D$1026,$A98,'Resources'!$B$2:$B$1026,C$1)</x:f>
        <x:v>11</x:v>
      </x:c>
      <x:c r="D98" s="478" t="n">
        <x:f>COUNTIFS('Resources'!$D$2:$D$1026,$A98,'Resources'!$B$2:$B$1026,D$1)</x:f>
        <x:v>14</x:v>
      </x:c>
      <x:c r="E98" s="478" t="n">
        <x:f>COUNTIFS('Resources'!$D$2:$D$1026,$A98,'Resources'!$B$2:$B$1026,E$1)</x:f>
        <x:v>14</x:v>
      </x:c>
    </x:row>
    <x:row r="99" ht="22" customHeight="1">
      <x:c r="A99" s="479" t="str">
        <x:v>World Models</x:v>
      </x:c>
      <x:c r="B99" s="480" t="n">
        <x:f>COUNTIF('Resources'!$D$2:$D$1026,$A99)</x:f>
        <x:v>28</x:v>
      </x:c>
      <x:c r="C99" s="480" t="n">
        <x:f>COUNTIFS('Resources'!$D$2:$D$1026,$A99,'Resources'!$B$2:$B$1026,C$1)</x:f>
        <x:v>8</x:v>
      </x:c>
      <x:c r="D99" s="480" t="n">
        <x:f>COUNTIFS('Resources'!$D$2:$D$1026,$A99,'Resources'!$B$2:$B$1026,D$1)</x:f>
        <x:v>10</x:v>
      </x:c>
      <x:c r="E99" s="480" t="n">
        <x:f>COUNTIFS('Resources'!$D$2:$D$1026,$A99,'Resources'!$B$2:$B$1026,E$1)</x:f>
        <x:v>10</x:v>
      </x:c>
    </x:row>
    <x:row r="100" ht="22" customHeight="1">
      <x:c r="A100" s="477" t="str">
        <x:v>World Models / Multimodal Understanding</x:v>
      </x:c>
      <x:c r="B100" s="478" t="n">
        <x:f>COUNTIF('Resources'!$D$2:$D$1026,$A100)</x:f>
        <x:v>1</x:v>
      </x:c>
      <x:c r="C100" s="478" t="n">
        <x:f>COUNTIFS('Resources'!$D$2:$D$1026,$A100,'Resources'!$B$2:$B$1026,C$1)</x:f>
        <x:v>0</x:v>
      </x:c>
      <x:c r="D100" s="478" t="n">
        <x:f>COUNTIFS('Resources'!$D$2:$D$1026,$A100,'Resources'!$B$2:$B$1026,D$1)</x:f>
        <x:v>0</x:v>
      </x:c>
      <x:c r="E100" s="478" t="n">
        <x:f>COUNTIFS('Resources'!$D$2:$D$1026,$A100,'Resources'!$B$2:$B$1026,E$1)</x:f>
        <x:v>1</x:v>
      </x:c>
    </x:row>
    <x:row r="101" ht="22" customHeight="1">
      <x:c r="A101" s="479" t="str">
        <x:v>World Models / Predictive Intelligence</x:v>
      </x:c>
      <x:c r="B101" s="480" t="n">
        <x:f>COUNTIF('Resources'!$D$2:$D$1026,$A101)</x:f>
        <x:v>41</x:v>
      </x:c>
      <x:c r="C101" s="480" t="n">
        <x:f>COUNTIFS('Resources'!$D$2:$D$1026,$A101,'Resources'!$B$2:$B$1026,C$1)</x:f>
        <x:v>11</x:v>
      </x:c>
      <x:c r="D101" s="480" t="n">
        <x:f>COUNTIFS('Resources'!$D$2:$D$1026,$A101,'Resources'!$B$2:$B$1026,D$1)</x:f>
        <x:v>7</x:v>
      </x:c>
      <x:c r="E101" s="480" t="n">
        <x:f>COUNTIFS('Resources'!$D$2:$D$1026,$A101,'Resources'!$B$2:$B$1026,E$1)</x:f>
        <x:v>23</x:v>
      </x:c>
    </x:row>
    <x:row r="102" ht="22" customHeight="1">
      <x:c r="A102" s="477" t="str">
        <x:v>World Models / Representation Learning</x:v>
      </x:c>
      <x:c r="B102" s="478" t="n">
        <x:f>COUNTIF('Resources'!$D$2:$D$1026,$A102)</x:f>
        <x:v>1</x:v>
      </x:c>
      <x:c r="C102" s="478" t="n">
        <x:f>COUNTIFS('Resources'!$D$2:$D$1026,$A102,'Resources'!$B$2:$B$1026,C$1)</x:f>
        <x:v>1</x:v>
      </x:c>
      <x:c r="D102" s="478" t="n">
        <x:f>COUNTIFS('Resources'!$D$2:$D$1026,$A102,'Resources'!$B$2:$B$1026,D$1)</x:f>
        <x:v>0</x:v>
      </x:c>
      <x:c r="E102" s="478" t="n">
        <x:f>COUNTIFS('Resources'!$D$2:$D$1026,$A102,'Resources'!$B$2:$B$1026,E$1)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53a746c68548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5" hidden="0" customWidth="1"/>
    <x:col min="3" max="3" width="31.25" hidden="0" customWidth="1"/>
    <x:col min="4" max="4" width="42.5" hidden="0" customWidth="1"/>
  </x:cols>
  <x:sheetData>
    <x:row r="1" ht="44" customHeight="1">
      <x:c r="A1" s="121" t="str">
        <x:v>Field Guide and Editorial Standards</x:v>
      </x:c>
      <x:c r="B1" s="121" t="str">
        <x:v>Field Guide and Editorial Standards</x:v>
      </x:c>
      <x:c r="C1" s="121" t="str">
        <x:v>Field Guide and Editorial Standards</x:v>
      </x:c>
      <x:c r="D1" s="121" t="str">
        <x:v>Field Guide and Editorial Standards</x:v>
      </x:c>
    </x:row>
    <x:row r="3" ht="28" customHeight="1">
      <x:c r="A3" s="35" t="str">
        <x:v>Field</x:v>
      </x:c>
      <x:c r="B3" s="35" t="str">
        <x:v>Definition</x:v>
      </x:c>
      <x:c r="C3" s="35" t="str">
        <x:v>Frontend / Data Use</x:v>
      </x:c>
      <x:c r="D3" s="35" t="str">
        <x:v>Maintenance Guidance</x:v>
      </x:c>
    </x:row>
    <x:row r="4" ht="48" customHeight="1">
      <x:c r="A4" s="131" t="str">
        <x:v>Section</x:v>
      </x:c>
      <x:c r="B4" s="132" t="str">
        <x:v>Interview / Course / Talk</x:v>
      </x:c>
      <x:c r="C4" s="132" t="str">
        <x:v>Primary navigation and section pages</x:v>
      </x:c>
      <x:c r="D4" s="133" t="str">
        <x:v>Keep the three-value enumeration; classify edge cases by the primary viewing experience.</x:v>
      </x:c>
    </x:row>
    <x:row r="5" ht="48" customHeight="1">
      <x:c r="A5" s="134" t="str">
        <x:v>Research Direction</x:v>
      </x:c>
      <x:c r="B5" s="135" t="str">
        <x:v>World Model / Agent / Vision / Robotics / Other / How to Research</x:v>
      </x:c>
      <x:c r="C5" s="135" t="str">
        <x:v>Six direction filters and direction collections</x:v>
      </x:c>
      <x:c r="D5" s="136" t="str">
        <x:v>Assign one primary direction per resource; use How to Research only when the resource primarily teaches research method or practice.</x:v>
      </x:c>
    </x:row>
    <x:row r="6" ht="48" customHeight="1">
      <x:c r="A6" s="134" t="str">
        <x:v>AI Domain</x:v>
      </x:c>
      <x:c r="B6" s="135" t="str">
        <x:v>A finer-grained, relatively stable topic label</x:v>
      </x:c>
      <x:c r="C6" s="135" t="str">
        <x:v>Secondary filters and topic pages</x:v>
      </x:c>
      <x:c r="D6" s="136" t="str">
        <x:v>Reuse the Domain Index to avoid synonym sprawl.</x:v>
      </x:c>
    </x:row>
    <x:row r="7" ht="48" customHeight="1">
      <x:c r="A7" s="134" t="str">
        <x:v>Topics / Keywords</x:v>
      </x:c>
      <x:c r="B7" s="135" t="str">
        <x:v>Multi-value tags derived from the title and topic</x:v>
      </x:c>
      <x:c r="C7" s="135" t="str">
        <x:v>Search and related recommendations</x:v>
      </x:c>
      <x:c r="D7" s="136" t="str">
        <x:v>Editors may add tags; separate them with semicolons.</x:v>
      </x:c>
    </x:row>
    <x:row r="8" ht="48" customHeight="1">
      <x:c r="A8" s="134" t="str">
        <x:v>Speaker / Guest / Instructor</x:v>
      </x:c>
      <x:c r="B8" s="135" t="str">
        <x:v>Primary on-screen speaker or instructor</x:v>
      </x:c>
      <x:c r="C8" s="135" t="str">
        <x:v>People pages and related content</x:v>
      </x:c>
      <x:c r="D8" s="136" t="str">
        <x:v>“To be added” means the metadata could not be identified reliably.</x:v>
      </x:c>
    </x:row>
    <x:row r="9" ht="48" customHeight="1">
      <x:c r="A9" s="134" t="str">
        <x:v>Video URL</x:v>
      </x:c>
      <x:c r="B9" s="135" t="str">
        <x:v>Original URL linking directly to one video</x:v>
      </x:c>
      <x:c r="C9" s="135" t="str">
        <x:v>Playback navigation</x:v>
      </x:c>
      <x:c r="D9" s="136" t="str">
        <x:v>Check periodically for broken links, regional restrictions, and removals.</x:v>
      </x:c>
    </x:row>
    <x:row r="10" ht="48" customHeight="1">
      <x:c r="A10" s="134" t="str">
        <x:v>Source Tier</x:v>
      </x:c>
      <x:c r="B10" s="135" t="str">
        <x:v>A: official/original creator; B: university/conference/institution; C: community selection</x:v>
      </x:c>
      <x:c r="C10" s="135" t="str">
        <x:v>Quality ranking and review queue</x:v>
      </x:c>
      <x:c r="D10" s="136" t="str">
        <x:v>Review copyright and provenance manually before publishing Tier C content.</x:v>
      </x:c>
    </x:row>
    <x:row r="11" ht="48" customHeight="1">
      <x:c r="A11" s="134" t="str">
        <x:v>Recommendation</x:v>
      </x:c>
      <x:c r="B11" s="135" t="str">
        <x:v>Core / Recommended / Reserve</x:v>
      </x:c>
      <x:c r="C11" s="135" t="str">
        <x:v>Default ranking and homepage recommendations</x:v>
      </x:c>
      <x:c r="D11" s="136" t="str">
        <x:v>Core resources should prioritize Tier A sources and high relevance.</x:v>
      </x:c>
    </x:row>
    <x:row r="12" ht="96" customHeight="1">
      <x:c r="A12" s="134" t="str">
        <x:v>Link Status</x:v>
      </x:c>
      <x:c r="B12" s="135" t="str">
        <x:v>Verified / Pending Verification / Periodic Review / Inactive</x:v>
      </x:c>
      <x:c r="C12" s="135" t="str">
        <x:v>Operational review</x:v>
      </x:c>
      <x:c r="D12" s="136" t="str">
        <x:v>The 2026-08-24 catalog refresh verified Bilibili metadata directly. YouTube returned partial public metadata, while official and conference sources remain outside the automated verifier; canonical URLs and outcomes are documented in metadata_verification_report.json.</x:v>
      </x:c>
    </x:row>
    <x:row r="13" ht="48" customHeight="1">
      <x:c r="A13" s="134" t="str">
        <x:v>Views (at collection)</x:v>
      </x:c>
      <x:c r="B13" s="135" t="str">
        <x:v>Dynamic snapshot at collection time</x:v>
      </x:c>
      <x:c r="C13" s="135" t="str">
        <x:v>Popularity reference</x:v>
      </x:c>
      <x:c r="D13" s="136" t="str">
        <x:v>Not a permanent metric; do not use it as the sole quality signal.</x:v>
      </x:c>
    </x:row>
    <x:row r="14" ht="48" customHeight="1">
      <x:c r="A14" s="134" t="str">
        <x:v>Language</x:v>
      </x:c>
      <x:c r="B14" s="135" t="str">
        <x:v>Label by the primary spoken language of the video</x:v>
      </x:c>
      <x:c r="C14" s="135" t="str">
        <x:v>Language filter</x:v>
      </x:c>
      <x:c r="D14" s="136" t="str">
        <x:v>Add subtitle language as a separate field later.</x:v>
      </x:c>
    </x:row>
    <x:row r="15" ht="48" customHeight="1">
      <x:c r="A15" s="137" t="str">
        <x:v>Series Relationship</x:v>
      </x:c>
      <x:c r="B15" s="138" t="str">
        <x:v>Stable Series ID, display title, and sequence order for related course lectures or interview episodes</x:v>
      </x:c>
      <x:c r="C15" s="138" t="str">
        <x:v>Groups related videos into one Course or Interview entry</x:v>
      </x:c>
      <x:c r="D15" s="139" t="str">
        <x:v>Apply only to confirmed series relationships; keep every canonical video as its own row.</x:v>
      </x:c>
    </x:row>
    <x:row r="17" ht="28" customHeight="1">
      <x:c r="A17" s="141" t="str">
        <x:v>Initial Inclusion Principles</x:v>
      </x:c>
      <x:c r="B17" s="141" t="str">
        <x:v>Initial Inclusion Principles</x:v>
      </x:c>
      <x:c r="C17" s="141" t="str">
        <x:v>Initial Inclusion Principles</x:v>
      </x:c>
      <x:c r="D17" s="141" t="str">
        <x:v>Initial Inclusion Principles</x:v>
      </x:c>
    </x:row>
    <x:row r="18" ht="34" customHeight="1">
      <x:c r="A18" s="131" t="str">
        <x:v>1</x:v>
      </x:c>
      <x:c r="B18" s="132" t="str">
        <x:v>Include only AI-related educational video content; each row represents one directly linked video.</x:v>
      </x:c>
      <x:c r="C18" s="132" t="str"/>
      <x:c r="D18" s="133" t="str"/>
    </x:row>
    <x:row r="19" ht="34" customHeight="1">
      <x:c r="A19" s="134" t="str">
        <x:v>2</x:v>
      </x:c>
      <x:c r="B19" s="135" t="str">
        <x:v>Prioritize university courses, academic conferences, research institutions, original creators, and established interview programs.</x:v>
      </x:c>
      <x:c r="C19" s="135" t="str"/>
      <x:c r="D19" s="136" t="str"/>
    </x:row>
    <x:row r="20" ht="34" customHeight="1">
      <x:c r="A20" s="134" t="str">
        <x:v>3</x:v>
      </x:c>
      <x:c r="B20" s="135" t="str">
        <x:v>Related course lectures or interview episodes may share a confirmed series; titles, links, and video IDs must remain unique.</x:v>
      </x:c>
      <x:c r="C20" s="135" t="str"/>
      <x:c r="D20" s="136" t="str"/>
    </x:row>
    <x:row r="21" ht="34" customHeight="1">
      <x:c r="A21" s="134" t="str">
        <x:v>4</x:v>
      </x:c>
      <x:c r="B21" s="135" t="str">
        <x:v>Views and recommendation levels are for initial screening only; sample-watch resources and add editorial notes before launch.</x:v>
      </x:c>
      <x:c r="C21" s="135" t="str"/>
      <x:c r="D21" s="136" t="str"/>
    </x:row>
    <x:row r="22" ht="34" customHeight="1">
      <x:c r="A22" s="137" t="n">
        <x:v>5</x:v>
      </x:c>
      <x:c r="B22" s="138" t="str">
        <x:v>YouTube, Bilibili, official conference recording sites, and official publisher or university video pages are included.</x:v>
      </x:c>
      <x:c r="C22" s="138" t="str">
        <x:v>Public source coverage</x:v>
      </x:c>
      <x:c r="D22" s="139" t="str">
        <x:v>Add another platform only when its canonical source and stable public metadata can be verified.</x:v>
      </x:c>
    </x:row>
  </x:sheetData>
  <x:mergeCells>
    <x:mergeCell ref="A1:D1"/>
    <x:mergeCell ref="A17:D17"/>
    <x:mergeCell ref="B18:D18"/>
    <x:mergeCell ref="B19:D19"/>
    <x:mergeCell ref="B20:D20"/>
    <x:mergeCell ref="B21:D21"/>
    <x:mergeCell ref="B22:D22"/>
  </x:mergeCells>
  <x:pageMargins left="0.7" right="0.7" top="0.75" bottom="0.75" header="0.3" footer="0.3"/>
</x:worksheet>
</file>